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09" codeName="{857A39E2-67AF-9BA6-E15C-A4B3A0C75593}"/>
  <workbookPr codeName="ThisWorkbook" defaultThemeVersion="202300"/>
  <mc:AlternateContent xmlns:mc="http://schemas.openxmlformats.org/markup-compatibility/2006">
    <mc:Choice Requires="x15">
      <x15ac:absPath xmlns:x15ac="http://schemas.microsoft.com/office/spreadsheetml/2010/11/ac" url="/Users/joshparkhill/Projects/filmshit/app/static/files/working/"/>
    </mc:Choice>
  </mc:AlternateContent>
  <xr:revisionPtr revIDLastSave="0" documentId="13_ncr:1_{5B92C22A-2690-4240-9057-0894655BB4C0}" xr6:coauthVersionLast="47" xr6:coauthVersionMax="47" xr10:uidLastSave="{00000000-0000-0000-0000-000000000000}"/>
  <bookViews>
    <workbookView visibility="hidden" xWindow="760" yWindow="760" windowWidth="32780" windowHeight="21200" firstSheet="2" activeTab="3" xr2:uid="{F53C5A8A-5863-CA49-A26A-71321E44290F}"/>
    <workbookView xWindow="1580" yWindow="1180" windowWidth="32620" windowHeight="20900" firstSheet="1" activeTab="3" xr2:uid="{C8DC7964-DBBD-3948-BE63-5C542FBE1DFA}"/>
  </bookViews>
  <sheets>
    <sheet name="Instructions" sheetId="610" r:id="rId1"/>
    <sheet name="Line No" sheetId="3" r:id="rId2"/>
    <sheet name="PO DATA" sheetId="6" r:id="rId3"/>
    <sheet name="PO Log" sheetId="785" r:id="rId4"/>
    <sheet name="PO Log (2)" sheetId="802" r:id="rId5"/>
    <sheet name="TEMPLATE-SHEET" sheetId="4" r:id="rId6"/>
    <sheet name="TEMPLATE-SHEET_scrap" sheetId="792" r:id="rId7"/>
    <sheet name="Sheet_Index" sheetId="748" r:id="rId8"/>
    <sheet name="2499-001" sheetId="793" r:id="rId9"/>
    <sheet name="2499-002" sheetId="794" r:id="rId10"/>
    <sheet name="2499-003" sheetId="795" r:id="rId11"/>
    <sheet name="2499-004" sheetId="796" r:id="rId12"/>
    <sheet name="2499-005" sheetId="797" r:id="rId13"/>
    <sheet name="2499-006" sheetId="799" r:id="rId14"/>
    <sheet name="2499-007" sheetId="800" r:id="rId15"/>
    <sheet name="2499-008" sheetId="801" r:id="rId16"/>
  </sheets>
  <externalReferences>
    <externalReference r:id="rId17"/>
  </externalReferences>
  <definedNames>
    <definedName name="_xleta.CODE" hidden="1" xlm="1">#NAME?</definedName>
    <definedName name="_xleta.DATE" hidden="1" xlm="1">#NAME?</definedName>
    <definedName name="_xleta.FILTER" hidden="1" xlm="1">#NAME?</definedName>
    <definedName name="_xleta.HSTACK" hidden="1" xlm="1">#NAME?</definedName>
    <definedName name="_xleta.IF" hidden="1" xlm="1">#NAME?</definedName>
    <definedName name="_xleta.INDEX" hidden="1" xlm="1">#NAME?</definedName>
    <definedName name="_xleta.ISBLANK" hidden="1" xlm="1">#NAME?</definedName>
    <definedName name="_xleta.LOG" hidden="1" xlm="1">#NAME?</definedName>
    <definedName name="_xleta.MATCH" hidden="1" xlm="1">#NAME?</definedName>
    <definedName name="_xleta.N" hidden="1" xlm="1">#NAME?</definedName>
    <definedName name="_xleta.SEQUENCE" hidden="1" xlm="1">#NAME?</definedName>
    <definedName name="_xleta.SHEET" hidden="1" xlm="1">#NAME?</definedName>
    <definedName name="_xleta.SORT" hidden="1" xlm="1">#NAME?</definedName>
    <definedName name="_xleta.SUM" hidden="1" xlm="1">#NAME?</definedName>
    <definedName name="_xleta.T" hidden="1" xlm="1">#NAME?</definedName>
    <definedName name="_xleta.TRANSPOSE" hidden="1" xlm="1">#NAME?</definedName>
    <definedName name="_xleta.UNIQUE" hidden="1" xlm="1">#NAME?</definedName>
    <definedName name="_xleta.VSTACK" hidden="1" xlm="1">#NAME?</definedName>
    <definedName name="_xleta.WRAPCOLS" hidden="1" xlm="1">#NAME?</definedName>
    <definedName name="_xlpm.a" hidden="1" xlm="1">#NAME?</definedName>
    <definedName name="_xlpm.firstPO" hidden="1" xlm="1">#NAME?</definedName>
    <definedName name="_xlpm.i" hidden="1" xlm="1">#NAME?</definedName>
    <definedName name="_xlpm.poList" hidden="1" xlm="1">#NAME?</definedName>
    <definedName name="_xlpm.poNum" hidden="1" xlm="1">#NAME?</definedName>
    <definedName name="_xlpm.row" hidden="1" xlm="1">#NAME?</definedName>
    <definedName name="_xlpm.rowCounts" hidden="1" xlm="1">#NAME?</definedName>
    <definedName name="count" localSheetId="8">'2499-001'!$V$49</definedName>
    <definedName name="count" localSheetId="9">'2499-002'!$V$49</definedName>
    <definedName name="count" localSheetId="10">'2499-003'!$V$49</definedName>
    <definedName name="count" localSheetId="11">'2499-004'!$V$49</definedName>
    <definedName name="count" localSheetId="12">'2499-005'!$V$49</definedName>
    <definedName name="count" localSheetId="13">'2499-006'!$V$49</definedName>
    <definedName name="count" localSheetId="14">'2499-007'!$V$49</definedName>
    <definedName name="count" localSheetId="15">'2499-008'!$V$49</definedName>
    <definedName name="count" localSheetId="5">'TEMPLATE-SHEET'!$V$49</definedName>
    <definedName name="count" localSheetId="6">'TEMPLATE-SHEET_scrap'!$V$49</definedName>
    <definedName name="DateEntry" localSheetId="8">'2499-001'!$E$24:$E$35</definedName>
    <definedName name="DateEntry" localSheetId="9">'2499-002'!$E$24:$E$35</definedName>
    <definedName name="DateEntry" localSheetId="10">'2499-003'!$E$24:$E$35</definedName>
    <definedName name="DateEntry" localSheetId="11">'2499-004'!$E$24:$E$35</definedName>
    <definedName name="DateEntry" localSheetId="12">'2499-005'!$E$24:$E$35</definedName>
    <definedName name="DateEntry" localSheetId="13">'2499-006'!$E$24:$E$35</definedName>
    <definedName name="DateEntry" localSheetId="14">'2499-007'!$E$24:$E$35</definedName>
    <definedName name="DateEntry" localSheetId="15">'2499-008'!$E$24:$E$35</definedName>
    <definedName name="DateEntry" localSheetId="6">'TEMPLATE-SHEET_scrap'!$E$24:$E$35</definedName>
    <definedName name="DateEntry">'TEMPLATE-SHEET'!$E$24:$E$35</definedName>
    <definedName name="DateEntryOld" localSheetId="8">'2499-001'!$E$24:$E$35</definedName>
    <definedName name="DateEntryOld" localSheetId="9">'2499-002'!$E$24:$E$35</definedName>
    <definedName name="DateEntryOld" localSheetId="10">'2499-003'!$E$24:$E$35</definedName>
    <definedName name="DateEntryOld" localSheetId="11">'2499-004'!$E$24:$E$35</definedName>
    <definedName name="DateEntryOld" localSheetId="12">'2499-005'!$E$24:$E$35</definedName>
    <definedName name="DateEntryOld" localSheetId="13">'2499-006'!$E$24:$E$35</definedName>
    <definedName name="DateEntryOld" localSheetId="14">'2499-007'!$E$24:$E$35</definedName>
    <definedName name="DateEntryOld" localSheetId="15">'2499-008'!$E$24:$E$35</definedName>
    <definedName name="DateEntryOld" localSheetId="6">'TEMPLATE-SHEET_scrap'!$E$24:$E$35</definedName>
    <definedName name="DateEntryOld">'TEMPLATE-SHEET'!$E$24:$E$35</definedName>
    <definedName name="DateEntryOld3" localSheetId="8">'2499-001'!$E$24:$E$35</definedName>
    <definedName name="DateEntryOld3" localSheetId="9">'2499-002'!$E$24:$E$35</definedName>
    <definedName name="DateEntryOld3" localSheetId="10">'2499-003'!$E$24:$E$35</definedName>
    <definedName name="DateEntryOld3" localSheetId="11">'2499-004'!$E$24:$E$35</definedName>
    <definedName name="DateEntryOld3" localSheetId="12">'2499-005'!$E$24:$E$35</definedName>
    <definedName name="DateEntryOld3" localSheetId="13">'2499-006'!$E$24:$E$35</definedName>
    <definedName name="DateEntryOld3" localSheetId="14">'2499-007'!$E$24:$E$35</definedName>
    <definedName name="DateEntryOld3" localSheetId="15">'2499-008'!$E$24:$E$35</definedName>
    <definedName name="DateEntryOld3" localSheetId="6">'TEMPLATE-SHEET_scrap'!$E$24:$E$35</definedName>
    <definedName name="DateEntryOld3">'TEMPLATE-SHEET'!$E$24:$E$35</definedName>
    <definedName name="End">'PO DATA'!$C$17</definedName>
    <definedName name="Job_Name">'PO DATA'!$D$2</definedName>
    <definedName name="Job_Number">'PO DATA'!$D$3</definedName>
    <definedName name="Line">'Line No'!$A$1:$B$374</definedName>
    <definedName name="LineEntry" localSheetId="8">'2499-001'!$B$24:$B$35</definedName>
    <definedName name="LineEntry" localSheetId="9">'2499-002'!$B$24:$B$35</definedName>
    <definedName name="LineEntry" localSheetId="10">'2499-003'!$B$24:$B$35</definedName>
    <definedName name="LineEntry" localSheetId="11">'2499-004'!$B$24:$B$35</definedName>
    <definedName name="LineEntry" localSheetId="12">'2499-005'!$B$24:$B$35</definedName>
    <definedName name="LineEntry" localSheetId="13">'2499-006'!$B$24:$B$35</definedName>
    <definedName name="LineEntry" localSheetId="14">'2499-007'!$B$24:$B$35</definedName>
    <definedName name="LineEntry" localSheetId="15">'2499-008'!$B$24:$B$35</definedName>
    <definedName name="LineEntry" localSheetId="5">'TEMPLATE-SHEET'!$B$24:$B$35</definedName>
    <definedName name="LineEntry" localSheetId="6">'TEMPLATE-SHEET_scrap'!$B$24:$B$35</definedName>
    <definedName name="LineEntryOLD" localSheetId="8">'2499-001'!$B$24:$B$35</definedName>
    <definedName name="LineEntryOLD" localSheetId="9">'2499-002'!$B$24:$B$35</definedName>
    <definedName name="LineEntryOLD" localSheetId="10">'2499-003'!$B$24:$B$35</definedName>
    <definedName name="LineEntryOLD" localSheetId="11">'2499-004'!$B$24:$B$35</definedName>
    <definedName name="LineEntryOLD" localSheetId="12">'2499-005'!$B$24:$B$35</definedName>
    <definedName name="LineEntryOLD" localSheetId="13">'2499-006'!$B$24:$B$35</definedName>
    <definedName name="LineEntryOLD" localSheetId="14">'2499-007'!$B$24:$B$35</definedName>
    <definedName name="LineEntryOLD" localSheetId="15">'2499-008'!$B$24:$B$35</definedName>
    <definedName name="LineEntryOLD" localSheetId="6">'TEMPLATE-SHEET_scrap'!$B$24:$B$35</definedName>
    <definedName name="LineEntryOLD">'TEMPLATE-SHEET'!$B$24:$B$35</definedName>
    <definedName name="LineEntryOLD2" localSheetId="8">'2499-001'!$B$24:$B$35</definedName>
    <definedName name="LineEntryOLD2" localSheetId="9">'2499-002'!$B$24:$B$35</definedName>
    <definedName name="LineEntryOLD2" localSheetId="10">'2499-003'!$B$24:$B$35</definedName>
    <definedName name="LineEntryOLD2" localSheetId="11">'2499-004'!$B$24:$B$35</definedName>
    <definedName name="LineEntryOLD2" localSheetId="12">'2499-005'!$B$24:$B$35</definedName>
    <definedName name="LineEntryOLD2" localSheetId="13">'2499-006'!$B$24:$B$35</definedName>
    <definedName name="LineEntryOLD2" localSheetId="14">'2499-007'!$B$24:$B$35</definedName>
    <definedName name="LineEntryOLD2" localSheetId="15">'2499-008'!$B$24:$B$35</definedName>
    <definedName name="LineEntryOLD2" localSheetId="6">'TEMPLATE-SHEET_scrap'!$B$24:$B$35</definedName>
    <definedName name="LineEntryOLD2">'TEMPLATE-SHEET'!$B$24:$B$35</definedName>
    <definedName name="LineEntryOld3" localSheetId="8">'2499-001'!$B$24:$B$35</definedName>
    <definedName name="LineEntryOld3" localSheetId="9">'2499-002'!$B$24:$B$35</definedName>
    <definedName name="LineEntryOld3" localSheetId="10">'2499-003'!$B$24:$B$35</definedName>
    <definedName name="LineEntryOld3" localSheetId="11">'2499-004'!$B$24:$B$35</definedName>
    <definedName name="LineEntryOld3" localSheetId="12">'2499-005'!$B$24:$B$35</definedName>
    <definedName name="LineEntryOld3" localSheetId="13">'2499-006'!$B$24:$B$35</definedName>
    <definedName name="LineEntryOld3" localSheetId="14">'2499-007'!$B$24:$B$35</definedName>
    <definedName name="LineEntryOld3" localSheetId="15">'2499-008'!$B$24:$B$35</definedName>
    <definedName name="LineEntryOld3" localSheetId="6">'TEMPLATE-SHEET_scrap'!$B$24:$B$35</definedName>
    <definedName name="LineEntryOld3">'TEMPLATE-SHEET'!$B$24:$B$35</definedName>
    <definedName name="LINEOld">'[1]Line No'!$A$1:$B$360</definedName>
    <definedName name="OLD" localSheetId="8">'2499-001'!$E$24:$E$35</definedName>
    <definedName name="OLD" localSheetId="9">'2499-002'!$E$24:$E$35</definedName>
    <definedName name="OLD" localSheetId="10">'2499-003'!$E$24:$E$35</definedName>
    <definedName name="OLD" localSheetId="11">'2499-004'!$E$24:$E$35</definedName>
    <definedName name="OLD" localSheetId="12">'2499-005'!$E$24:$E$35</definedName>
    <definedName name="OLD" localSheetId="13">'2499-006'!$E$24:$E$35</definedName>
    <definedName name="OLD" localSheetId="14">'2499-007'!$E$24:$E$35</definedName>
    <definedName name="OLD" localSheetId="15">'2499-008'!$E$24:$E$35</definedName>
    <definedName name="OLD" localSheetId="6">'TEMPLATE-SHEET_scrap'!$E$24:$E$35</definedName>
    <definedName name="OLD">'TEMPLATE-SHEET'!$E$24:$E$35</definedName>
    <definedName name="PAYEE" localSheetId="8">'2499-001'!$Y$40:$Y$50</definedName>
    <definedName name="PAYEE" localSheetId="9">'2499-002'!$Y$40:$Y$50</definedName>
    <definedName name="PAYEE" localSheetId="10">'2499-003'!$Y$40:$Y$50</definedName>
    <definedName name="PAYEE" localSheetId="11">'2499-004'!$Y$40:$Y$50</definedName>
    <definedName name="PAYEE" localSheetId="12">'2499-005'!$Y$40:$Y$50</definedName>
    <definedName name="PAYEE" localSheetId="13">'2499-006'!$Y$40:$Y$50</definedName>
    <definedName name="PAYEE" localSheetId="14">'2499-007'!$Y$40:$Y$50</definedName>
    <definedName name="PAYEE" localSheetId="15">'2499-008'!$Y$40:$Y$50</definedName>
    <definedName name="PAYEE" localSheetId="5">'TEMPLATE-SHEET'!$Y$40:$Y$50</definedName>
    <definedName name="PAYEE" localSheetId="6">'TEMPLATE-SHEET_scrap'!$Y$40:$Y$50</definedName>
    <definedName name="PayIDEntry" localSheetId="8">'2499-001'!$F$24:$F$35</definedName>
    <definedName name="PayIDEntry" localSheetId="9">'2499-002'!$F$24:$F$35</definedName>
    <definedName name="PayIDEntry" localSheetId="10">'2499-003'!$F$24:$F$35</definedName>
    <definedName name="PayIDEntry" localSheetId="11">'2499-004'!$F$24:$F$35</definedName>
    <definedName name="PayIDEntry" localSheetId="12">'2499-005'!$F$24:$F$35</definedName>
    <definedName name="PayIDEntry" localSheetId="13">'2499-006'!$F$24:$F$35</definedName>
    <definedName name="PayIDEntry" localSheetId="14">'2499-007'!$F$24:$F$35</definedName>
    <definedName name="PayIDEntry" localSheetId="15">'2499-008'!$F$24:$F$35</definedName>
    <definedName name="PayIDEntry" localSheetId="6">'TEMPLATE-SHEET_scrap'!$F$24:$F$35</definedName>
    <definedName name="PayIDEntry">'TEMPLATE-SHEET'!$F$24:$F$35</definedName>
    <definedName name="PayIDEntryOLD" localSheetId="8">'2499-001'!$F$24:$F$35</definedName>
    <definedName name="PayIDEntryOLD" localSheetId="9">'2499-002'!$F$24:$F$35</definedName>
    <definedName name="PayIDEntryOLD" localSheetId="10">'2499-003'!$F$24:$F$35</definedName>
    <definedName name="PayIDEntryOLD" localSheetId="11">'2499-004'!$F$24:$F$35</definedName>
    <definedName name="PayIDEntryOLD" localSheetId="12">'2499-005'!$F$24:$F$35</definedName>
    <definedName name="PayIDEntryOLD" localSheetId="13">'2499-006'!$F$24:$F$35</definedName>
    <definedName name="PayIDEntryOLD" localSheetId="14">'2499-007'!$F$24:$F$35</definedName>
    <definedName name="PayIDEntryOLD" localSheetId="15">'2499-008'!$F$24:$F$35</definedName>
    <definedName name="PayIDEntryOLD" localSheetId="6">'TEMPLATE-SHEET_scrap'!$F$24:$F$35</definedName>
    <definedName name="PayIDEntryOLD">'TEMPLATE-SHEET'!$F$24:$F$35</definedName>
    <definedName name="PayIDEntryOld2" localSheetId="8">'2499-001'!$F$24:$F$35</definedName>
    <definedName name="PayIDEntryOld2" localSheetId="9">'2499-002'!$F$24:$F$35</definedName>
    <definedName name="PayIDEntryOld2" localSheetId="10">'2499-003'!$F$24:$F$35</definedName>
    <definedName name="PayIDEntryOld2" localSheetId="11">'2499-004'!$F$24:$F$35</definedName>
    <definedName name="PayIDEntryOld2" localSheetId="12">'2499-005'!$F$24:$F$35</definedName>
    <definedName name="PayIDEntryOld2" localSheetId="13">'2499-006'!$F$24:$F$35</definedName>
    <definedName name="PayIDEntryOld2" localSheetId="14">'2499-007'!$F$24:$F$35</definedName>
    <definedName name="PayIDEntryOld2" localSheetId="15">'2499-008'!$F$24:$F$35</definedName>
    <definedName name="PayIDEntryOld2" localSheetId="6">'TEMPLATE-SHEET_scrap'!$F$24:$F$35</definedName>
    <definedName name="PayIDEntryOld2">'TEMPLATE-SHEET'!$F$24:$F$35</definedName>
    <definedName name="PayIDEntryOld3" localSheetId="8">'2499-001'!$F$24:$F$35</definedName>
    <definedName name="PayIDEntryOld3" localSheetId="9">'2499-002'!$F$24:$F$35</definedName>
    <definedName name="PayIDEntryOld3" localSheetId="10">'2499-003'!$F$24:$F$35</definedName>
    <definedName name="PayIDEntryOld3" localSheetId="11">'2499-004'!$F$24:$F$35</definedName>
    <definedName name="PayIDEntryOld3" localSheetId="12">'2499-005'!$F$24:$F$35</definedName>
    <definedName name="PayIDEntryOld3" localSheetId="13">'2499-006'!$F$24:$F$35</definedName>
    <definedName name="PayIDEntryOld3" localSheetId="14">'2499-007'!$F$24:$F$35</definedName>
    <definedName name="PayIDEntryOld3" localSheetId="15">'2499-008'!$F$24:$F$35</definedName>
    <definedName name="PayIDEntryOld3" localSheetId="6">'TEMPLATE-SHEET_scrap'!$F$24:$F$35</definedName>
    <definedName name="PayIDEntryOld3">'TEMPLATE-SHEET'!$F$24:$F$35</definedName>
    <definedName name="PO_Log" localSheetId="3">'PO Log'!$A$6:INDEX('PO Log'!$I:$I, COUNTA('PO Log'!$A:$A) + 4)</definedName>
    <definedName name="PO_Log" localSheetId="4">'PO Log (2)'!$A$5:INDEX('PO Log (2)'!$I:$I, COUNTA('PO Log (2)'!$A:$A) + 4)</definedName>
    <definedName name="PO_total" localSheetId="4">INDEX('PO Log (2)'!$G:$G, COUNTA('PO Log (2)'!$A:$A) + 6)</definedName>
    <definedName name="PO_total">INDEX('PO Log'!$G:$G, COUNTA('PO Log'!$A:$A) + 6)</definedName>
    <definedName name="POtable">'PO DATA'!$F$14:$F$124</definedName>
    <definedName name="POtable_header">'PO DATA'!$F$14</definedName>
    <definedName name="Prefix">'PO DATA'!$B$15</definedName>
    <definedName name="_xlnm.Print_Area" localSheetId="8">'2499-001'!$B$1:$I$47</definedName>
    <definedName name="_xlnm.Print_Area" localSheetId="9">'2499-002'!$B$1:$I$47</definedName>
    <definedName name="_xlnm.Print_Area" localSheetId="10">'2499-003'!$B$1:$I$47</definedName>
    <definedName name="_xlnm.Print_Area" localSheetId="11">'2499-004'!$B$1:$I$47</definedName>
    <definedName name="_xlnm.Print_Area" localSheetId="12">'2499-005'!$B$1:$I$47</definedName>
    <definedName name="_xlnm.Print_Area" localSheetId="13">'2499-006'!$B$1:$I$47</definedName>
    <definedName name="_xlnm.Print_Area" localSheetId="14">'2499-007'!$B$1:$I$47</definedName>
    <definedName name="_xlnm.Print_Area" localSheetId="15">'2499-008'!$B$1:$I$47</definedName>
    <definedName name="_xlnm.Print_Area" localSheetId="3">'PO Log'!$B$6:$F$38</definedName>
    <definedName name="_xlnm.Print_Area" localSheetId="4">'PO Log (2)'!$B$5:$F$37</definedName>
    <definedName name="_xlnm.Print_Area" localSheetId="5">'TEMPLATE-SHEET'!$B$1:$I$47</definedName>
    <definedName name="_xlnm.Print_Area" localSheetId="6">'TEMPLATE-SHEET_scrap'!$B$1:$I$47</definedName>
    <definedName name="Sheet_PO" localSheetId="8">'2499-001'!$G$3</definedName>
    <definedName name="Sheet_PO" localSheetId="9">'2499-002'!$G$3</definedName>
    <definedName name="Sheet_PO" localSheetId="10">'2499-003'!$G$3</definedName>
    <definedName name="Sheet_PO" localSheetId="11">'2499-004'!$G$3</definedName>
    <definedName name="Sheet_PO" localSheetId="12">'2499-005'!$G$3</definedName>
    <definedName name="Sheet_PO" localSheetId="13">'2499-006'!$G$3</definedName>
    <definedName name="Sheet_PO" localSheetId="14">'2499-007'!$G$3</definedName>
    <definedName name="Sheet_PO" localSheetId="15">'2499-008'!$G$3</definedName>
    <definedName name="Sheet_PO" localSheetId="6">'TEMPLATE-SHEET_scrap'!$G$3</definedName>
    <definedName name="Sheet_PO">'TEMPLATE-SHEET'!$G$3</definedName>
    <definedName name="Start">'PO DATA'!$B$17</definedName>
    <definedName name="Vendor" localSheetId="8">'2499-001'!$C$10</definedName>
    <definedName name="Vendor" localSheetId="9">'2499-002'!$C$10</definedName>
    <definedName name="Vendor" localSheetId="10">'2499-003'!$C$10</definedName>
    <definedName name="Vendor" localSheetId="11">'2499-004'!$C$10</definedName>
    <definedName name="Vendor" localSheetId="12">'2499-005'!$C$10</definedName>
    <definedName name="Vendor" localSheetId="13">'2499-006'!$C$10</definedName>
    <definedName name="Vendor" localSheetId="14">'2499-007'!$C$10</definedName>
    <definedName name="Vendor" localSheetId="15">'2499-008'!$C$10</definedName>
    <definedName name="Vendor" localSheetId="6">'TEMPLATE-SHEET_scrap'!$C$10</definedName>
    <definedName name="Vendor">'TEMPLATE-SHEET'!$C$10</definedName>
    <definedName name="Z_8CEFEE3B_E906_4903_9850_D32C8D742297_.wvu.PrintArea" localSheetId="8" hidden="1">'2499-001'!$B$1:$I$46</definedName>
    <definedName name="Z_8CEFEE3B_E906_4903_9850_D32C8D742297_.wvu.PrintArea" localSheetId="9" hidden="1">'2499-002'!$B$1:$I$46</definedName>
    <definedName name="Z_8CEFEE3B_E906_4903_9850_D32C8D742297_.wvu.PrintArea" localSheetId="10" hidden="1">'2499-003'!$B$1:$I$46</definedName>
    <definedName name="Z_8CEFEE3B_E906_4903_9850_D32C8D742297_.wvu.PrintArea" localSheetId="11" hidden="1">'2499-004'!$B$1:$I$46</definedName>
    <definedName name="Z_8CEFEE3B_E906_4903_9850_D32C8D742297_.wvu.PrintArea" localSheetId="12" hidden="1">'2499-005'!$B$1:$I$46</definedName>
    <definedName name="Z_8CEFEE3B_E906_4903_9850_D32C8D742297_.wvu.PrintArea" localSheetId="13" hidden="1">'2499-006'!$B$1:$I$46</definedName>
    <definedName name="Z_8CEFEE3B_E906_4903_9850_D32C8D742297_.wvu.PrintArea" localSheetId="14" hidden="1">'2499-007'!$B$1:$I$46</definedName>
    <definedName name="Z_8CEFEE3B_E906_4903_9850_D32C8D742297_.wvu.PrintArea" localSheetId="15" hidden="1">'2499-008'!$B$1:$I$46</definedName>
    <definedName name="Z_8CEFEE3B_E906_4903_9850_D32C8D742297_.wvu.PrintArea" localSheetId="5" hidden="1">'TEMPLATE-SHEET'!$B$1:$I$46</definedName>
    <definedName name="Z_8CEFEE3B_E906_4903_9850_D32C8D742297_.wvu.PrintArea" localSheetId="6" hidden="1">'TEMPLATE-SHEET_scrap'!$B$1:$I$46</definedName>
    <definedName name="Z_C1355A62_F1E2_4388_B529_AB508DE122C3_.wvu.PrintArea" localSheetId="8" hidden="1">'2499-001'!$B$1:$I$46</definedName>
    <definedName name="Z_C1355A62_F1E2_4388_B529_AB508DE122C3_.wvu.PrintArea" localSheetId="9" hidden="1">'2499-002'!$B$1:$I$46</definedName>
    <definedName name="Z_C1355A62_F1E2_4388_B529_AB508DE122C3_.wvu.PrintArea" localSheetId="10" hidden="1">'2499-003'!$B$1:$I$46</definedName>
    <definedName name="Z_C1355A62_F1E2_4388_B529_AB508DE122C3_.wvu.PrintArea" localSheetId="11" hidden="1">'2499-004'!$B$1:$I$46</definedName>
    <definedName name="Z_C1355A62_F1E2_4388_B529_AB508DE122C3_.wvu.PrintArea" localSheetId="12" hidden="1">'2499-005'!$B$1:$I$46</definedName>
    <definedName name="Z_C1355A62_F1E2_4388_B529_AB508DE122C3_.wvu.PrintArea" localSheetId="13" hidden="1">'2499-006'!$B$1:$I$46</definedName>
    <definedName name="Z_C1355A62_F1E2_4388_B529_AB508DE122C3_.wvu.PrintArea" localSheetId="14" hidden="1">'2499-007'!$B$1:$I$46</definedName>
    <definedName name="Z_C1355A62_F1E2_4388_B529_AB508DE122C3_.wvu.PrintArea" localSheetId="15" hidden="1">'2499-008'!$B$1:$I$46</definedName>
    <definedName name="Z_C1355A62_F1E2_4388_B529_AB508DE122C3_.wvu.PrintArea" localSheetId="5" hidden="1">'TEMPLATE-SHEET'!$B$1:$I$46</definedName>
    <definedName name="Z_C1355A62_F1E2_4388_B529_AB508DE122C3_.wvu.PrintArea" localSheetId="6" hidden="1">'TEMPLATE-SHEET_scrap'!$B$1:$I$46</definedName>
  </definedNames>
  <calcPr calcId="191029"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D49" i="4" l="1"/>
  <c r="AD48" i="4"/>
  <c r="AD47" i="4"/>
  <c r="AD45" i="4"/>
  <c r="AD44" i="4"/>
  <c r="AD43" i="4"/>
  <c r="AD42" i="4"/>
  <c r="AD41" i="4"/>
  <c r="AD46" i="4"/>
  <c r="W20" i="4" a="1"/>
  <c r="W20" i="4" s="1"/>
  <c r="U20" i="4" a="1"/>
  <c r="U20" i="4" s="1"/>
  <c r="U20" i="793" a="1"/>
  <c r="U20" i="793" s="1"/>
  <c r="W20" i="793" s="1" a="1"/>
  <c r="W20" i="793" s="1"/>
  <c r="L20" i="793" a="1"/>
  <c r="L20" i="793" s="1"/>
  <c r="I37" i="801" l="1"/>
  <c r="I40" i="801" s="1"/>
  <c r="AE35" i="801"/>
  <c r="AD35" i="801"/>
  <c r="AC35" i="801"/>
  <c r="AB35" i="801"/>
  <c r="AA35" i="801"/>
  <c r="Z35" i="801"/>
  <c r="Y35" i="801"/>
  <c r="X35" i="801"/>
  <c r="W35" i="801"/>
  <c r="I35" i="801"/>
  <c r="I34" i="801"/>
  <c r="I33" i="801"/>
  <c r="I32" i="801"/>
  <c r="I31" i="801"/>
  <c r="I30" i="801"/>
  <c r="I29" i="801"/>
  <c r="I28" i="801"/>
  <c r="I27" i="801"/>
  <c r="I26" i="801"/>
  <c r="I25" i="801"/>
  <c r="I24" i="801"/>
  <c r="AL21" i="801" a="1"/>
  <c r="AL21" i="801" s="1"/>
  <c r="L20" i="801" a="1"/>
  <c r="L20" i="801" s="1"/>
  <c r="W20" i="801" s="1" a="1"/>
  <c r="AA13" i="801" a="1"/>
  <c r="AA13" i="801" s="1"/>
  <c r="AA12" i="801" a="1"/>
  <c r="AA12" i="801" s="1"/>
  <c r="AD11" i="801" a="1"/>
  <c r="AD11" i="801" s="1"/>
  <c r="AA11" i="801" a="1"/>
  <c r="AA11" i="801" s="1"/>
  <c r="AA10" i="801" a="1"/>
  <c r="AA10" i="801" s="1"/>
  <c r="F10" i="801"/>
  <c r="AH9" i="801" a="1"/>
  <c r="AH9" i="801" s="1"/>
  <c r="AA9" i="801" a="1"/>
  <c r="AA9" i="801" s="1"/>
  <c r="F9" i="801"/>
  <c r="C9" i="801"/>
  <c r="AA8" i="801" a="1"/>
  <c r="AA8" i="801" s="1"/>
  <c r="AA7" i="801" a="1"/>
  <c r="AA7" i="801" s="1"/>
  <c r="AH5" i="801"/>
  <c r="AH5" i="801" a="1"/>
  <c r="AQ4" i="801" a="1"/>
  <c r="AQ4" i="801" s="1"/>
  <c r="AO4" i="801" a="1"/>
  <c r="AO4" i="801" s="1"/>
  <c r="AD4" i="801" a="1"/>
  <c r="Z4" i="801" s="1" a="1"/>
  <c r="X4" i="801" a="1"/>
  <c r="X4" i="801" s="1"/>
  <c r="Y4" i="801" s="1" a="1"/>
  <c r="Y4" i="801" s="1"/>
  <c r="I37" i="800"/>
  <c r="I40" i="800" s="1"/>
  <c r="AE35" i="800"/>
  <c r="AD35" i="800"/>
  <c r="AC35" i="800"/>
  <c r="AB35" i="800"/>
  <c r="AA35" i="800"/>
  <c r="Z35" i="800"/>
  <c r="Y35" i="800"/>
  <c r="X35" i="800"/>
  <c r="W35" i="800"/>
  <c r="I35" i="800"/>
  <c r="I34" i="800"/>
  <c r="I33" i="800"/>
  <c r="I32" i="800"/>
  <c r="I31" i="800"/>
  <c r="I30" i="800"/>
  <c r="I29" i="800"/>
  <c r="I28" i="800"/>
  <c r="I27" i="800"/>
  <c r="I26" i="800"/>
  <c r="I25" i="800"/>
  <c r="I24" i="800"/>
  <c r="AL21" i="800" a="1"/>
  <c r="AL21" i="800" s="1"/>
  <c r="L20" i="800" a="1"/>
  <c r="L20" i="800" s="1"/>
  <c r="W20" i="800" s="1" a="1"/>
  <c r="AA13" i="800" a="1"/>
  <c r="AA13" i="800" s="1"/>
  <c r="AA12" i="800" a="1"/>
  <c r="AA12" i="800" s="1"/>
  <c r="AD11" i="800" a="1"/>
  <c r="AD11" i="800" s="1"/>
  <c r="AA11" i="800" a="1"/>
  <c r="AA11" i="800" s="1"/>
  <c r="AA10" i="800" a="1"/>
  <c r="AA10" i="800" s="1"/>
  <c r="F10" i="800"/>
  <c r="AH9" i="800" a="1"/>
  <c r="AH9" i="800" s="1"/>
  <c r="AA9" i="800" a="1"/>
  <c r="AA9" i="800" s="1"/>
  <c r="F9" i="800"/>
  <c r="C9" i="800"/>
  <c r="AA8" i="800" a="1"/>
  <c r="AA8" i="800" s="1"/>
  <c r="AA7" i="800" a="1"/>
  <c r="AA7" i="800" s="1"/>
  <c r="AH5" i="800" a="1"/>
  <c r="AH5" i="800" s="1"/>
  <c r="AQ4" i="800" a="1"/>
  <c r="AQ4" i="800" s="1"/>
  <c r="AO4" i="800" a="1"/>
  <c r="AO4" i="800" s="1"/>
  <c r="AD4" i="800" a="1"/>
  <c r="Z4" i="800" s="1" a="1"/>
  <c r="X4" i="800" a="1"/>
  <c r="X4" i="800" s="1"/>
  <c r="Y4" i="800" s="1" a="1"/>
  <c r="Y4" i="800" s="1"/>
  <c r="AE35" i="799"/>
  <c r="AD35" i="799"/>
  <c r="AC35" i="799"/>
  <c r="AB35" i="799"/>
  <c r="AA35" i="799"/>
  <c r="Z35" i="799"/>
  <c r="Y35" i="799"/>
  <c r="X35" i="799"/>
  <c r="W35" i="799"/>
  <c r="I35" i="799"/>
  <c r="I34" i="799"/>
  <c r="I33" i="799"/>
  <c r="I32" i="799"/>
  <c r="I31" i="799"/>
  <c r="I30" i="799"/>
  <c r="I29" i="799"/>
  <c r="I28" i="799"/>
  <c r="I27" i="799"/>
  <c r="I26" i="799"/>
  <c r="I25" i="799"/>
  <c r="I24" i="799"/>
  <c r="I37" i="799" s="1"/>
  <c r="I40" i="799" s="1"/>
  <c r="AL21" i="799" a="1"/>
  <c r="AL21" i="799" s="1"/>
  <c r="L20" i="799" a="1"/>
  <c r="L20" i="799" s="1"/>
  <c r="W20" i="799" s="1" a="1"/>
  <c r="AA13" i="799" a="1"/>
  <c r="AA13" i="799" s="1"/>
  <c r="AA12" i="799" a="1"/>
  <c r="AA12" i="799" s="1"/>
  <c r="AD11" i="799" a="1"/>
  <c r="AD11" i="799" s="1"/>
  <c r="AA11" i="799" a="1"/>
  <c r="AA11" i="799" s="1"/>
  <c r="AA10" i="799" a="1"/>
  <c r="AA10" i="799" s="1"/>
  <c r="F10" i="799"/>
  <c r="AH9" i="799" a="1"/>
  <c r="AH9" i="799" s="1"/>
  <c r="AA9" i="799" a="1"/>
  <c r="AA9" i="799" s="1"/>
  <c r="F9" i="799"/>
  <c r="C9" i="799"/>
  <c r="AA8" i="799" a="1"/>
  <c r="AA8" i="799" s="1"/>
  <c r="AA7" i="799" a="1"/>
  <c r="AA7" i="799" s="1"/>
  <c r="AH5" i="799" a="1"/>
  <c r="AH5" i="799" s="1"/>
  <c r="AQ4" i="799" a="1"/>
  <c r="AQ4" i="799" s="1"/>
  <c r="AO4" i="799" a="1"/>
  <c r="AO4" i="799" s="1"/>
  <c r="AD4" i="799" a="1"/>
  <c r="Z4" i="799" s="1" a="1"/>
  <c r="X4" i="799" a="1"/>
  <c r="X4" i="799" s="1"/>
  <c r="Y4" i="799" s="1" a="1"/>
  <c r="Y4" i="799" s="1"/>
  <c r="AE35" i="797"/>
  <c r="AD35" i="797"/>
  <c r="AC35" i="797"/>
  <c r="AB35" i="797"/>
  <c r="AA35" i="797"/>
  <c r="Z35" i="797"/>
  <c r="Y35" i="797"/>
  <c r="X35" i="797"/>
  <c r="W35" i="797"/>
  <c r="I35" i="797"/>
  <c r="I34" i="797"/>
  <c r="I33" i="797"/>
  <c r="I32" i="797"/>
  <c r="I31" i="797"/>
  <c r="I30" i="797"/>
  <c r="I29" i="797"/>
  <c r="I28" i="797"/>
  <c r="I27" i="797"/>
  <c r="I26" i="797"/>
  <c r="I25" i="797"/>
  <c r="I24" i="797"/>
  <c r="AL21" i="797" a="1"/>
  <c r="AL21" i="797" s="1"/>
  <c r="L20" i="797" a="1"/>
  <c r="L20" i="797" s="1"/>
  <c r="W20" i="797" s="1" a="1"/>
  <c r="AA13" i="797" a="1"/>
  <c r="AA13" i="797" s="1"/>
  <c r="AA12" i="797" a="1"/>
  <c r="AA12" i="797" s="1"/>
  <c r="AD11" i="797" a="1"/>
  <c r="AD11" i="797" s="1"/>
  <c r="AA11" i="797" a="1"/>
  <c r="AA11" i="797" s="1"/>
  <c r="AA10" i="797" a="1"/>
  <c r="AA10" i="797" s="1"/>
  <c r="F10" i="797"/>
  <c r="AH9" i="797" a="1"/>
  <c r="AH9" i="797" s="1"/>
  <c r="AA9" i="797" a="1"/>
  <c r="AA9" i="797" s="1"/>
  <c r="F9" i="797"/>
  <c r="C9" i="797"/>
  <c r="AA8" i="797" a="1"/>
  <c r="AA8" i="797" s="1"/>
  <c r="AA7" i="797" a="1"/>
  <c r="AA7" i="797" s="1"/>
  <c r="AH5" i="797" a="1"/>
  <c r="AH5" i="797" s="1"/>
  <c r="AQ4" i="797" a="1"/>
  <c r="AQ4" i="797" s="1"/>
  <c r="AO4" i="797" a="1"/>
  <c r="AO4" i="797" s="1"/>
  <c r="AD4" i="797" a="1"/>
  <c r="Z4" i="797" s="1" a="1"/>
  <c r="X4" i="797" a="1"/>
  <c r="X4" i="797" s="1"/>
  <c r="Y4" i="797" s="1" a="1"/>
  <c r="Y4" i="797" s="1"/>
  <c r="I37" i="796"/>
  <c r="I40" i="796" s="1"/>
  <c r="AE35" i="796"/>
  <c r="AD35" i="796"/>
  <c r="AC35" i="796"/>
  <c r="AB35" i="796"/>
  <c r="AA35" i="796"/>
  <c r="Z35" i="796"/>
  <c r="Y35" i="796"/>
  <c r="X35" i="796"/>
  <c r="W35" i="796"/>
  <c r="I35" i="796"/>
  <c r="I34" i="796"/>
  <c r="I33" i="796"/>
  <c r="I32" i="796"/>
  <c r="I31" i="796"/>
  <c r="I30" i="796"/>
  <c r="I29" i="796"/>
  <c r="I28" i="796"/>
  <c r="I27" i="796"/>
  <c r="I26" i="796"/>
  <c r="I25" i="796"/>
  <c r="I24" i="796"/>
  <c r="AL21" i="796" a="1"/>
  <c r="AL21" i="796" s="1"/>
  <c r="L20" i="796" a="1"/>
  <c r="L20" i="796" s="1"/>
  <c r="W20" i="796" s="1" a="1"/>
  <c r="AA13" i="796" a="1"/>
  <c r="AA13" i="796" s="1"/>
  <c r="AA12" i="796" a="1"/>
  <c r="AA12" i="796" s="1"/>
  <c r="AD11" i="796" a="1"/>
  <c r="AD11" i="796" s="1"/>
  <c r="AA11" i="796" a="1"/>
  <c r="AA11" i="796" s="1"/>
  <c r="AA10" i="796" a="1"/>
  <c r="AA10" i="796" s="1"/>
  <c r="F10" i="796"/>
  <c r="AH9" i="796" a="1"/>
  <c r="AH9" i="796" s="1"/>
  <c r="AA9" i="796" a="1"/>
  <c r="AA9" i="796" s="1"/>
  <c r="F9" i="796"/>
  <c r="C9" i="796"/>
  <c r="AA8" i="796" a="1"/>
  <c r="AA8" i="796" s="1"/>
  <c r="AA7" i="796" a="1"/>
  <c r="AA7" i="796" s="1"/>
  <c r="AH5" i="796" a="1"/>
  <c r="AH5" i="796" s="1"/>
  <c r="AQ4" i="796" a="1"/>
  <c r="AQ4" i="796" s="1"/>
  <c r="AO4" i="796" a="1"/>
  <c r="AO4" i="796" s="1"/>
  <c r="AD4" i="796" a="1"/>
  <c r="Z4" i="796" s="1" a="1"/>
  <c r="X4" i="796" a="1"/>
  <c r="X4" i="796" s="1"/>
  <c r="Y4" i="796" s="1" a="1"/>
  <c r="Y4" i="796" s="1"/>
  <c r="I37" i="795"/>
  <c r="I40" i="795" s="1"/>
  <c r="AE35" i="795"/>
  <c r="AD35" i="795"/>
  <c r="AC35" i="795"/>
  <c r="AB35" i="795"/>
  <c r="AA35" i="795"/>
  <c r="Z35" i="795"/>
  <c r="Y35" i="795"/>
  <c r="X35" i="795"/>
  <c r="W35" i="795"/>
  <c r="I35" i="795"/>
  <c r="I34" i="795"/>
  <c r="I33" i="795"/>
  <c r="I32" i="795"/>
  <c r="I31" i="795"/>
  <c r="I30" i="795"/>
  <c r="I29" i="795"/>
  <c r="I28" i="795"/>
  <c r="I27" i="795"/>
  <c r="I26" i="795"/>
  <c r="I25" i="795"/>
  <c r="I24" i="795"/>
  <c r="AL21" i="795" a="1"/>
  <c r="AL21" i="795" s="1"/>
  <c r="L20" i="795" a="1"/>
  <c r="L20" i="795" s="1"/>
  <c r="W20" i="795" s="1" a="1"/>
  <c r="AA13" i="795" a="1"/>
  <c r="AA13" i="795" s="1"/>
  <c r="AA12" i="795" a="1"/>
  <c r="AA12" i="795" s="1"/>
  <c r="AD11" i="795" a="1"/>
  <c r="AD11" i="795" s="1"/>
  <c r="AA11" i="795" a="1"/>
  <c r="AA11" i="795" s="1"/>
  <c r="AA10" i="795" a="1"/>
  <c r="AA10" i="795" s="1"/>
  <c r="F10" i="795"/>
  <c r="AH9" i="795" a="1"/>
  <c r="AH9" i="795" s="1"/>
  <c r="AA9" i="795" a="1"/>
  <c r="AA9" i="795" s="1"/>
  <c r="F9" i="795"/>
  <c r="C9" i="795"/>
  <c r="AA8" i="795" a="1"/>
  <c r="AA8" i="795" s="1"/>
  <c r="AA7" i="795" a="1"/>
  <c r="AA7" i="795" s="1"/>
  <c r="AH5" i="795" a="1"/>
  <c r="AH5" i="795" s="1"/>
  <c r="AQ4" i="795" a="1"/>
  <c r="AQ4" i="795" s="1"/>
  <c r="AO4" i="795" a="1"/>
  <c r="AO4" i="795" s="1"/>
  <c r="AD4" i="795" a="1"/>
  <c r="Z4" i="795" s="1" a="1"/>
  <c r="X4" i="795" a="1"/>
  <c r="X4" i="795" s="1"/>
  <c r="Y4" i="795" s="1" a="1"/>
  <c r="Y4" i="795" s="1"/>
  <c r="I37" i="794"/>
  <c r="I40" i="794" s="1"/>
  <c r="AE35" i="794"/>
  <c r="AD35" i="794"/>
  <c r="AC35" i="794"/>
  <c r="AB35" i="794"/>
  <c r="AA35" i="794"/>
  <c r="Z35" i="794"/>
  <c r="Y35" i="794"/>
  <c r="X35" i="794"/>
  <c r="W35" i="794"/>
  <c r="I35" i="794"/>
  <c r="I34" i="794"/>
  <c r="I33" i="794"/>
  <c r="I32" i="794"/>
  <c r="I31" i="794"/>
  <c r="I30" i="794"/>
  <c r="I29" i="794"/>
  <c r="I28" i="794"/>
  <c r="I27" i="794"/>
  <c r="I26" i="794"/>
  <c r="I25" i="794"/>
  <c r="I24" i="794"/>
  <c r="AL21" i="794" a="1"/>
  <c r="AL21" i="794" s="1"/>
  <c r="L20" i="794" a="1"/>
  <c r="L20" i="794" s="1"/>
  <c r="W20" i="794" s="1" a="1"/>
  <c r="AA13" i="794" a="1"/>
  <c r="AA13" i="794" s="1"/>
  <c r="AA12" i="794" a="1"/>
  <c r="AA12" i="794" s="1"/>
  <c r="AD11" i="794" a="1"/>
  <c r="AD11" i="794" s="1"/>
  <c r="AA11" i="794" a="1"/>
  <c r="AA11" i="794" s="1"/>
  <c r="AA10" i="794" a="1"/>
  <c r="AA10" i="794" s="1"/>
  <c r="F10" i="794"/>
  <c r="AH9" i="794" a="1"/>
  <c r="AH9" i="794" s="1"/>
  <c r="AA9" i="794" a="1"/>
  <c r="AA9" i="794" s="1"/>
  <c r="F9" i="794"/>
  <c r="C9" i="794"/>
  <c r="AA8" i="794" a="1"/>
  <c r="AA8" i="794" s="1"/>
  <c r="AA7" i="794" a="1"/>
  <c r="AA7" i="794" s="1"/>
  <c r="AH5" i="794" a="1"/>
  <c r="AH5" i="794" s="1"/>
  <c r="AQ4" i="794" a="1"/>
  <c r="AQ4" i="794" s="1"/>
  <c r="AO4" i="794" a="1"/>
  <c r="AO4" i="794" s="1"/>
  <c r="AD4" i="794" a="1"/>
  <c r="Z4" i="794" s="1" a="1"/>
  <c r="X4" i="794" a="1"/>
  <c r="X4" i="794" s="1"/>
  <c r="Y4" i="794" s="1" a="1"/>
  <c r="Y4" i="794" s="1"/>
  <c r="AE35" i="793"/>
  <c r="AD35" i="793"/>
  <c r="AC35" i="793"/>
  <c r="AB35" i="793"/>
  <c r="AA35" i="793"/>
  <c r="Z35" i="793"/>
  <c r="Y35" i="793"/>
  <c r="X35" i="793"/>
  <c r="W35" i="793"/>
  <c r="I35" i="793"/>
  <c r="I34" i="793"/>
  <c r="I33" i="793"/>
  <c r="I32" i="793"/>
  <c r="I31" i="793"/>
  <c r="I30" i="793"/>
  <c r="I29" i="793"/>
  <c r="I28" i="793"/>
  <c r="I27" i="793"/>
  <c r="I26" i="793"/>
  <c r="I25" i="793"/>
  <c r="I24" i="793"/>
  <c r="AL21" i="793" a="1"/>
  <c r="AL21" i="793" s="1"/>
  <c r="AA13" i="793" a="1"/>
  <c r="AA13" i="793" s="1"/>
  <c r="AA12" i="793" a="1"/>
  <c r="AA12" i="793" s="1"/>
  <c r="AD11" i="793" a="1"/>
  <c r="AD11" i="793" s="1"/>
  <c r="AA11" i="793" a="1"/>
  <c r="AA11" i="793" s="1"/>
  <c r="AA10" i="793" a="1"/>
  <c r="AA10" i="793" s="1"/>
  <c r="F10" i="793"/>
  <c r="AH9" i="793" a="1"/>
  <c r="AH9" i="793" s="1"/>
  <c r="AA9" i="793" a="1"/>
  <c r="AA9" i="793" s="1"/>
  <c r="F9" i="793"/>
  <c r="C9" i="793"/>
  <c r="AA8" i="793" a="1"/>
  <c r="AA8" i="793" s="1"/>
  <c r="AA7" i="793" a="1"/>
  <c r="AA7" i="793" s="1"/>
  <c r="AH5" i="793" a="1"/>
  <c r="AH5" i="793" s="1"/>
  <c r="AQ4" i="793" a="1"/>
  <c r="AQ4" i="793" s="1"/>
  <c r="AO4" i="793" a="1"/>
  <c r="AO4" i="793" s="1"/>
  <c r="AD4" i="793" a="1"/>
  <c r="Z4" i="793" s="1" a="1"/>
  <c r="Z4" i="793" s="1"/>
  <c r="X4" i="793" a="1"/>
  <c r="X4" i="793" s="1"/>
  <c r="Y4" i="793" s="1" a="1"/>
  <c r="Y4" i="793" s="1"/>
  <c r="I37" i="792"/>
  <c r="I40" i="792" s="1"/>
  <c r="AE35" i="792"/>
  <c r="AD35" i="792"/>
  <c r="AC35" i="792"/>
  <c r="AB35" i="792"/>
  <c r="AA35" i="792"/>
  <c r="Z35" i="792"/>
  <c r="Y35" i="792"/>
  <c r="X35" i="792"/>
  <c r="W35" i="792"/>
  <c r="I35" i="792"/>
  <c r="I34" i="792"/>
  <c r="I33" i="792"/>
  <c r="I32" i="792"/>
  <c r="I31" i="792"/>
  <c r="I30" i="792"/>
  <c r="I29" i="792"/>
  <c r="I28" i="792"/>
  <c r="I27" i="792"/>
  <c r="I26" i="792"/>
  <c r="I25" i="792"/>
  <c r="I24" i="792"/>
  <c r="AL21" i="792" a="1"/>
  <c r="AL21" i="792" s="1"/>
  <c r="L20" i="792" a="1"/>
  <c r="L20" i="792" s="1"/>
  <c r="W20" i="792" s="1" a="1"/>
  <c r="AA13" i="792" a="1"/>
  <c r="AA13" i="792" s="1"/>
  <c r="AA12" i="792" a="1"/>
  <c r="AA12" i="792" s="1"/>
  <c r="AD11" i="792" a="1"/>
  <c r="AD11" i="792" s="1"/>
  <c r="AA11" i="792" a="1"/>
  <c r="AA11" i="792" s="1"/>
  <c r="AA10" i="792" a="1"/>
  <c r="AA10" i="792" s="1"/>
  <c r="F10" i="792"/>
  <c r="AH9" i="792" a="1"/>
  <c r="AH9" i="792" s="1"/>
  <c r="AA9" i="792" a="1"/>
  <c r="AA9" i="792" s="1"/>
  <c r="F9" i="792"/>
  <c r="C9" i="792"/>
  <c r="AA8" i="792" a="1"/>
  <c r="AA8" i="792" s="1"/>
  <c r="AA7" i="792" a="1"/>
  <c r="AA7" i="792" s="1"/>
  <c r="AH5" i="792" a="1"/>
  <c r="AH5" i="792" s="1"/>
  <c r="AQ4" i="792" a="1"/>
  <c r="AQ4" i="792" s="1"/>
  <c r="AO4" i="792" a="1"/>
  <c r="AO4" i="792" s="1"/>
  <c r="AD4" i="792" a="1"/>
  <c r="Z4" i="792" s="1" a="1"/>
  <c r="X4" i="792" a="1"/>
  <c r="X4" i="792" s="1"/>
  <c r="Y4" i="792" s="1" a="1"/>
  <c r="Y4" i="792" s="1"/>
  <c r="L20" i="4" a="1"/>
  <c r="L20" i="4" s="1"/>
  <c r="AL21" i="4" a="1"/>
  <c r="AL21" i="4" s="1"/>
  <c r="AS21" i="4" s="1" a="1"/>
  <c r="AS21" i="4" s="1"/>
  <c r="AA13" i="4" a="1"/>
  <c r="AA13" i="4" s="1"/>
  <c r="AA12" i="4" a="1"/>
  <c r="AA12" i="4" s="1"/>
  <c r="AD11" i="4" a="1"/>
  <c r="AD11" i="4" s="1"/>
  <c r="AA11" i="4" a="1"/>
  <c r="AA11" i="4" s="1"/>
  <c r="AA10" i="4" a="1"/>
  <c r="AA10" i="4" s="1"/>
  <c r="AH9" i="4" a="1"/>
  <c r="AH9" i="4" s="1"/>
  <c r="AA9" i="4" a="1"/>
  <c r="AA9" i="4" s="1"/>
  <c r="AA8" i="4" a="1"/>
  <c r="AA8" i="4" s="1"/>
  <c r="AA7" i="4" a="1"/>
  <c r="AA7" i="4" s="1"/>
  <c r="AH5" i="4" a="1"/>
  <c r="AH5" i="4" s="1"/>
  <c r="AQ4" i="4" a="1"/>
  <c r="AQ4" i="4" s="1"/>
  <c r="AO4" i="4" a="1"/>
  <c r="AO4" i="4" s="1"/>
  <c r="AD4" i="4" a="1"/>
  <c r="Z4" i="4" s="1" a="1"/>
  <c r="X4" i="4" a="1"/>
  <c r="X4" i="4" s="1"/>
  <c r="Y4" i="4" s="1" a="1"/>
  <c r="Y4" i="4" s="1"/>
  <c r="I37" i="793" l="1"/>
  <c r="I40" i="793" s="1"/>
  <c r="Z4" i="801"/>
  <c r="AA4" i="801" s="1" a="1"/>
  <c r="AA4" i="801" s="1"/>
  <c r="AA5" i="801" a="1"/>
  <c r="AA5" i="801" s="1"/>
  <c r="AA6" i="801" a="1"/>
  <c r="AA6" i="801" s="1"/>
  <c r="Z34" i="801"/>
  <c r="Z33" i="801"/>
  <c r="Z32" i="801"/>
  <c r="Z31" i="801"/>
  <c r="Z30" i="801"/>
  <c r="Z29" i="801"/>
  <c r="Z28" i="801"/>
  <c r="Z27" i="801"/>
  <c r="Z26" i="801"/>
  <c r="Z25" i="801"/>
  <c r="Z24" i="801"/>
  <c r="Y34" i="801"/>
  <c r="Y33" i="801"/>
  <c r="Y32" i="801"/>
  <c r="Y31" i="801"/>
  <c r="Y30" i="801"/>
  <c r="Y29" i="801"/>
  <c r="Y28" i="801"/>
  <c r="Y27" i="801"/>
  <c r="Y26" i="801"/>
  <c r="Y25" i="801"/>
  <c r="Y24" i="801"/>
  <c r="W20" i="801"/>
  <c r="X34" i="801"/>
  <c r="X33" i="801"/>
  <c r="X32" i="801"/>
  <c r="X30" i="801"/>
  <c r="X29" i="801"/>
  <c r="X28" i="801"/>
  <c r="X26" i="801"/>
  <c r="X24" i="801"/>
  <c r="X31" i="801"/>
  <c r="X27" i="801"/>
  <c r="X25" i="801"/>
  <c r="AB32" i="801"/>
  <c r="AE34" i="801"/>
  <c r="AE32" i="801"/>
  <c r="AE31" i="801"/>
  <c r="AE30" i="801"/>
  <c r="AE29" i="801"/>
  <c r="AE28" i="801"/>
  <c r="AE27" i="801"/>
  <c r="AE26" i="801"/>
  <c r="AE24" i="801"/>
  <c r="AB29" i="801"/>
  <c r="AE33" i="801"/>
  <c r="AE25" i="801"/>
  <c r="AD34" i="801"/>
  <c r="AD33" i="801"/>
  <c r="AD32" i="801"/>
  <c r="AD31" i="801"/>
  <c r="AD30" i="801"/>
  <c r="AD29" i="801"/>
  <c r="AD28" i="801"/>
  <c r="AD27" i="801"/>
  <c r="AD26" i="801"/>
  <c r="AD25" i="801"/>
  <c r="AD24" i="801"/>
  <c r="AC34" i="801"/>
  <c r="AC33" i="801"/>
  <c r="AC32" i="801"/>
  <c r="AC31" i="801"/>
  <c r="AC30" i="801"/>
  <c r="AC29" i="801"/>
  <c r="AC28" i="801"/>
  <c r="AC27" i="801"/>
  <c r="AC26" i="801"/>
  <c r="AC25" i="801"/>
  <c r="AC24" i="801"/>
  <c r="AB30" i="801"/>
  <c r="AB34" i="801"/>
  <c r="AB33" i="801"/>
  <c r="AB31" i="801"/>
  <c r="AB28" i="801"/>
  <c r="AB27" i="801"/>
  <c r="AB26" i="801"/>
  <c r="AB25" i="801"/>
  <c r="AB24" i="801"/>
  <c r="AA34" i="801"/>
  <c r="AA33" i="801"/>
  <c r="AA32" i="801"/>
  <c r="AA31" i="801"/>
  <c r="AA30" i="801"/>
  <c r="AA29" i="801"/>
  <c r="AA28" i="801"/>
  <c r="AA27" i="801"/>
  <c r="AA26" i="801"/>
  <c r="AA25" i="801"/>
  <c r="AA24" i="801"/>
  <c r="AS21" i="801" a="1"/>
  <c r="AS21" i="801" s="1"/>
  <c r="AR21" i="801" a="1"/>
  <c r="AR21" i="801" s="1"/>
  <c r="AD4" i="801"/>
  <c r="AR21" i="800" a="1"/>
  <c r="AR21" i="800" s="1"/>
  <c r="AS21" i="800" a="1"/>
  <c r="AS21" i="800" s="1"/>
  <c r="Z4" i="800"/>
  <c r="AA4" i="800" s="1" a="1"/>
  <c r="AA4" i="800" s="1"/>
  <c r="AA6" i="800" a="1"/>
  <c r="AA6" i="800" s="1"/>
  <c r="AA5" i="800" a="1"/>
  <c r="AA5" i="800" s="1"/>
  <c r="Z34" i="800"/>
  <c r="Z33" i="800"/>
  <c r="Z32" i="800"/>
  <c r="Z31" i="800"/>
  <c r="Z30" i="800"/>
  <c r="Z29" i="800"/>
  <c r="Z28" i="800"/>
  <c r="Z27" i="800"/>
  <c r="Z26" i="800"/>
  <c r="Z25" i="800"/>
  <c r="Z24" i="800"/>
  <c r="AC24" i="800"/>
  <c r="Y34" i="800"/>
  <c r="Y33" i="800"/>
  <c r="Y32" i="800"/>
  <c r="Y31" i="800"/>
  <c r="Y30" i="800"/>
  <c r="Y29" i="800"/>
  <c r="Y28" i="800"/>
  <c r="Y27" i="800"/>
  <c r="Y26" i="800"/>
  <c r="Y25" i="800"/>
  <c r="Y24" i="800"/>
  <c r="W20" i="800"/>
  <c r="AC25" i="800"/>
  <c r="X34" i="800"/>
  <c r="X33" i="800"/>
  <c r="X32" i="800"/>
  <c r="X31" i="800"/>
  <c r="X30" i="800"/>
  <c r="X29" i="800"/>
  <c r="X28" i="800"/>
  <c r="X27" i="800"/>
  <c r="X26" i="800"/>
  <c r="X25" i="800"/>
  <c r="X24" i="800"/>
  <c r="AE34" i="800"/>
  <c r="AE33" i="800"/>
  <c r="AE32" i="800"/>
  <c r="AE31" i="800"/>
  <c r="AE30" i="800"/>
  <c r="AE29" i="800"/>
  <c r="AE28" i="800"/>
  <c r="AE27" i="800"/>
  <c r="AE26" i="800"/>
  <c r="AE25" i="800"/>
  <c r="AE24" i="800"/>
  <c r="AC32" i="800"/>
  <c r="AC30" i="800"/>
  <c r="AC28" i="800"/>
  <c r="AC27" i="800"/>
  <c r="AD34" i="800"/>
  <c r="AD33" i="800"/>
  <c r="AD32" i="800"/>
  <c r="AD31" i="800"/>
  <c r="AD30" i="800"/>
  <c r="AD29" i="800"/>
  <c r="AD28" i="800"/>
  <c r="AD27" i="800"/>
  <c r="AD26" i="800"/>
  <c r="AD25" i="800"/>
  <c r="AD24" i="800"/>
  <c r="AB34" i="800"/>
  <c r="AB33" i="800"/>
  <c r="AB32" i="800"/>
  <c r="AB31" i="800"/>
  <c r="AB30" i="800"/>
  <c r="AB29" i="800"/>
  <c r="AB28" i="800"/>
  <c r="AB27" i="800"/>
  <c r="AB26" i="800"/>
  <c r="AB25" i="800"/>
  <c r="AB24" i="800"/>
  <c r="AA34" i="800"/>
  <c r="AA33" i="800"/>
  <c r="AA32" i="800"/>
  <c r="AA31" i="800"/>
  <c r="AA30" i="800"/>
  <c r="AA29" i="800"/>
  <c r="AA28" i="800"/>
  <c r="AA27" i="800"/>
  <c r="AA26" i="800"/>
  <c r="AA25" i="800"/>
  <c r="AA24" i="800"/>
  <c r="AC34" i="800"/>
  <c r="AC33" i="800"/>
  <c r="AC31" i="800"/>
  <c r="AC29" i="800"/>
  <c r="AC26" i="800"/>
  <c r="AD4" i="800"/>
  <c r="Z4" i="799"/>
  <c r="AA4" i="799" s="1" a="1"/>
  <c r="AA4" i="799" s="1"/>
  <c r="AA5" i="799" a="1"/>
  <c r="AA5" i="799" s="1"/>
  <c r="AA6" i="799" a="1"/>
  <c r="AA6" i="799" s="1"/>
  <c r="Z34" i="799"/>
  <c r="Z33" i="799"/>
  <c r="Z32" i="799"/>
  <c r="Z31" i="799"/>
  <c r="Z30" i="799"/>
  <c r="Z29" i="799"/>
  <c r="Z28" i="799"/>
  <c r="Z27" i="799"/>
  <c r="Z26" i="799"/>
  <c r="Z25" i="799"/>
  <c r="Z24" i="799"/>
  <c r="Y34" i="799"/>
  <c r="Y33" i="799"/>
  <c r="Y32" i="799"/>
  <c r="Y31" i="799"/>
  <c r="Y30" i="799"/>
  <c r="Y29" i="799"/>
  <c r="Y28" i="799"/>
  <c r="Y27" i="799"/>
  <c r="Y26" i="799"/>
  <c r="Y25" i="799"/>
  <c r="Y24" i="799"/>
  <c r="W20" i="799"/>
  <c r="X34" i="799"/>
  <c r="X33" i="799"/>
  <c r="X32" i="799"/>
  <c r="X31" i="799"/>
  <c r="X30" i="799"/>
  <c r="X29" i="799"/>
  <c r="X28" i="799"/>
  <c r="X27" i="799"/>
  <c r="X26" i="799"/>
  <c r="X25" i="799"/>
  <c r="X24" i="799"/>
  <c r="AE34" i="799"/>
  <c r="AE33" i="799"/>
  <c r="AE32" i="799"/>
  <c r="AE31" i="799"/>
  <c r="AE30" i="799"/>
  <c r="AE29" i="799"/>
  <c r="AE28" i="799"/>
  <c r="AE27" i="799"/>
  <c r="AE26" i="799"/>
  <c r="AE25" i="799"/>
  <c r="AE24" i="799"/>
  <c r="AD34" i="799"/>
  <c r="AD33" i="799"/>
  <c r="AD32" i="799"/>
  <c r="AD31" i="799"/>
  <c r="AD30" i="799"/>
  <c r="AD29" i="799"/>
  <c r="AD28" i="799"/>
  <c r="AD27" i="799"/>
  <c r="AD26" i="799"/>
  <c r="AD25" i="799"/>
  <c r="AD24" i="799"/>
  <c r="AC34" i="799"/>
  <c r="AC33" i="799"/>
  <c r="AC32" i="799"/>
  <c r="AC31" i="799"/>
  <c r="AC30" i="799"/>
  <c r="AC29" i="799"/>
  <c r="AC28" i="799"/>
  <c r="AC27" i="799"/>
  <c r="AC26" i="799"/>
  <c r="AC25" i="799"/>
  <c r="AC24" i="799"/>
  <c r="AB34" i="799"/>
  <c r="AB33" i="799"/>
  <c r="AB32" i="799"/>
  <c r="AB31" i="799"/>
  <c r="AB30" i="799"/>
  <c r="AB29" i="799"/>
  <c r="AB28" i="799"/>
  <c r="AB27" i="799"/>
  <c r="AB26" i="799"/>
  <c r="AB25" i="799"/>
  <c r="AB24" i="799"/>
  <c r="AA34" i="799"/>
  <c r="AA33" i="799"/>
  <c r="AA32" i="799"/>
  <c r="AA31" i="799"/>
  <c r="AA30" i="799"/>
  <c r="AA29" i="799"/>
  <c r="AA28" i="799"/>
  <c r="AA27" i="799"/>
  <c r="AA26" i="799"/>
  <c r="AA25" i="799"/>
  <c r="AA24" i="799"/>
  <c r="AS21" i="799" a="1"/>
  <c r="AS21" i="799" s="1"/>
  <c r="AR21" i="799" a="1"/>
  <c r="AR21" i="799" s="1"/>
  <c r="AD4" i="799"/>
  <c r="I37" i="797"/>
  <c r="I40" i="797" s="1"/>
  <c r="AS21" i="797" a="1"/>
  <c r="AS21" i="797" s="1"/>
  <c r="AR21" i="797" a="1"/>
  <c r="AR21" i="797" s="1"/>
  <c r="Z4" i="797"/>
  <c r="AA4" i="797" s="1" a="1"/>
  <c r="AA4" i="797" s="1"/>
  <c r="AA5" i="797" a="1"/>
  <c r="AA5" i="797" s="1"/>
  <c r="AA6" i="797" a="1"/>
  <c r="AA6" i="797" s="1"/>
  <c r="Z34" i="797"/>
  <c r="Z33" i="797"/>
  <c r="Z32" i="797"/>
  <c r="Z31" i="797"/>
  <c r="Z30" i="797"/>
  <c r="Z29" i="797"/>
  <c r="Z28" i="797"/>
  <c r="Z27" i="797"/>
  <c r="Z26" i="797"/>
  <c r="Z25" i="797"/>
  <c r="Z24" i="797"/>
  <c r="Y34" i="797"/>
  <c r="Y33" i="797"/>
  <c r="Y32" i="797"/>
  <c r="Y31" i="797"/>
  <c r="Y30" i="797"/>
  <c r="Y29" i="797"/>
  <c r="Y28" i="797"/>
  <c r="Y27" i="797"/>
  <c r="Y26" i="797"/>
  <c r="Y25" i="797"/>
  <c r="Y24" i="797"/>
  <c r="W20" i="797"/>
  <c r="AC24" i="797"/>
  <c r="X34" i="797"/>
  <c r="X33" i="797"/>
  <c r="X32" i="797"/>
  <c r="X31" i="797"/>
  <c r="X30" i="797"/>
  <c r="X29" i="797"/>
  <c r="X28" i="797"/>
  <c r="X27" i="797"/>
  <c r="X26" i="797"/>
  <c r="X25" i="797"/>
  <c r="X24" i="797"/>
  <c r="AC31" i="797"/>
  <c r="AC26" i="797"/>
  <c r="AC28" i="797"/>
  <c r="AE34" i="797"/>
  <c r="AE33" i="797"/>
  <c r="AE32" i="797"/>
  <c r="AE31" i="797"/>
  <c r="AE30" i="797"/>
  <c r="AE29" i="797"/>
  <c r="AE28" i="797"/>
  <c r="AE27" i="797"/>
  <c r="AE26" i="797"/>
  <c r="AE25" i="797"/>
  <c r="AE24" i="797"/>
  <c r="AD34" i="797"/>
  <c r="AD33" i="797"/>
  <c r="AD32" i="797"/>
  <c r="AD31" i="797"/>
  <c r="AD30" i="797"/>
  <c r="AD29" i="797"/>
  <c r="AD28" i="797"/>
  <c r="AD27" i="797"/>
  <c r="AD26" i="797"/>
  <c r="AD25" i="797"/>
  <c r="AD24" i="797"/>
  <c r="AC33" i="797"/>
  <c r="AC32" i="797"/>
  <c r="AC30" i="797"/>
  <c r="AC27" i="797"/>
  <c r="AB34" i="797"/>
  <c r="AB33" i="797"/>
  <c r="AB32" i="797"/>
  <c r="AB31" i="797"/>
  <c r="AB30" i="797"/>
  <c r="AB29" i="797"/>
  <c r="AB28" i="797"/>
  <c r="AB27" i="797"/>
  <c r="AB26" i="797"/>
  <c r="AB25" i="797"/>
  <c r="AB24" i="797"/>
  <c r="AC34" i="797"/>
  <c r="AC29" i="797"/>
  <c r="AC25" i="797"/>
  <c r="AA34" i="797"/>
  <c r="AA33" i="797"/>
  <c r="AA32" i="797"/>
  <c r="AA31" i="797"/>
  <c r="AA30" i="797"/>
  <c r="AA29" i="797"/>
  <c r="AA28" i="797"/>
  <c r="AA27" i="797"/>
  <c r="AA26" i="797"/>
  <c r="AA25" i="797"/>
  <c r="AA24" i="797"/>
  <c r="AD4" i="797"/>
  <c r="Z4" i="796"/>
  <c r="AA4" i="796" s="1" a="1"/>
  <c r="AA4" i="796" s="1"/>
  <c r="AA5" i="796" a="1"/>
  <c r="AA5" i="796" s="1"/>
  <c r="AA6" i="796" a="1"/>
  <c r="AA6" i="796" s="1"/>
  <c r="Z34" i="796"/>
  <c r="Z33" i="796"/>
  <c r="Z32" i="796"/>
  <c r="Z31" i="796"/>
  <c r="Z30" i="796"/>
  <c r="Z29" i="796"/>
  <c r="Z28" i="796"/>
  <c r="Z27" i="796"/>
  <c r="Z26" i="796"/>
  <c r="Z25" i="796"/>
  <c r="Z24" i="796"/>
  <c r="AC31" i="796"/>
  <c r="AC27" i="796"/>
  <c r="Y34" i="796"/>
  <c r="Y33" i="796"/>
  <c r="Y32" i="796"/>
  <c r="Y31" i="796"/>
  <c r="Y30" i="796"/>
  <c r="Y29" i="796"/>
  <c r="Y28" i="796"/>
  <c r="Y27" i="796"/>
  <c r="Y26" i="796"/>
  <c r="Y25" i="796"/>
  <c r="Y24" i="796"/>
  <c r="W20" i="796"/>
  <c r="AC33" i="796"/>
  <c r="AC25" i="796"/>
  <c r="X34" i="796"/>
  <c r="X33" i="796"/>
  <c r="X32" i="796"/>
  <c r="X31" i="796"/>
  <c r="X30" i="796"/>
  <c r="X29" i="796"/>
  <c r="X28" i="796"/>
  <c r="X27" i="796"/>
  <c r="X26" i="796"/>
  <c r="X25" i="796"/>
  <c r="X24" i="796"/>
  <c r="AE32" i="796"/>
  <c r="AE29" i="796"/>
  <c r="AE26" i="796"/>
  <c r="AC30" i="796"/>
  <c r="AC26" i="796"/>
  <c r="AE34" i="796"/>
  <c r="AE33" i="796"/>
  <c r="AE31" i="796"/>
  <c r="AE30" i="796"/>
  <c r="AE28" i="796"/>
  <c r="AE27" i="796"/>
  <c r="AE25" i="796"/>
  <c r="AE24" i="796"/>
  <c r="AC29" i="796"/>
  <c r="AC32" i="796"/>
  <c r="AC28" i="796"/>
  <c r="AD34" i="796"/>
  <c r="AD33" i="796"/>
  <c r="AD32" i="796"/>
  <c r="AD31" i="796"/>
  <c r="AD30" i="796"/>
  <c r="AD29" i="796"/>
  <c r="AD28" i="796"/>
  <c r="AD27" i="796"/>
  <c r="AD26" i="796"/>
  <c r="AD25" i="796"/>
  <c r="AD24" i="796"/>
  <c r="AB34" i="796"/>
  <c r="AB33" i="796"/>
  <c r="AB32" i="796"/>
  <c r="AB31" i="796"/>
  <c r="AB30" i="796"/>
  <c r="AB29" i="796"/>
  <c r="AB28" i="796"/>
  <c r="AB27" i="796"/>
  <c r="AB26" i="796"/>
  <c r="AB25" i="796"/>
  <c r="AB24" i="796"/>
  <c r="AC34" i="796"/>
  <c r="AC24" i="796"/>
  <c r="AA34" i="796"/>
  <c r="AA33" i="796"/>
  <c r="AA32" i="796"/>
  <c r="AA31" i="796"/>
  <c r="AA30" i="796"/>
  <c r="AA29" i="796"/>
  <c r="AA28" i="796"/>
  <c r="AA27" i="796"/>
  <c r="AA26" i="796"/>
  <c r="AA25" i="796"/>
  <c r="AA24" i="796"/>
  <c r="AS21" i="796" a="1"/>
  <c r="AS21" i="796" s="1"/>
  <c r="AR21" i="796" a="1"/>
  <c r="AR21" i="796" s="1"/>
  <c r="AD4" i="796"/>
  <c r="Z34" i="795"/>
  <c r="Z33" i="795"/>
  <c r="Z32" i="795"/>
  <c r="Z31" i="795"/>
  <c r="Z30" i="795"/>
  <c r="Z29" i="795"/>
  <c r="Z28" i="795"/>
  <c r="Z27" i="795"/>
  <c r="Z26" i="795"/>
  <c r="Z25" i="795"/>
  <c r="Z24" i="795"/>
  <c r="Y34" i="795"/>
  <c r="Y33" i="795"/>
  <c r="Y32" i="795"/>
  <c r="Y31" i="795"/>
  <c r="Y30" i="795"/>
  <c r="Y29" i="795"/>
  <c r="Y28" i="795"/>
  <c r="Y27" i="795"/>
  <c r="Y26" i="795"/>
  <c r="Y25" i="795"/>
  <c r="Y24" i="795"/>
  <c r="W20" i="795"/>
  <c r="AC25" i="795"/>
  <c r="AB34" i="795"/>
  <c r="AB31" i="795"/>
  <c r="AB27" i="795"/>
  <c r="X34" i="795"/>
  <c r="X33" i="795"/>
  <c r="X32" i="795"/>
  <c r="X31" i="795"/>
  <c r="X30" i="795"/>
  <c r="X29" i="795"/>
  <c r="X28" i="795"/>
  <c r="X27" i="795"/>
  <c r="X26" i="795"/>
  <c r="X25" i="795"/>
  <c r="X24" i="795"/>
  <c r="AC34" i="795"/>
  <c r="AC31" i="795"/>
  <c r="AC29" i="795"/>
  <c r="AC28" i="795"/>
  <c r="AC26" i="795"/>
  <c r="AB32" i="795"/>
  <c r="AB28" i="795"/>
  <c r="AB25" i="795"/>
  <c r="AC30" i="795"/>
  <c r="AE34" i="795"/>
  <c r="AE33" i="795"/>
  <c r="AE32" i="795"/>
  <c r="AE31" i="795"/>
  <c r="AE30" i="795"/>
  <c r="AE29" i="795"/>
  <c r="AE28" i="795"/>
  <c r="AE27" i="795"/>
  <c r="AE26" i="795"/>
  <c r="AE25" i="795"/>
  <c r="AE24" i="795"/>
  <c r="AC33" i="795"/>
  <c r="AB33" i="795"/>
  <c r="AB29" i="795"/>
  <c r="AB26" i="795"/>
  <c r="AD34" i="795"/>
  <c r="AD33" i="795"/>
  <c r="AD32" i="795"/>
  <c r="AD31" i="795"/>
  <c r="AD30" i="795"/>
  <c r="AD29" i="795"/>
  <c r="AD28" i="795"/>
  <c r="AD27" i="795"/>
  <c r="AD26" i="795"/>
  <c r="AD25" i="795"/>
  <c r="AD24" i="795"/>
  <c r="AB30" i="795"/>
  <c r="AA34" i="795"/>
  <c r="AA33" i="795"/>
  <c r="AA32" i="795"/>
  <c r="AA31" i="795"/>
  <c r="AA30" i="795"/>
  <c r="AA29" i="795"/>
  <c r="AA28" i="795"/>
  <c r="AA27" i="795"/>
  <c r="AA26" i="795"/>
  <c r="AA25" i="795"/>
  <c r="AA24" i="795"/>
  <c r="AC32" i="795"/>
  <c r="AC27" i="795"/>
  <c r="AC24" i="795"/>
  <c r="AB24" i="795"/>
  <c r="AA5" i="795" a="1"/>
  <c r="AA5" i="795" s="1"/>
  <c r="AA6" i="795" a="1"/>
  <c r="AA6" i="795" s="1"/>
  <c r="Z4" i="795"/>
  <c r="AA4" i="795" s="1" a="1"/>
  <c r="AA4" i="795" s="1"/>
  <c r="AR21" i="795" a="1"/>
  <c r="AR21" i="795" s="1"/>
  <c r="AS21" i="795" a="1"/>
  <c r="AS21" i="795" s="1"/>
  <c r="AD4" i="795"/>
  <c r="Z34" i="794"/>
  <c r="Z33" i="794"/>
  <c r="Z32" i="794"/>
  <c r="Z31" i="794"/>
  <c r="Z30" i="794"/>
  <c r="Z29" i="794"/>
  <c r="Z28" i="794"/>
  <c r="Z27" i="794"/>
  <c r="Z26" i="794"/>
  <c r="Z25" i="794"/>
  <c r="Z24" i="794"/>
  <c r="AC32" i="794"/>
  <c r="AC29" i="794"/>
  <c r="AC25" i="794"/>
  <c r="Y34" i="794"/>
  <c r="Y33" i="794"/>
  <c r="Y32" i="794"/>
  <c r="Y31" i="794"/>
  <c r="Y30" i="794"/>
  <c r="Y29" i="794"/>
  <c r="Y28" i="794"/>
  <c r="Y27" i="794"/>
  <c r="Y26" i="794"/>
  <c r="Y25" i="794"/>
  <c r="Y24" i="794"/>
  <c r="W20" i="794"/>
  <c r="AC30" i="794"/>
  <c r="AC26" i="794"/>
  <c r="AC24" i="794"/>
  <c r="AB28" i="794"/>
  <c r="X34" i="794"/>
  <c r="X33" i="794"/>
  <c r="X32" i="794"/>
  <c r="X31" i="794"/>
  <c r="X30" i="794"/>
  <c r="X29" i="794"/>
  <c r="X28" i="794"/>
  <c r="X27" i="794"/>
  <c r="X26" i="794"/>
  <c r="X25" i="794"/>
  <c r="X24" i="794"/>
  <c r="AC33" i="794"/>
  <c r="AC27" i="794"/>
  <c r="AB32" i="794"/>
  <c r="AB29" i="794"/>
  <c r="AB25" i="794"/>
  <c r="AE34" i="794"/>
  <c r="AE33" i="794"/>
  <c r="AE32" i="794"/>
  <c r="AE31" i="794"/>
  <c r="AE30" i="794"/>
  <c r="AE29" i="794"/>
  <c r="AE28" i="794"/>
  <c r="AE27" i="794"/>
  <c r="AE26" i="794"/>
  <c r="AE25" i="794"/>
  <c r="AE24" i="794"/>
  <c r="AC28" i="794"/>
  <c r="AB34" i="794"/>
  <c r="AB31" i="794"/>
  <c r="AB26" i="794"/>
  <c r="AB24" i="794"/>
  <c r="AD34" i="794"/>
  <c r="AD33" i="794"/>
  <c r="AD32" i="794"/>
  <c r="AD31" i="794"/>
  <c r="AD30" i="794"/>
  <c r="AD29" i="794"/>
  <c r="AD28" i="794"/>
  <c r="AD27" i="794"/>
  <c r="AD26" i="794"/>
  <c r="AD25" i="794"/>
  <c r="AD24" i="794"/>
  <c r="AC31" i="794"/>
  <c r="AA34" i="794"/>
  <c r="AA33" i="794"/>
  <c r="AA32" i="794"/>
  <c r="AA31" i="794"/>
  <c r="AA30" i="794"/>
  <c r="AA29" i="794"/>
  <c r="AA28" i="794"/>
  <c r="AA27" i="794"/>
  <c r="AA26" i="794"/>
  <c r="AA25" i="794"/>
  <c r="AA24" i="794"/>
  <c r="AC34" i="794"/>
  <c r="AB33" i="794"/>
  <c r="AB30" i="794"/>
  <c r="AB27" i="794"/>
  <c r="Z4" i="794"/>
  <c r="AA4" i="794" s="1" a="1"/>
  <c r="AA4" i="794" s="1"/>
  <c r="AA5" i="794" a="1"/>
  <c r="AA5" i="794" s="1"/>
  <c r="AA6" i="794" a="1"/>
  <c r="AA6" i="794" s="1"/>
  <c r="AR21" i="794" a="1"/>
  <c r="AR21" i="794" s="1"/>
  <c r="AS21" i="794" a="1"/>
  <c r="AS21" i="794" s="1"/>
  <c r="AD4" i="794"/>
  <c r="Z34" i="793"/>
  <c r="Z33" i="793"/>
  <c r="Z32" i="793"/>
  <c r="Z31" i="793"/>
  <c r="Z30" i="793"/>
  <c r="Z29" i="793"/>
  <c r="Z28" i="793"/>
  <c r="Z27" i="793"/>
  <c r="Z26" i="793"/>
  <c r="Z25" i="793"/>
  <c r="Z24" i="793"/>
  <c r="AC34" i="793"/>
  <c r="AC26" i="793"/>
  <c r="AC24" i="793"/>
  <c r="Y34" i="793"/>
  <c r="Y33" i="793"/>
  <c r="Y32" i="793"/>
  <c r="Y31" i="793"/>
  <c r="Y30" i="793"/>
  <c r="Y29" i="793"/>
  <c r="Y28" i="793"/>
  <c r="Y27" i="793"/>
  <c r="Y26" i="793"/>
  <c r="Y25" i="793"/>
  <c r="Y24" i="793"/>
  <c r="X34" i="793"/>
  <c r="X33" i="793"/>
  <c r="X32" i="793"/>
  <c r="X31" i="793"/>
  <c r="X30" i="793"/>
  <c r="X29" i="793"/>
  <c r="X28" i="793"/>
  <c r="X27" i="793"/>
  <c r="X26" i="793"/>
  <c r="X25" i="793"/>
  <c r="X24" i="793"/>
  <c r="AC32" i="793"/>
  <c r="AC31" i="793"/>
  <c r="AC30" i="793"/>
  <c r="AC29" i="793"/>
  <c r="AC27" i="793"/>
  <c r="AC25" i="793"/>
  <c r="AE34" i="793"/>
  <c r="AE33" i="793"/>
  <c r="AE32" i="793"/>
  <c r="AE31" i="793"/>
  <c r="AE30" i="793"/>
  <c r="AE29" i="793"/>
  <c r="AE28" i="793"/>
  <c r="AE27" i="793"/>
  <c r="AE26" i="793"/>
  <c r="AE25" i="793"/>
  <c r="AE24" i="793"/>
  <c r="AD34" i="793"/>
  <c r="AD33" i="793"/>
  <c r="AD32" i="793"/>
  <c r="AD31" i="793"/>
  <c r="AD30" i="793"/>
  <c r="AD29" i="793"/>
  <c r="AD28" i="793"/>
  <c r="AD27" i="793"/>
  <c r="AD26" i="793"/>
  <c r="AD25" i="793"/>
  <c r="AD24" i="793"/>
  <c r="AC33" i="793"/>
  <c r="AC28" i="793"/>
  <c r="AB34" i="793"/>
  <c r="AB33" i="793"/>
  <c r="AB32" i="793"/>
  <c r="AB31" i="793"/>
  <c r="AB30" i="793"/>
  <c r="AB29" i="793"/>
  <c r="AB28" i="793"/>
  <c r="AB27" i="793"/>
  <c r="AB26" i="793"/>
  <c r="AB25" i="793"/>
  <c r="AB24" i="793"/>
  <c r="AA34" i="793"/>
  <c r="AA33" i="793"/>
  <c r="AA32" i="793"/>
  <c r="AA31" i="793"/>
  <c r="AA30" i="793"/>
  <c r="AA29" i="793"/>
  <c r="AA28" i="793"/>
  <c r="AA27" i="793"/>
  <c r="AA26" i="793"/>
  <c r="AA25" i="793"/>
  <c r="AA24" i="793"/>
  <c r="AA4" i="793" a="1"/>
  <c r="AA4" i="793" s="1"/>
  <c r="AA5" i="793" a="1"/>
  <c r="AA5" i="793" s="1"/>
  <c r="AA6" i="793" a="1"/>
  <c r="AA6" i="793" s="1"/>
  <c r="AS21" i="793" a="1"/>
  <c r="AS21" i="793" s="1"/>
  <c r="AR21" i="793" a="1"/>
  <c r="AR21" i="793" s="1"/>
  <c r="AD4" i="793"/>
  <c r="Z34" i="792"/>
  <c r="Z33" i="792"/>
  <c r="Z32" i="792"/>
  <c r="Z31" i="792"/>
  <c r="Z30" i="792"/>
  <c r="Z29" i="792"/>
  <c r="Z28" i="792"/>
  <c r="Z27" i="792"/>
  <c r="Z26" i="792"/>
  <c r="Z25" i="792"/>
  <c r="Z24" i="792"/>
  <c r="AE34" i="792"/>
  <c r="AE33" i="792"/>
  <c r="AE32" i="792"/>
  <c r="AE31" i="792"/>
  <c r="AE30" i="792"/>
  <c r="AE29" i="792"/>
  <c r="AE28" i="792"/>
  <c r="AE27" i="792"/>
  <c r="AE26" i="792"/>
  <c r="AE25" i="792"/>
  <c r="AE24" i="792"/>
  <c r="AD30" i="792"/>
  <c r="Y34" i="792"/>
  <c r="Y33" i="792"/>
  <c r="Y32" i="792"/>
  <c r="Y31" i="792"/>
  <c r="Y30" i="792"/>
  <c r="Y29" i="792"/>
  <c r="Y28" i="792"/>
  <c r="Y27" i="792"/>
  <c r="Y26" i="792"/>
  <c r="Y25" i="792"/>
  <c r="Y24" i="792"/>
  <c r="W20" i="792"/>
  <c r="AD34" i="792"/>
  <c r="AC34" i="792"/>
  <c r="AC32" i="792"/>
  <c r="AC30" i="792"/>
  <c r="AC29" i="792"/>
  <c r="AC27" i="792"/>
  <c r="AC25" i="792"/>
  <c r="X34" i="792"/>
  <c r="X33" i="792"/>
  <c r="X32" i="792"/>
  <c r="X31" i="792"/>
  <c r="X30" i="792"/>
  <c r="X29" i="792"/>
  <c r="X28" i="792"/>
  <c r="X27" i="792"/>
  <c r="X26" i="792"/>
  <c r="X25" i="792"/>
  <c r="X24" i="792"/>
  <c r="AD32" i="792"/>
  <c r="AD29" i="792"/>
  <c r="AD27" i="792"/>
  <c r="AD24" i="792"/>
  <c r="AD33" i="792"/>
  <c r="AC31" i="792"/>
  <c r="AC28" i="792"/>
  <c r="AC26" i="792"/>
  <c r="AC24" i="792"/>
  <c r="AD31" i="792"/>
  <c r="AD25" i="792"/>
  <c r="AC33" i="792"/>
  <c r="AB34" i="792"/>
  <c r="AB33" i="792"/>
  <c r="AB32" i="792"/>
  <c r="AB31" i="792"/>
  <c r="AB30" i="792"/>
  <c r="AB29" i="792"/>
  <c r="AB28" i="792"/>
  <c r="AB27" i="792"/>
  <c r="AB26" i="792"/>
  <c r="AB25" i="792"/>
  <c r="AB24" i="792"/>
  <c r="AD26" i="792"/>
  <c r="AA34" i="792"/>
  <c r="AA33" i="792"/>
  <c r="AA32" i="792"/>
  <c r="AA31" i="792"/>
  <c r="AA30" i="792"/>
  <c r="AA29" i="792"/>
  <c r="AA28" i="792"/>
  <c r="AA27" i="792"/>
  <c r="AA26" i="792"/>
  <c r="AA25" i="792"/>
  <c r="AA24" i="792"/>
  <c r="AD28" i="792"/>
  <c r="Z4" i="792"/>
  <c r="AA4" i="792" s="1" a="1"/>
  <c r="AA4" i="792" s="1"/>
  <c r="AA5" i="792" a="1"/>
  <c r="AA5" i="792" s="1"/>
  <c r="AA6" i="792" a="1"/>
  <c r="AA6" i="792" s="1"/>
  <c r="AS21" i="792" a="1"/>
  <c r="AS21" i="792" s="1"/>
  <c r="AR21" i="792" a="1"/>
  <c r="AR21" i="792" s="1"/>
  <c r="AD4" i="792"/>
  <c r="AR21" i="4" a="1"/>
  <c r="AR21" i="4" s="1"/>
  <c r="Z4" i="4"/>
  <c r="AA4" i="4" s="1" a="1"/>
  <c r="AA4" i="4" s="1"/>
  <c r="AA5" i="4" a="1"/>
  <c r="AA5" i="4" s="1"/>
  <c r="AA6" i="4" a="1"/>
  <c r="AA6" i="4" s="1"/>
  <c r="AD4" i="4"/>
  <c r="W46" i="801" l="1"/>
  <c r="AB36" i="801"/>
  <c r="AC46" i="801" s="1"/>
  <c r="Z36" i="801"/>
  <c r="W44" i="801"/>
  <c r="W34" i="801"/>
  <c r="W33" i="801"/>
  <c r="W32" i="801"/>
  <c r="W31" i="801"/>
  <c r="W30" i="801"/>
  <c r="W29" i="801"/>
  <c r="W28" i="801"/>
  <c r="W27" i="801"/>
  <c r="W26" i="801"/>
  <c r="W25" i="801"/>
  <c r="W24" i="801"/>
  <c r="X36" i="801"/>
  <c r="W42" i="801"/>
  <c r="Y36" i="801"/>
  <c r="W43" i="801"/>
  <c r="AA36" i="801"/>
  <c r="W45" i="801"/>
  <c r="W47" i="801"/>
  <c r="AC36" i="801"/>
  <c r="AE36" i="801"/>
  <c r="W49" i="801"/>
  <c r="W48" i="801"/>
  <c r="AD36" i="801"/>
  <c r="W49" i="800"/>
  <c r="AE36" i="800"/>
  <c r="Y36" i="800"/>
  <c r="W43" i="800"/>
  <c r="AD36" i="800"/>
  <c r="W48" i="800"/>
  <c r="X36" i="800"/>
  <c r="W42" i="800"/>
  <c r="AA36" i="800"/>
  <c r="AC45" i="800" s="1"/>
  <c r="W45" i="800"/>
  <c r="W47" i="800"/>
  <c r="AC36" i="800"/>
  <c r="Z36" i="800"/>
  <c r="W44" i="800"/>
  <c r="W46" i="800"/>
  <c r="AB36" i="800"/>
  <c r="W34" i="800"/>
  <c r="W33" i="800"/>
  <c r="W32" i="800"/>
  <c r="W31" i="800"/>
  <c r="W30" i="800"/>
  <c r="W29" i="800"/>
  <c r="W28" i="800"/>
  <c r="W27" i="800"/>
  <c r="W26" i="800"/>
  <c r="W25" i="800"/>
  <c r="W24" i="800"/>
  <c r="AA36" i="799"/>
  <c r="W45" i="799"/>
  <c r="W48" i="799"/>
  <c r="AD36" i="799"/>
  <c r="W34" i="799"/>
  <c r="W33" i="799"/>
  <c r="W32" i="799"/>
  <c r="W31" i="799"/>
  <c r="W30" i="799"/>
  <c r="W29" i="799"/>
  <c r="W28" i="799"/>
  <c r="W27" i="799"/>
  <c r="W26" i="799"/>
  <c r="W25" i="799"/>
  <c r="W24" i="799"/>
  <c r="Y36" i="799"/>
  <c r="W43" i="799"/>
  <c r="Z36" i="799"/>
  <c r="W44" i="799"/>
  <c r="W46" i="799"/>
  <c r="AB36" i="799"/>
  <c r="AE36" i="799"/>
  <c r="W49" i="799"/>
  <c r="X36" i="799"/>
  <c r="W42" i="799"/>
  <c r="W47" i="799"/>
  <c r="AC36" i="799"/>
  <c r="W47" i="797"/>
  <c r="AC36" i="797"/>
  <c r="AA36" i="797"/>
  <c r="W45" i="797"/>
  <c r="W34" i="797"/>
  <c r="W33" i="797"/>
  <c r="W32" i="797"/>
  <c r="W31" i="797"/>
  <c r="W30" i="797"/>
  <c r="W29" i="797"/>
  <c r="W28" i="797"/>
  <c r="W27" i="797"/>
  <c r="W26" i="797"/>
  <c r="W25" i="797"/>
  <c r="W24" i="797"/>
  <c r="Y36" i="797"/>
  <c r="W43" i="797"/>
  <c r="Z36" i="797"/>
  <c r="W44" i="797"/>
  <c r="W48" i="797"/>
  <c r="AD36" i="797"/>
  <c r="W46" i="797"/>
  <c r="AB36" i="797"/>
  <c r="W49" i="797"/>
  <c r="AE36" i="797"/>
  <c r="X36" i="797"/>
  <c r="W42" i="797"/>
  <c r="W48" i="796"/>
  <c r="AD36" i="796"/>
  <c r="AA36" i="796"/>
  <c r="W45" i="796"/>
  <c r="W47" i="796"/>
  <c r="AC36" i="796"/>
  <c r="X36" i="796"/>
  <c r="W42" i="796"/>
  <c r="Z36" i="796"/>
  <c r="W44" i="796"/>
  <c r="W46" i="796"/>
  <c r="AB36" i="796"/>
  <c r="AE36" i="796"/>
  <c r="W49" i="796"/>
  <c r="W34" i="796"/>
  <c r="W33" i="796"/>
  <c r="W32" i="796"/>
  <c r="W31" i="796"/>
  <c r="W30" i="796"/>
  <c r="W29" i="796"/>
  <c r="W28" i="796"/>
  <c r="W27" i="796"/>
  <c r="W26" i="796"/>
  <c r="W25" i="796"/>
  <c r="W24" i="796"/>
  <c r="Y36" i="796"/>
  <c r="W43" i="796"/>
  <c r="AE36" i="795"/>
  <c r="W49" i="795"/>
  <c r="AD36" i="795"/>
  <c r="W48" i="795"/>
  <c r="W34" i="795"/>
  <c r="W33" i="795"/>
  <c r="W32" i="795"/>
  <c r="W31" i="795"/>
  <c r="W30" i="795"/>
  <c r="W29" i="795"/>
  <c r="W28" i="795"/>
  <c r="W27" i="795"/>
  <c r="W26" i="795"/>
  <c r="W25" i="795"/>
  <c r="W24" i="795"/>
  <c r="Y36" i="795"/>
  <c r="W43" i="795"/>
  <c r="W46" i="795"/>
  <c r="AB36" i="795"/>
  <c r="AC36" i="795"/>
  <c r="W47" i="795"/>
  <c r="X36" i="795"/>
  <c r="W42" i="795"/>
  <c r="Z36" i="795"/>
  <c r="W44" i="795"/>
  <c r="AA36" i="795"/>
  <c r="W45" i="795"/>
  <c r="W43" i="794"/>
  <c r="Y36" i="794"/>
  <c r="AD36" i="794"/>
  <c r="W48" i="794"/>
  <c r="X36" i="794"/>
  <c r="W42" i="794"/>
  <c r="W46" i="794"/>
  <c r="AB36" i="794"/>
  <c r="W49" i="794"/>
  <c r="AE36" i="794"/>
  <c r="Z36" i="794"/>
  <c r="W44" i="794"/>
  <c r="W34" i="794"/>
  <c r="W33" i="794"/>
  <c r="W32" i="794"/>
  <c r="W31" i="794"/>
  <c r="W30" i="794"/>
  <c r="W29" i="794"/>
  <c r="W28" i="794"/>
  <c r="W27" i="794"/>
  <c r="W26" i="794"/>
  <c r="W25" i="794"/>
  <c r="W24" i="794"/>
  <c r="W47" i="794"/>
  <c r="AC36" i="794"/>
  <c r="AA36" i="794"/>
  <c r="W45" i="794"/>
  <c r="W34" i="793"/>
  <c r="W33" i="793"/>
  <c r="W32" i="793"/>
  <c r="W31" i="793"/>
  <c r="W30" i="793"/>
  <c r="W29" i="793"/>
  <c r="W28" i="793"/>
  <c r="W27" i="793"/>
  <c r="W26" i="793"/>
  <c r="W25" i="793"/>
  <c r="W24" i="793"/>
  <c r="Y36" i="793"/>
  <c r="W43" i="793"/>
  <c r="AA36" i="793"/>
  <c r="W45" i="793"/>
  <c r="AD36" i="793"/>
  <c r="W48" i="793"/>
  <c r="W47" i="793"/>
  <c r="AC36" i="793"/>
  <c r="AE36" i="793"/>
  <c r="W49" i="793"/>
  <c r="Z36" i="793"/>
  <c r="W44" i="793"/>
  <c r="W46" i="793"/>
  <c r="AB36" i="793"/>
  <c r="X36" i="793"/>
  <c r="W42" i="793"/>
  <c r="Y36" i="792"/>
  <c r="W43" i="792"/>
  <c r="AD36" i="792"/>
  <c r="W48" i="792"/>
  <c r="AE36" i="792"/>
  <c r="W49" i="792"/>
  <c r="W34" i="792"/>
  <c r="W32" i="792"/>
  <c r="W31" i="792"/>
  <c r="W29" i="792"/>
  <c r="W28" i="792"/>
  <c r="W27" i="792"/>
  <c r="W26" i="792"/>
  <c r="W25" i="792"/>
  <c r="W30" i="792"/>
  <c r="W24" i="792"/>
  <c r="W33" i="792"/>
  <c r="AA36" i="792"/>
  <c r="W45" i="792"/>
  <c r="Z36" i="792"/>
  <c r="W44" i="792"/>
  <c r="W46" i="792"/>
  <c r="AB36" i="792"/>
  <c r="W47" i="792"/>
  <c r="AC36" i="792"/>
  <c r="X36" i="792"/>
  <c r="W42" i="792"/>
  <c r="AC42" i="801" l="1"/>
  <c r="AC46" i="799"/>
  <c r="Z43" i="801"/>
  <c r="Y43" i="801"/>
  <c r="X43" i="801"/>
  <c r="AD43" i="801" s="1"/>
  <c r="AA43" i="801"/>
  <c r="AB43" i="801"/>
  <c r="AC43" i="801"/>
  <c r="AD42" i="801"/>
  <c r="Z42" i="801"/>
  <c r="Y42" i="801"/>
  <c r="AB42" i="801"/>
  <c r="AA42" i="801"/>
  <c r="X42" i="801"/>
  <c r="AA48" i="801"/>
  <c r="Z48" i="801"/>
  <c r="Y48" i="801"/>
  <c r="X48" i="801"/>
  <c r="AD48" i="801"/>
  <c r="AC48" i="801"/>
  <c r="AB48" i="801"/>
  <c r="AD49" i="801"/>
  <c r="AC49" i="801"/>
  <c r="AB49" i="801"/>
  <c r="AA49" i="801"/>
  <c r="Z49" i="801"/>
  <c r="Y49" i="801"/>
  <c r="X49" i="801"/>
  <c r="AC46" i="800"/>
  <c r="Z44" i="801"/>
  <c r="Y44" i="801"/>
  <c r="AA44" i="801"/>
  <c r="AB44" i="801"/>
  <c r="X44" i="801"/>
  <c r="AD44" i="801" s="1"/>
  <c r="X47" i="801"/>
  <c r="AD47" i="801"/>
  <c r="AC47" i="801"/>
  <c r="AB47" i="801"/>
  <c r="AA47" i="801"/>
  <c r="Z47" i="801"/>
  <c r="Y47" i="801"/>
  <c r="AC44" i="801"/>
  <c r="Z45" i="801"/>
  <c r="Y45" i="801"/>
  <c r="AA45" i="801"/>
  <c r="X45" i="801"/>
  <c r="AD45" i="801" s="1"/>
  <c r="AB45" i="801"/>
  <c r="AC44" i="800"/>
  <c r="AC43" i="800"/>
  <c r="AC45" i="801"/>
  <c r="Z46" i="801"/>
  <c r="Y46" i="801"/>
  <c r="AB46" i="801"/>
  <c r="AA46" i="801"/>
  <c r="X46" i="801"/>
  <c r="AD46" i="801" s="1"/>
  <c r="W41" i="801"/>
  <c r="W36" i="801"/>
  <c r="Z45" i="800"/>
  <c r="Y45" i="800"/>
  <c r="X45" i="800"/>
  <c r="AD45" i="800" s="1"/>
  <c r="AB45" i="800"/>
  <c r="AA45" i="800"/>
  <c r="Z42" i="800"/>
  <c r="Y42" i="800"/>
  <c r="AA42" i="800"/>
  <c r="AB42" i="800"/>
  <c r="X42" i="800"/>
  <c r="AD42" i="800" s="1"/>
  <c r="AC42" i="800"/>
  <c r="AA48" i="800"/>
  <c r="Z48" i="800"/>
  <c r="Y48" i="800"/>
  <c r="X48" i="800"/>
  <c r="AD48" i="800"/>
  <c r="AC48" i="800"/>
  <c r="AB48" i="800"/>
  <c r="Z46" i="800"/>
  <c r="Y46" i="800"/>
  <c r="AA46" i="800"/>
  <c r="X46" i="800"/>
  <c r="AD46" i="800" s="1"/>
  <c r="AB46" i="800"/>
  <c r="AD44" i="800"/>
  <c r="Z44" i="800"/>
  <c r="Y44" i="800"/>
  <c r="AA44" i="800"/>
  <c r="X44" i="800"/>
  <c r="AB44" i="800"/>
  <c r="Z43" i="800"/>
  <c r="Y43" i="800"/>
  <c r="AB43" i="800"/>
  <c r="AA43" i="800"/>
  <c r="X43" i="800"/>
  <c r="AD43" i="800" s="1"/>
  <c r="X47" i="800"/>
  <c r="AD47" i="800"/>
  <c r="AC47" i="800"/>
  <c r="AB47" i="800"/>
  <c r="AA47" i="800"/>
  <c r="Z47" i="800"/>
  <c r="Y47" i="800"/>
  <c r="AD49" i="800"/>
  <c r="AC49" i="800"/>
  <c r="AB49" i="800"/>
  <c r="AA49" i="800"/>
  <c r="Z49" i="800"/>
  <c r="Y49" i="800"/>
  <c r="X49" i="800"/>
  <c r="W41" i="800"/>
  <c r="W36" i="800"/>
  <c r="Z44" i="799"/>
  <c r="Y44" i="799"/>
  <c r="X44" i="799"/>
  <c r="AD44" i="799" s="1"/>
  <c r="AA44" i="799"/>
  <c r="AB44" i="799"/>
  <c r="AC44" i="799"/>
  <c r="Z43" i="799"/>
  <c r="Y43" i="799"/>
  <c r="AB43" i="799"/>
  <c r="AA43" i="799"/>
  <c r="X43" i="799"/>
  <c r="AD43" i="799" s="1"/>
  <c r="X47" i="799"/>
  <c r="AD47" i="799"/>
  <c r="AC47" i="799"/>
  <c r="AB47" i="799"/>
  <c r="AA47" i="799"/>
  <c r="Z47" i="799"/>
  <c r="Y47" i="799"/>
  <c r="AC43" i="799"/>
  <c r="Z42" i="799"/>
  <c r="Y42" i="799"/>
  <c r="X42" i="799"/>
  <c r="AD42" i="799" s="1"/>
  <c r="AB42" i="799"/>
  <c r="AA42" i="799"/>
  <c r="AC42" i="799"/>
  <c r="AD49" i="799"/>
  <c r="AC49" i="799"/>
  <c r="AB49" i="799"/>
  <c r="AA49" i="799"/>
  <c r="Z49" i="799"/>
  <c r="Y49" i="799"/>
  <c r="X49" i="799"/>
  <c r="AA48" i="799"/>
  <c r="Z48" i="799"/>
  <c r="Y48" i="799"/>
  <c r="X48" i="799"/>
  <c r="AD48" i="799"/>
  <c r="AC48" i="799"/>
  <c r="AB48" i="799"/>
  <c r="AD45" i="799"/>
  <c r="Z45" i="799"/>
  <c r="Y45" i="799"/>
  <c r="X45" i="799"/>
  <c r="AB45" i="799"/>
  <c r="AA45" i="799"/>
  <c r="Z46" i="799"/>
  <c r="Y46" i="799"/>
  <c r="AB46" i="799"/>
  <c r="AA46" i="799"/>
  <c r="X46" i="799"/>
  <c r="AD46" i="799" s="1"/>
  <c r="AC45" i="799"/>
  <c r="W36" i="799"/>
  <c r="W41" i="799"/>
  <c r="AC46" i="795"/>
  <c r="AC45" i="797"/>
  <c r="AC44" i="797"/>
  <c r="AC46" i="796"/>
  <c r="Z44" i="797"/>
  <c r="Y44" i="797"/>
  <c r="AA44" i="797"/>
  <c r="X44" i="797"/>
  <c r="AD44" i="797" s="1"/>
  <c r="AB44" i="797"/>
  <c r="Z42" i="797"/>
  <c r="Y42" i="797"/>
  <c r="X42" i="797"/>
  <c r="AD42" i="797" s="1"/>
  <c r="AB42" i="797"/>
  <c r="AA42" i="797"/>
  <c r="Z43" i="797"/>
  <c r="Y43" i="797"/>
  <c r="AB43" i="797"/>
  <c r="X43" i="797"/>
  <c r="AD43" i="797" s="1"/>
  <c r="AA43" i="797"/>
  <c r="AC42" i="797"/>
  <c r="AC43" i="797"/>
  <c r="AC42" i="796"/>
  <c r="AD49" i="797"/>
  <c r="AC49" i="797"/>
  <c r="AB49" i="797"/>
  <c r="AA49" i="797"/>
  <c r="Z49" i="797"/>
  <c r="Y49" i="797"/>
  <c r="X49" i="797"/>
  <c r="AC43" i="796"/>
  <c r="AC46" i="797"/>
  <c r="Z45" i="797"/>
  <c r="Y45" i="797"/>
  <c r="AB45" i="797"/>
  <c r="X45" i="797"/>
  <c r="AD45" i="797" s="1"/>
  <c r="AA45" i="797"/>
  <c r="Z46" i="797"/>
  <c r="Y46" i="797"/>
  <c r="AB46" i="797"/>
  <c r="X46" i="797"/>
  <c r="AD46" i="797" s="1"/>
  <c r="AA46" i="797"/>
  <c r="AA48" i="797"/>
  <c r="Z48" i="797"/>
  <c r="Y48" i="797"/>
  <c r="X48" i="797"/>
  <c r="AD48" i="797"/>
  <c r="AC48" i="797"/>
  <c r="AB48" i="797"/>
  <c r="X47" i="797"/>
  <c r="AD47" i="797" s="1"/>
  <c r="AC47" i="797"/>
  <c r="AB47" i="797"/>
  <c r="AA47" i="797"/>
  <c r="Z47" i="797"/>
  <c r="Y47" i="797"/>
  <c r="W41" i="797"/>
  <c r="W36" i="797"/>
  <c r="Z44" i="796"/>
  <c r="Y44" i="796"/>
  <c r="X44" i="796"/>
  <c r="AD44" i="796" s="1"/>
  <c r="AA44" i="796"/>
  <c r="AB44" i="796"/>
  <c r="AC44" i="796"/>
  <c r="Z43" i="796"/>
  <c r="Y43" i="796"/>
  <c r="AA43" i="796"/>
  <c r="AB43" i="796"/>
  <c r="X43" i="796"/>
  <c r="AD43" i="796" s="1"/>
  <c r="Z42" i="796"/>
  <c r="Y42" i="796"/>
  <c r="AB42" i="796"/>
  <c r="X42" i="796"/>
  <c r="AD42" i="796" s="1"/>
  <c r="AA42" i="796"/>
  <c r="AC43" i="793"/>
  <c r="AD49" i="796"/>
  <c r="AC49" i="796"/>
  <c r="AB49" i="796"/>
  <c r="AA49" i="796"/>
  <c r="Z49" i="796"/>
  <c r="Y49" i="796"/>
  <c r="X49" i="796"/>
  <c r="X47" i="796"/>
  <c r="AD47" i="796" s="1"/>
  <c r="AC47" i="796"/>
  <c r="AB47" i="796"/>
  <c r="AA47" i="796"/>
  <c r="Z47" i="796"/>
  <c r="Y47" i="796"/>
  <c r="AC44" i="793"/>
  <c r="Z45" i="796"/>
  <c r="Y45" i="796"/>
  <c r="X45" i="796"/>
  <c r="AD45" i="796" s="1"/>
  <c r="AA45" i="796"/>
  <c r="AB45" i="796"/>
  <c r="AC45" i="796"/>
  <c r="Z46" i="796"/>
  <c r="Y46" i="796"/>
  <c r="AB46" i="796"/>
  <c r="X46" i="796"/>
  <c r="AD46" i="796" s="1"/>
  <c r="AA46" i="796"/>
  <c r="AA48" i="796"/>
  <c r="Z48" i="796"/>
  <c r="Y48" i="796"/>
  <c r="X48" i="796"/>
  <c r="AD48" i="796" s="1"/>
  <c r="AC48" i="796"/>
  <c r="AB48" i="796"/>
  <c r="W41" i="796"/>
  <c r="W36" i="796"/>
  <c r="Z46" i="795"/>
  <c r="Y46" i="795"/>
  <c r="X46" i="795"/>
  <c r="AD46" i="795" s="1"/>
  <c r="AB46" i="795"/>
  <c r="AA46" i="795"/>
  <c r="Z45" i="795"/>
  <c r="Y45" i="795"/>
  <c r="X45" i="795"/>
  <c r="AD45" i="795" s="1"/>
  <c r="AA45" i="795"/>
  <c r="AB45" i="795"/>
  <c r="Z43" i="795"/>
  <c r="Y43" i="795"/>
  <c r="AB43" i="795"/>
  <c r="X43" i="795"/>
  <c r="AD43" i="795" s="1"/>
  <c r="AA43" i="795"/>
  <c r="AC43" i="794"/>
  <c r="AC45" i="795"/>
  <c r="AC43" i="795"/>
  <c r="Z44" i="795"/>
  <c r="Y44" i="795"/>
  <c r="X44" i="795"/>
  <c r="AD44" i="795" s="1"/>
  <c r="AB44" i="795"/>
  <c r="AA44" i="795"/>
  <c r="AC44" i="795"/>
  <c r="AA48" i="795"/>
  <c r="Z48" i="795"/>
  <c r="Y48" i="795"/>
  <c r="X48" i="795"/>
  <c r="AD48" i="795" s="1"/>
  <c r="AC48" i="795"/>
  <c r="AB48" i="795"/>
  <c r="Z42" i="795"/>
  <c r="Y42" i="795"/>
  <c r="AB42" i="795"/>
  <c r="AA42" i="795"/>
  <c r="X42" i="795"/>
  <c r="AD42" i="795" s="1"/>
  <c r="AC42" i="795"/>
  <c r="X47" i="795"/>
  <c r="AD47" i="795" s="1"/>
  <c r="AC47" i="795"/>
  <c r="AB47" i="795"/>
  <c r="AA47" i="795"/>
  <c r="Z47" i="795"/>
  <c r="Y47" i="795"/>
  <c r="AD49" i="795"/>
  <c r="AC49" i="795"/>
  <c r="AB49" i="795"/>
  <c r="AA49" i="795"/>
  <c r="Z49" i="795"/>
  <c r="Y49" i="795"/>
  <c r="X49" i="795"/>
  <c r="AC45" i="794"/>
  <c r="W41" i="795"/>
  <c r="W36" i="795"/>
  <c r="AD49" i="794"/>
  <c r="AC49" i="794"/>
  <c r="AB49" i="794"/>
  <c r="AA49" i="794"/>
  <c r="Z49" i="794"/>
  <c r="Y49" i="794"/>
  <c r="X49" i="794"/>
  <c r="Z45" i="794"/>
  <c r="Y45" i="794"/>
  <c r="X45" i="794"/>
  <c r="AD45" i="794" s="1"/>
  <c r="AA45" i="794"/>
  <c r="AB45" i="794"/>
  <c r="AC46" i="794"/>
  <c r="Z46" i="794"/>
  <c r="Y46" i="794"/>
  <c r="AB46" i="794"/>
  <c r="X46" i="794"/>
  <c r="AD46" i="794" s="1"/>
  <c r="AA46" i="794"/>
  <c r="Z42" i="794"/>
  <c r="Y42" i="794"/>
  <c r="AB42" i="794"/>
  <c r="AA42" i="794"/>
  <c r="X42" i="794"/>
  <c r="AD42" i="794" s="1"/>
  <c r="X47" i="794"/>
  <c r="AD47" i="794" s="1"/>
  <c r="AC47" i="794"/>
  <c r="AB47" i="794"/>
  <c r="AA47" i="794"/>
  <c r="Z47" i="794"/>
  <c r="Y47" i="794"/>
  <c r="AC42" i="794"/>
  <c r="AA48" i="794"/>
  <c r="Z48" i="794"/>
  <c r="Y48" i="794"/>
  <c r="X48" i="794"/>
  <c r="AD48" i="794" s="1"/>
  <c r="AC48" i="794"/>
  <c r="AB48" i="794"/>
  <c r="AC45" i="793"/>
  <c r="Z44" i="794"/>
  <c r="Y44" i="794"/>
  <c r="X44" i="794"/>
  <c r="AD44" i="794" s="1"/>
  <c r="AA44" i="794"/>
  <c r="AB44" i="794"/>
  <c r="AC44" i="794"/>
  <c r="Z43" i="794"/>
  <c r="Y43" i="794"/>
  <c r="AB43" i="794"/>
  <c r="X43" i="794"/>
  <c r="AD43" i="794" s="1"/>
  <c r="AA43" i="794"/>
  <c r="W41" i="794"/>
  <c r="W36" i="794"/>
  <c r="X47" i="793"/>
  <c r="AD47" i="793" s="1"/>
  <c r="AC47" i="793"/>
  <c r="AB47" i="793"/>
  <c r="AA47" i="793"/>
  <c r="Z47" i="793"/>
  <c r="Y47" i="793"/>
  <c r="Z42" i="793"/>
  <c r="Y42" i="793"/>
  <c r="X42" i="793"/>
  <c r="AD42" i="793" s="1"/>
  <c r="AB42" i="793"/>
  <c r="AA42" i="793"/>
  <c r="AA48" i="793"/>
  <c r="Z48" i="793"/>
  <c r="Y48" i="793"/>
  <c r="X48" i="793"/>
  <c r="AD48" i="793" s="1"/>
  <c r="AC48" i="793"/>
  <c r="AB48" i="793"/>
  <c r="AC42" i="793"/>
  <c r="AC46" i="793"/>
  <c r="Z45" i="793"/>
  <c r="Y45" i="793"/>
  <c r="X45" i="793"/>
  <c r="AD45" i="793" s="1"/>
  <c r="AB45" i="793"/>
  <c r="AA45" i="793"/>
  <c r="Z46" i="793"/>
  <c r="Y46" i="793"/>
  <c r="AA46" i="793"/>
  <c r="X46" i="793"/>
  <c r="AD46" i="793" s="1"/>
  <c r="AB46" i="793"/>
  <c r="Z44" i="793"/>
  <c r="Y44" i="793"/>
  <c r="X44" i="793"/>
  <c r="AD44" i="793" s="1"/>
  <c r="AA44" i="793"/>
  <c r="AB44" i="793"/>
  <c r="Z43" i="793"/>
  <c r="Y43" i="793"/>
  <c r="AB43" i="793"/>
  <c r="AA43" i="793"/>
  <c r="X43" i="793"/>
  <c r="AD43" i="793" s="1"/>
  <c r="AD49" i="793"/>
  <c r="AC49" i="793"/>
  <c r="AB49" i="793"/>
  <c r="AA49" i="793"/>
  <c r="Z49" i="793"/>
  <c r="Y49" i="793"/>
  <c r="X49" i="793"/>
  <c r="AC46" i="792"/>
  <c r="W41" i="793"/>
  <c r="W36" i="793"/>
  <c r="AC45" i="792"/>
  <c r="Z45" i="792"/>
  <c r="Y45" i="792"/>
  <c r="X45" i="792"/>
  <c r="AD45" i="792" s="1"/>
  <c r="AB45" i="792"/>
  <c r="AA45" i="792"/>
  <c r="Z42" i="792"/>
  <c r="Y42" i="792"/>
  <c r="AB42" i="792"/>
  <c r="X42" i="792"/>
  <c r="AD42" i="792" s="1"/>
  <c r="AA42" i="792"/>
  <c r="AC42" i="792"/>
  <c r="AD49" i="792"/>
  <c r="AC49" i="792"/>
  <c r="AB49" i="792"/>
  <c r="AA49" i="792"/>
  <c r="Z49" i="792"/>
  <c r="Y49" i="792"/>
  <c r="X49" i="792"/>
  <c r="X47" i="792"/>
  <c r="AD47" i="792"/>
  <c r="Z47" i="792"/>
  <c r="AC47" i="792"/>
  <c r="AB47" i="792"/>
  <c r="AA47" i="792"/>
  <c r="Y47" i="792"/>
  <c r="AA48" i="792"/>
  <c r="Z48" i="792"/>
  <c r="Y48" i="792"/>
  <c r="X48" i="792"/>
  <c r="AD48" i="792"/>
  <c r="AC48" i="792"/>
  <c r="AB48" i="792"/>
  <c r="Z46" i="792"/>
  <c r="Y46" i="792"/>
  <c r="AA46" i="792"/>
  <c r="AB46" i="792"/>
  <c r="X46" i="792"/>
  <c r="AD46" i="792" s="1"/>
  <c r="Z44" i="792"/>
  <c r="Y44" i="792"/>
  <c r="AB44" i="792"/>
  <c r="AA44" i="792"/>
  <c r="X44" i="792"/>
  <c r="AD44" i="792" s="1"/>
  <c r="Z43" i="792"/>
  <c r="Y43" i="792"/>
  <c r="X43" i="792"/>
  <c r="AD43" i="792" s="1"/>
  <c r="AA43" i="792"/>
  <c r="AB43" i="792"/>
  <c r="AC44" i="792"/>
  <c r="AC43" i="792"/>
  <c r="W41" i="792"/>
  <c r="W36" i="792"/>
  <c r="AC41" i="801" l="1"/>
  <c r="V49" i="801" a="1"/>
  <c r="V49" i="801" s="1"/>
  <c r="AD41" i="801"/>
  <c r="Z41" i="801"/>
  <c r="Y41" i="801"/>
  <c r="AB41" i="801"/>
  <c r="AA41" i="801"/>
  <c r="X41" i="801"/>
  <c r="AC41" i="800"/>
  <c r="V49" i="800" a="1"/>
  <c r="V49" i="800" s="1"/>
  <c r="Z41" i="800"/>
  <c r="Y41" i="800"/>
  <c r="AB41" i="800"/>
  <c r="AA41" i="800"/>
  <c r="X41" i="800"/>
  <c r="AD41" i="800" s="1"/>
  <c r="V49" i="799" a="1"/>
  <c r="V49" i="799" s="1"/>
  <c r="Z41" i="799"/>
  <c r="Y41" i="799"/>
  <c r="AB41" i="799"/>
  <c r="AA41" i="799"/>
  <c r="X41" i="799"/>
  <c r="AD41" i="799" s="1"/>
  <c r="AC41" i="799"/>
  <c r="AC41" i="795"/>
  <c r="AC41" i="797"/>
  <c r="V49" i="797" a="1"/>
  <c r="V49" i="797" s="1"/>
  <c r="Z41" i="797"/>
  <c r="Y41" i="797"/>
  <c r="AB41" i="797"/>
  <c r="AA41" i="797"/>
  <c r="X41" i="797"/>
  <c r="AD41" i="797" s="1"/>
  <c r="AC41" i="794"/>
  <c r="AC41" i="796"/>
  <c r="V49" i="796" a="1"/>
  <c r="V49" i="796" s="1"/>
  <c r="Z41" i="796"/>
  <c r="Y41" i="796"/>
  <c r="AB41" i="796"/>
  <c r="AA41" i="796"/>
  <c r="X41" i="796"/>
  <c r="AD41" i="796" s="1"/>
  <c r="V49" i="795" a="1"/>
  <c r="V49" i="795" s="1"/>
  <c r="Z41" i="795"/>
  <c r="Y41" i="795"/>
  <c r="AB41" i="795"/>
  <c r="AA41" i="795"/>
  <c r="X41" i="795"/>
  <c r="AD41" i="795" s="1"/>
  <c r="V49" i="794" a="1"/>
  <c r="V49" i="794" s="1"/>
  <c r="Z41" i="794"/>
  <c r="Y41" i="794"/>
  <c r="AB41" i="794"/>
  <c r="AA41" i="794"/>
  <c r="X41" i="794"/>
  <c r="AD41" i="794" s="1"/>
  <c r="AC41" i="792"/>
  <c r="AC41" i="793"/>
  <c r="V49" i="793" a="1"/>
  <c r="V49" i="793" s="1"/>
  <c r="Z41" i="793"/>
  <c r="Y41" i="793"/>
  <c r="AB41" i="793"/>
  <c r="AA41" i="793"/>
  <c r="X41" i="793"/>
  <c r="AD41" i="793" s="1"/>
  <c r="V49" i="792" a="1"/>
  <c r="V49" i="792" s="1"/>
  <c r="Y41" i="792"/>
  <c r="Z41" i="792"/>
  <c r="AA41" i="792"/>
  <c r="AB41" i="792"/>
  <c r="X41" i="792"/>
  <c r="AD41" i="792" s="1"/>
  <c r="K13" i="748" a="1"/>
  <c r="K11" i="748" a="1"/>
  <c r="K12" i="748" a="1"/>
  <c r="K12" i="748" l="1"/>
  <c r="K11" i="748"/>
  <c r="K13" i="748"/>
  <c r="AE35" i="4"/>
  <c r="AD35" i="4"/>
  <c r="AC35" i="4"/>
  <c r="B2" i="748" a="1"/>
  <c r="B3" i="748" a="1"/>
  <c r="B4" i="748" a="1"/>
  <c r="B5" i="748" a="1"/>
  <c r="B6" i="748" a="1"/>
  <c r="B5" i="748" l="1"/>
  <c r="B2" i="748"/>
  <c r="B6" i="748"/>
  <c r="B4" i="748"/>
  <c r="B3" i="748"/>
  <c r="A6" i="802" a="1"/>
  <c r="A7" i="785" a="1"/>
  <c r="A6" i="802" l="1"/>
  <c r="G46" i="802" s="1"/>
  <c r="A7" i="785"/>
  <c r="C1" i="785" l="1"/>
  <c r="G105" i="802"/>
  <c r="X35" i="4"/>
  <c r="Y35" i="4"/>
  <c r="Z35" i="4"/>
  <c r="AA35" i="4"/>
  <c r="AB35" i="4"/>
  <c r="W35" i="4"/>
  <c r="I24" i="4"/>
  <c r="AE24" i="4" l="1"/>
  <c r="AD24" i="4"/>
  <c r="AC24" i="4"/>
  <c r="W24" i="4"/>
  <c r="Z24" i="4"/>
  <c r="Y24" i="4"/>
  <c r="AA24" i="4"/>
  <c r="AB24" i="4"/>
  <c r="X24" i="4"/>
  <c r="I35" i="4" l="1"/>
  <c r="I34" i="4"/>
  <c r="I33" i="4"/>
  <c r="I32" i="4"/>
  <c r="I31" i="4"/>
  <c r="I30" i="4"/>
  <c r="I29" i="4"/>
  <c r="I28" i="4"/>
  <c r="I27" i="4"/>
  <c r="I26" i="4"/>
  <c r="I25" i="4"/>
  <c r="AE32" i="4" l="1"/>
  <c r="AC32" i="4"/>
  <c r="AD32" i="4"/>
  <c r="AC26" i="4"/>
  <c r="AD26" i="4"/>
  <c r="AE26" i="4"/>
  <c r="AE27" i="4"/>
  <c r="AC27" i="4"/>
  <c r="AD27" i="4"/>
  <c r="AC33" i="4"/>
  <c r="AD33" i="4"/>
  <c r="AE33" i="4"/>
  <c r="AE34" i="4"/>
  <c r="AC34" i="4"/>
  <c r="AD34" i="4"/>
  <c r="AD25" i="4"/>
  <c r="AC25" i="4"/>
  <c r="AE25" i="4"/>
  <c r="AE28" i="4"/>
  <c r="AD28" i="4"/>
  <c r="AC28" i="4"/>
  <c r="AD29" i="4"/>
  <c r="AC29" i="4"/>
  <c r="AE29" i="4"/>
  <c r="AE30" i="4"/>
  <c r="AD30" i="4"/>
  <c r="AC30" i="4"/>
  <c r="AD31" i="4"/>
  <c r="AE31" i="4"/>
  <c r="AC31" i="4"/>
  <c r="AA28" i="4"/>
  <c r="AB28" i="4"/>
  <c r="W28" i="4"/>
  <c r="Y28" i="4"/>
  <c r="Z28" i="4"/>
  <c r="X28" i="4"/>
  <c r="W29" i="4"/>
  <c r="X29" i="4"/>
  <c r="Y29" i="4"/>
  <c r="Z29" i="4"/>
  <c r="AA29" i="4"/>
  <c r="AB29" i="4"/>
  <c r="AA30" i="4"/>
  <c r="AB30" i="4"/>
  <c r="W30" i="4"/>
  <c r="X30" i="4"/>
  <c r="Z30" i="4"/>
  <c r="Y30" i="4"/>
  <c r="W31" i="4"/>
  <c r="X31" i="4"/>
  <c r="Y31" i="4"/>
  <c r="Z31" i="4"/>
  <c r="AA31" i="4"/>
  <c r="AB31" i="4"/>
  <c r="W32" i="4"/>
  <c r="AB32" i="4"/>
  <c r="AA32" i="4"/>
  <c r="Y32" i="4"/>
  <c r="X32" i="4"/>
  <c r="Z32" i="4"/>
  <c r="X33" i="4"/>
  <c r="Z33" i="4"/>
  <c r="Y33" i="4"/>
  <c r="AA33" i="4"/>
  <c r="AB33" i="4"/>
  <c r="W33" i="4"/>
  <c r="AB34" i="4"/>
  <c r="AA34" i="4"/>
  <c r="X34" i="4"/>
  <c r="Z34" i="4"/>
  <c r="W34" i="4"/>
  <c r="Y34" i="4"/>
  <c r="AB25" i="4"/>
  <c r="X25" i="4"/>
  <c r="W25" i="4"/>
  <c r="Y25" i="4"/>
  <c r="Z25" i="4"/>
  <c r="AA25" i="4"/>
  <c r="AA27" i="4"/>
  <c r="AB27" i="4"/>
  <c r="W27" i="4"/>
  <c r="Z27" i="4"/>
  <c r="Y27" i="4"/>
  <c r="X27" i="4"/>
  <c r="Z26" i="4"/>
  <c r="Y26" i="4"/>
  <c r="W26" i="4"/>
  <c r="AB26" i="4"/>
  <c r="X26" i="4"/>
  <c r="AA26" i="4"/>
  <c r="I37" i="4"/>
  <c r="I40" i="4" s="1"/>
  <c r="AE36" i="4" l="1"/>
  <c r="W49" i="4"/>
  <c r="AD36" i="4"/>
  <c r="W48" i="4"/>
  <c r="W47" i="4"/>
  <c r="AC36" i="4"/>
  <c r="W41" i="4"/>
  <c r="W42" i="4"/>
  <c r="W45" i="4"/>
  <c r="W43" i="4"/>
  <c r="W44" i="4"/>
  <c r="W46" i="4"/>
  <c r="Z36" i="4"/>
  <c r="W36" i="4"/>
  <c r="AA36" i="4"/>
  <c r="X36" i="4"/>
  <c r="Y36" i="4"/>
  <c r="AB36" i="4"/>
  <c r="C9" i="4"/>
  <c r="X43" i="4" l="1"/>
  <c r="X45" i="4"/>
  <c r="X42" i="4"/>
  <c r="Y41" i="4"/>
  <c r="X46" i="4"/>
  <c r="X44" i="4"/>
  <c r="X47" i="4"/>
  <c r="Y47" i="4"/>
  <c r="Z47" i="4"/>
  <c r="AA47" i="4"/>
  <c r="AC47" i="4"/>
  <c r="AB47" i="4"/>
  <c r="X48" i="4"/>
  <c r="AA48" i="4"/>
  <c r="AB48" i="4"/>
  <c r="Y48" i="4"/>
  <c r="Z48" i="4"/>
  <c r="AC48" i="4"/>
  <c r="X49" i="4"/>
  <c r="AA49" i="4"/>
  <c r="AB49" i="4"/>
  <c r="AC49" i="4"/>
  <c r="Y49" i="4"/>
  <c r="Z49" i="4"/>
  <c r="Y46" i="4"/>
  <c r="Y42" i="4"/>
  <c r="Y43" i="4"/>
  <c r="Y45" i="4"/>
  <c r="Y44" i="4"/>
  <c r="V49" i="4" a="1"/>
  <c r="V49" i="4" s="1"/>
  <c r="X41" i="4"/>
  <c r="Z41" i="4"/>
  <c r="AB46" i="4"/>
  <c r="AC46" i="4"/>
  <c r="Z46" i="4"/>
  <c r="AA46" i="4"/>
  <c r="AA43" i="4"/>
  <c r="AB43" i="4"/>
  <c r="AC43" i="4"/>
  <c r="Z43" i="4"/>
  <c r="AA41" i="4"/>
  <c r="AB41" i="4"/>
  <c r="AC41" i="4"/>
  <c r="AA42" i="4"/>
  <c r="AB42" i="4"/>
  <c r="AC42" i="4"/>
  <c r="Z42" i="4"/>
  <c r="AC45" i="4"/>
  <c r="Z45" i="4"/>
  <c r="AA45" i="4"/>
  <c r="AB45" i="4"/>
  <c r="Z44" i="4"/>
  <c r="AA44" i="4"/>
  <c r="AB44" i="4"/>
  <c r="AC44" i="4"/>
  <c r="F15" i="6" l="1" a="1"/>
  <c r="F15" i="6" s="1"/>
  <c r="F10" i="4"/>
  <c r="F9" i="4"/>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5">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futureMetadata>
  <cellMetadata count="1">
    <bk>
      <rc t="1" v="0"/>
    </bk>
  </cellMetadata>
  <valueMetadata count="5">
    <bk>
      <rc t="2" v="0"/>
    </bk>
    <bk>
      <rc t="2" v="1"/>
    </bk>
    <bk>
      <rc t="2" v="2"/>
    </bk>
    <bk>
      <rc t="2" v="3"/>
    </bk>
    <bk>
      <rc t="2" v="4"/>
    </bk>
  </valueMetadata>
</metadata>
</file>

<file path=xl/sharedStrings.xml><?xml version="1.0" encoding="utf-8"?>
<sst xmlns="http://schemas.openxmlformats.org/spreadsheetml/2006/main" count="1406" uniqueCount="392">
  <si>
    <t>AMOUNT</t>
  </si>
  <si>
    <t>COST</t>
  </si>
  <si>
    <t>QUANTITY</t>
  </si>
  <si>
    <t>DESCRIPTION</t>
  </si>
  <si>
    <t>LINE</t>
  </si>
  <si>
    <t>CASH</t>
  </si>
  <si>
    <t>NOTES:</t>
  </si>
  <si>
    <t>TERMS</t>
  </si>
  <si>
    <t>ADDRESS</t>
  </si>
  <si>
    <t>JOB NAME</t>
  </si>
  <si>
    <t>TO</t>
  </si>
  <si>
    <t>JOB NO.</t>
  </si>
  <si>
    <t>DATE</t>
  </si>
  <si>
    <t>P.O. NO.</t>
  </si>
  <si>
    <t>PURCHASE ORDER / CHECK REQUEST</t>
  </si>
  <si>
    <t>PURCHASE ORDER LOG</t>
  </si>
  <si>
    <t>PAYEE</t>
  </si>
  <si>
    <t>PO</t>
  </si>
  <si>
    <t>PAY ID</t>
  </si>
  <si>
    <t>LINE DESCRIPTION</t>
  </si>
  <si>
    <t>NOTES</t>
  </si>
  <si>
    <t>TOTAL</t>
  </si>
  <si>
    <t>A</t>
  </si>
  <si>
    <t>PRE-PRO &amp; WRAP CREW</t>
  </si>
  <si>
    <t>Line Producer</t>
  </si>
  <si>
    <t>Assistant Director</t>
  </si>
  <si>
    <t>Director of Photography</t>
  </si>
  <si>
    <t>2nd Unit DP</t>
  </si>
  <si>
    <t>1st AC</t>
  </si>
  <si>
    <t>2nd AC</t>
  </si>
  <si>
    <t>Phantom Tech</t>
  </si>
  <si>
    <t>DIT</t>
  </si>
  <si>
    <t>Crane Operator</t>
  </si>
  <si>
    <t>Crane Tech</t>
  </si>
  <si>
    <t>Gaffer</t>
  </si>
  <si>
    <t>BB Electric</t>
  </si>
  <si>
    <t>3rd Electric</t>
  </si>
  <si>
    <t>4th Electric/Driver</t>
  </si>
  <si>
    <t>Package Truck Driver</t>
  </si>
  <si>
    <t>Key Grip</t>
  </si>
  <si>
    <t>BB Grip</t>
  </si>
  <si>
    <t>3rd Grip</t>
  </si>
  <si>
    <t>4th Grip/Driver</t>
  </si>
  <si>
    <t>addt'l Grips</t>
  </si>
  <si>
    <t>Sound Mixer</t>
  </si>
  <si>
    <t>Boom Operator</t>
  </si>
  <si>
    <t>Key Makeup</t>
  </si>
  <si>
    <t>Key Hair</t>
  </si>
  <si>
    <t>2nd Makeup/2nd Hair</t>
  </si>
  <si>
    <t>Key Stylist</t>
  </si>
  <si>
    <t>Stylist Assistant</t>
  </si>
  <si>
    <t>Script Supervisor</t>
  </si>
  <si>
    <t>Manicurist</t>
  </si>
  <si>
    <t>Stills Digitech</t>
  </si>
  <si>
    <t>VTR Operator</t>
  </si>
  <si>
    <t>Bolt Tech</t>
  </si>
  <si>
    <t>Bolt Op</t>
  </si>
  <si>
    <t>Cam Car Arm Op + Tech</t>
  </si>
  <si>
    <t>Camera Car Driver</t>
  </si>
  <si>
    <t>ALM</t>
  </si>
  <si>
    <t>Location Manager</t>
  </si>
  <si>
    <t>Production Supervisor</t>
  </si>
  <si>
    <t>Commercial Coordinator</t>
  </si>
  <si>
    <t>Talent Coordinator</t>
  </si>
  <si>
    <t>Medic/First Aid</t>
  </si>
  <si>
    <t>Craft Service</t>
  </si>
  <si>
    <t>Lifeguard</t>
  </si>
  <si>
    <t>Choreographer</t>
  </si>
  <si>
    <t>Drivers</t>
  </si>
  <si>
    <t>Teamsters</t>
  </si>
  <si>
    <t>Production Assistants</t>
  </si>
  <si>
    <t>Steadicam Operator</t>
  </si>
  <si>
    <t>4th Electric</t>
  </si>
  <si>
    <t>4th Grip</t>
  </si>
  <si>
    <t>Generator Operator</t>
  </si>
  <si>
    <t>Key Hair/Makeup</t>
  </si>
  <si>
    <t>Asst Hair/Makeup</t>
  </si>
  <si>
    <t>Stills Asst</t>
  </si>
  <si>
    <t>VTR Asst</t>
  </si>
  <si>
    <t>2nd AD</t>
  </si>
  <si>
    <t>Craft Assistant</t>
  </si>
  <si>
    <t>Police</t>
  </si>
  <si>
    <t>C</t>
  </si>
  <si>
    <t>PRE-PRODUCTION &amp; WRAP EXPENSES</t>
  </si>
  <si>
    <t>Auto Rentals</t>
  </si>
  <si>
    <t>Rehearsal Space</t>
  </si>
  <si>
    <t>Pre Pro Expenses</t>
  </si>
  <si>
    <t>Messengers</t>
  </si>
  <si>
    <t>Trucking</t>
  </si>
  <si>
    <t>Deliveries &amp; Taxis</t>
  </si>
  <si>
    <t>Working Meals</t>
  </si>
  <si>
    <t>Background Casting</t>
  </si>
  <si>
    <t>Casting Director</t>
  </si>
  <si>
    <t>Casting Facilities</t>
  </si>
  <si>
    <t>Pre Pro Meals</t>
  </si>
  <si>
    <t>Location Scouting Expenses</t>
  </si>
  <si>
    <t>D</t>
  </si>
  <si>
    <t>LOCATION EXPENSES</t>
  </si>
  <si>
    <t>Location Fees - House/Grocery Store</t>
  </si>
  <si>
    <t>Permit Fees</t>
  </si>
  <si>
    <t>Basecamp</t>
  </si>
  <si>
    <t>Crew Shuttles</t>
  </si>
  <si>
    <t>Dressing Room Vehicles</t>
  </si>
  <si>
    <t>Honeywagon/Restrooms</t>
  </si>
  <si>
    <t>Parking, Tolls, &amp; Gas</t>
  </si>
  <si>
    <t>Grip &amp; Electric Trucks</t>
  </si>
  <si>
    <t>Camera Truck</t>
  </si>
  <si>
    <t>Production Truck</t>
  </si>
  <si>
    <t>Wardrobe Truck</t>
  </si>
  <si>
    <t>Location Prep</t>
  </si>
  <si>
    <t>Van Rentals</t>
  </si>
  <si>
    <t>Van Rentals - Client/Agency/Chauffers</t>
  </si>
  <si>
    <t>Security</t>
  </si>
  <si>
    <t>Breakfast</t>
  </si>
  <si>
    <t>Lunch</t>
  </si>
  <si>
    <t>Dinner</t>
  </si>
  <si>
    <t>BG Meals</t>
  </si>
  <si>
    <t>Kit Rental</t>
  </si>
  <si>
    <t>BG Holding</t>
  </si>
  <si>
    <t>Preight Craft</t>
  </si>
  <si>
    <t>Prelight Meals</t>
  </si>
  <si>
    <t>E</t>
  </si>
  <si>
    <t>PROPS, WARDROBE &amp; ANIMALS</t>
  </si>
  <si>
    <t>Food Truck Rental</t>
  </si>
  <si>
    <t>Home Ec Supplies</t>
  </si>
  <si>
    <t>Wardrobe Rentals</t>
  </si>
  <si>
    <t>Aniamls &amp; Trainers</t>
  </si>
  <si>
    <t>Humane Rep</t>
  </si>
  <si>
    <t>Transportation</t>
  </si>
  <si>
    <t>Wardrobe Misc. Costs</t>
  </si>
  <si>
    <t>F</t>
  </si>
  <si>
    <t>STUDIO RENTAL &amp; EXPENSES</t>
  </si>
  <si>
    <t xml:space="preserve">Rental For Build Days </t>
  </si>
  <si>
    <t>Build OT Hours</t>
  </si>
  <si>
    <t>Rental for Pre-Lite Days</t>
  </si>
  <si>
    <t>Pre-Lite OT Hours</t>
  </si>
  <si>
    <t>Rental for Shoot Days</t>
  </si>
  <si>
    <t>Shoot OT Hours</t>
  </si>
  <si>
    <t>Rental for Strike Days</t>
  </si>
  <si>
    <t>Strike OT Hours</t>
  </si>
  <si>
    <t>Generator and Operator</t>
  </si>
  <si>
    <t>Air Conditioning</t>
  </si>
  <si>
    <t>Power Charges</t>
  </si>
  <si>
    <t>Misc Studio Charges</t>
  </si>
  <si>
    <t>G</t>
  </si>
  <si>
    <t>SET CONSTRUCTION CREW</t>
  </si>
  <si>
    <t>Production Designer</t>
  </si>
  <si>
    <t>Buyer/Shopper</t>
  </si>
  <si>
    <t>Prop Master</t>
  </si>
  <si>
    <t>Leadman</t>
  </si>
  <si>
    <t>Driver/Set Dresser</t>
  </si>
  <si>
    <t>Set Dresser</t>
  </si>
  <si>
    <t>Prop Assistant</t>
  </si>
  <si>
    <t>Art Dept Coordinator</t>
  </si>
  <si>
    <t>Food Stylist Assistant Prep Day</t>
  </si>
  <si>
    <t>PA</t>
  </si>
  <si>
    <t>Food Stylist Assists</t>
  </si>
  <si>
    <t>SPFX Asst</t>
  </si>
  <si>
    <t>H</t>
  </si>
  <si>
    <t>SET CONSTRUCTION MATERIALS</t>
  </si>
  <si>
    <t>Prop Rentals &amp; Purchsses</t>
  </si>
  <si>
    <t>Set Dressing Rentals &amp; Purchases</t>
  </si>
  <si>
    <t>Custom Props</t>
  </si>
  <si>
    <t>Construction</t>
  </si>
  <si>
    <t>Backdrops</t>
  </si>
  <si>
    <t>Food Truck</t>
  </si>
  <si>
    <t>Food Props</t>
  </si>
  <si>
    <t>Practical Sand and Clean up</t>
  </si>
  <si>
    <t>Food Stylist Ground Transport</t>
  </si>
  <si>
    <t>Art Dept Trucking</t>
  </si>
  <si>
    <t>Parking and fuel</t>
  </si>
  <si>
    <t>Kits and Meals</t>
  </si>
  <si>
    <t>I</t>
  </si>
  <si>
    <t>EQUIPMENT RENTAL</t>
  </si>
  <si>
    <t>Camera Rental</t>
  </si>
  <si>
    <t>Sound Rental</t>
  </si>
  <si>
    <t>Lighting Rental</t>
  </si>
  <si>
    <t>Grip Rental</t>
  </si>
  <si>
    <t>Generator Rental</t>
  </si>
  <si>
    <t>Crane + Remote Head Rental</t>
  </si>
  <si>
    <t>VTR Rental</t>
  </si>
  <si>
    <t>Walkie Talkie Rental</t>
  </si>
  <si>
    <t>Dolly Rental</t>
  </si>
  <si>
    <t>Slider</t>
  </si>
  <si>
    <t>Steadicam</t>
  </si>
  <si>
    <t>Production Supplies</t>
  </si>
  <si>
    <t>Location Supplies</t>
  </si>
  <si>
    <t>Expendables</t>
  </si>
  <si>
    <t>DIT Equipment</t>
  </si>
  <si>
    <t>Stills Equipment</t>
  </si>
  <si>
    <t>Package Truck</t>
  </si>
  <si>
    <t>Phantom Camera Kit</t>
  </si>
  <si>
    <t>J</t>
  </si>
  <si>
    <t>FILMSTOCK, DEVELOP &amp; PRINT</t>
  </si>
  <si>
    <t>Hard Drives</t>
  </si>
  <si>
    <t>Transcodes</t>
  </si>
  <si>
    <t>Slingshot Dailies</t>
  </si>
  <si>
    <t>Film Stock</t>
  </si>
  <si>
    <t>Processing</t>
  </si>
  <si>
    <t>Drives</t>
  </si>
  <si>
    <t>K</t>
  </si>
  <si>
    <t>MISCELLANEOUS COSTS</t>
  </si>
  <si>
    <t>Storage Space</t>
  </si>
  <si>
    <t>Shipping</t>
  </si>
  <si>
    <t>Tax Waivers</t>
  </si>
  <si>
    <t>DGA AD Letter</t>
  </si>
  <si>
    <t>Work Permits / LMIA</t>
  </si>
  <si>
    <t>Portable Wifi</t>
  </si>
  <si>
    <t>Wire Rigging Equipment</t>
  </si>
  <si>
    <t>Photographer Fees</t>
  </si>
  <si>
    <t>Photographer Assist</t>
  </si>
  <si>
    <t>L</t>
  </si>
  <si>
    <t>DIRECTOR/CREATIVE FEES</t>
  </si>
  <si>
    <t>Director Prep</t>
  </si>
  <si>
    <t>Director Shoot</t>
  </si>
  <si>
    <t>Director Follow-up Shoots</t>
  </si>
  <si>
    <t>Creative Director</t>
  </si>
  <si>
    <t>Writers</t>
  </si>
  <si>
    <t>M</t>
  </si>
  <si>
    <t xml:space="preserve">TALENT                                                                                           </t>
  </si>
  <si>
    <t>O/C Principals</t>
  </si>
  <si>
    <t>General Extras</t>
  </si>
  <si>
    <t>Extras Wardrobe Allowance</t>
  </si>
  <si>
    <t>Extras Casting fee</t>
  </si>
  <si>
    <t>Extras Payroll Service</t>
  </si>
  <si>
    <t>Extras Covid Testing</t>
  </si>
  <si>
    <t>Hand Models</t>
  </si>
  <si>
    <t>Voice Over</t>
  </si>
  <si>
    <t>Fitting Fees</t>
  </si>
  <si>
    <t>Audition Fees</t>
  </si>
  <si>
    <t>Talent</t>
  </si>
  <si>
    <t>Talent Payroll Service</t>
  </si>
  <si>
    <t>Talent Wardrobe Allowance</t>
  </si>
  <si>
    <t>N</t>
  </si>
  <si>
    <t>Other</t>
  </si>
  <si>
    <t>Director Flights</t>
  </si>
  <si>
    <t>Per Diems</t>
  </si>
  <si>
    <t>Director Hotels</t>
  </si>
  <si>
    <t>O</t>
  </si>
  <si>
    <t>P</t>
  </si>
  <si>
    <t>Covid Expenses</t>
  </si>
  <si>
    <t>Covid Testing Stipend</t>
  </si>
  <si>
    <t>ACTUAL</t>
  </si>
  <si>
    <t>{{PO_NUMBER}}</t>
  </si>
  <si>
    <t>*Enter Job Name + Number*</t>
  </si>
  <si>
    <t>Job Name:</t>
  </si>
  <si>
    <t>Job Number:</t>
  </si>
  <si>
    <t>*At Start of job define a PO Range*</t>
  </si>
  <si>
    <t>PO Table</t>
  </si>
  <si>
    <t>*Start by defining PO Prefix (typically job #)</t>
  </si>
  <si>
    <t>For Example</t>
  </si>
  <si>
    <t>*Then define, range of POs needed. *For example*</t>
  </si>
  <si>
    <t>*Sheet will generate PO Range</t>
  </si>
  <si>
    <t>2403-001</t>
  </si>
  <si>
    <t>2403-050</t>
  </si>
  <si>
    <t>Enter PO Prefix Here</t>
  </si>
  <si>
    <t>Enter PO Range Here</t>
  </si>
  <si>
    <t>Emergency Button Only</t>
  </si>
  <si>
    <t>Production Company</t>
  </si>
  <si>
    <t>Address</t>
  </si>
  <si>
    <t>TAX</t>
  </si>
  <si>
    <t>SUBTOTAL</t>
  </si>
  <si>
    <t>(Enter if needed)</t>
  </si>
  <si>
    <t>Ordered By</t>
  </si>
  <si>
    <t>Authorized By</t>
  </si>
  <si>
    <t>SS or TIN</t>
  </si>
  <si>
    <t>PO Generation</t>
  </si>
  <si>
    <t>This workbook Primarily has 2 purposes. 1 to generate PO pages. 2. For PO pages to work in synchronocity with the PO Log. Without requiring the double entry of.</t>
  </si>
  <si>
    <t>Fluid PO Log PO Genereator</t>
  </si>
  <si>
    <t>Line No</t>
  </si>
  <si>
    <t>⦿</t>
  </si>
  <si>
    <t xml:space="preserve">In the line No Page, copy the line numbers from your job. </t>
  </si>
  <si>
    <t>Be aware there is also a section for CS Sections as well. Should you need to line items to general Cs Section.For example CS17 Travel, etc</t>
  </si>
  <si>
    <t>In the PO Generation tab, you can create as many PO pages as are needed for your job</t>
  </si>
  <si>
    <t>The PO Generation will you use the PO Page from the Template Sheet to do so</t>
  </si>
  <si>
    <t>Please make sure the Template Sheet is up to your standards before generatining. Ie, template page has the company logo, company address, etc. Add currency conversion if needed, etc,.</t>
  </si>
  <si>
    <t>Determine what kind of numeration your company is using for their Pos</t>
  </si>
  <si>
    <t>PO Range</t>
  </si>
  <si>
    <t xml:space="preserve">What is the range of POs you will need for your job. </t>
  </si>
  <si>
    <t>If there is a prefix for the range, enter the prefix in the prefix cell. If the company is using just a linear start number, and end number, leave the prefix cell blank</t>
  </si>
  <si>
    <r>
      <t xml:space="preserve">Do not modify the {{PO_NUMBER}} cell on the </t>
    </r>
    <r>
      <rPr>
        <sz val="12"/>
        <color rgb="FFFF0000"/>
        <rFont val="Aptos Narrow (Body)"/>
      </rPr>
      <t>Template-Sheet</t>
    </r>
  </si>
  <si>
    <t>Enter Job No and PO No on the PO Generation Page. This will automatically populate to the Template Sheet, and all proceeding PO pages.</t>
  </si>
  <si>
    <t>Enter range needed. Will immediately display in PO Table. If PO Table displays of PO numeration is correct to yuoe aatisfaction, click Generate Pos</t>
  </si>
  <si>
    <t>In the event you need additional Pos, simply enter the range needed. And subsequently click Generate Pos</t>
  </si>
  <si>
    <t>In the event you need to delete a large amount of Pos, repeat the process, but hit Delete all POs instead</t>
  </si>
  <si>
    <t>Export Pos</t>
  </si>
  <si>
    <t>At the wrap of your job, when POs need to be PDF'd accordingly, the export PO option tries to make this easier.</t>
  </si>
  <si>
    <t>In the Export PO Tab</t>
  </si>
  <si>
    <t>Hit Export</t>
  </si>
  <si>
    <t>The excel, will generate a PDF of every PO page seperatly, output to the folder that the PO Book is currently in.</t>
  </si>
  <si>
    <r>
      <t xml:space="preserve">This is a beta feature. If it doesn't work, you may need to modify the Macro yourself. Under developer tab, macros, </t>
    </r>
    <r>
      <rPr>
        <sz val="12"/>
        <color rgb="FFFF0000"/>
        <rFont val="Aptos Narrow (Body)"/>
      </rPr>
      <t>MACRO NAME</t>
    </r>
  </si>
  <si>
    <t>Each PDF file name will be that of its tab name, ie its PO</t>
  </si>
  <si>
    <t>From here, exported PDF POs can simply be dragged into the proper folders in your Finder window</t>
  </si>
  <si>
    <t>PO Log</t>
  </si>
  <si>
    <t>The true purpose of this workbook is to work in syncronbicity tandem with your PO Log</t>
  </si>
  <si>
    <t>To achieve this the PO Log is locked, and should not be edited.</t>
  </si>
  <si>
    <t>Upon editing each PO page. For every addition, the appropriate additon will be updated in the log.</t>
  </si>
  <si>
    <t>What happens: When a PO page, has multiple items, belonging to the same the Line No. It will be reflected in the log.</t>
  </si>
  <si>
    <t>If these PO Page Entries belong to different dates, or diffferent Pay IDs, the PO log will split them up accordingly</t>
  </si>
  <si>
    <t>Dates should be used for the purpose of tracking costs across statements. Ie check dates, CC dates, etc,.</t>
  </si>
  <si>
    <t>For this purpose you should leave dates on prospective items, quotes, bills, blank, as there is no tracking purpose and they can only create confusion.</t>
  </si>
  <si>
    <t>The PO Log works best as a PO Book reference device, that can be copied in its entirety, and pasted into your budget file</t>
  </si>
  <si>
    <t>The formatting of the PO log allows for highlighting, cell color changes, but not modifications. For PM's that like to note additionals in the line description, you should do this in your True Budget/Hot Budget file.</t>
  </si>
  <si>
    <t>2499-005</t>
  </si>
  <si>
    <t>2499-004</t>
  </si>
  <si>
    <t>2499-003</t>
  </si>
  <si>
    <t>2499-002</t>
  </si>
  <si>
    <t>2499-001</t>
  </si>
  <si>
    <t>UniqueRegister</t>
  </si>
  <si>
    <t>SortCounter</t>
  </si>
  <si>
    <t>Sort</t>
  </si>
  <si>
    <t>Description</t>
  </si>
  <si>
    <t>Misc</t>
  </si>
  <si>
    <t>CC 2456</t>
  </si>
  <si>
    <t>#A</t>
  </si>
  <si>
    <t>#C</t>
  </si>
  <si>
    <t>#D</t>
  </si>
  <si>
    <t>#E</t>
  </si>
  <si>
    <t>#F</t>
  </si>
  <si>
    <t>3 ColUniqueRegister</t>
  </si>
  <si>
    <t>UNIQUE(HSTACK(LineEntry, DateEntry, PayIDEntry))</t>
  </si>
  <si>
    <t>works</t>
  </si>
  <si>
    <t>IFERROR(
INDEX(
UNIQUE(HSTACK(LineEntry,DateEntry,PayIDEntry)),
SEQUENCE(6,1),
{1,2,3}
),
""
)</t>
  </si>
  <si>
    <t>WORKS</t>
  </si>
  <si>
    <t>NO</t>
  </si>
  <si>
    <t>#B</t>
  </si>
  <si>
    <t>nothing</t>
  </si>
  <si>
    <t>CHK 101</t>
  </si>
  <si>
    <t>Line</t>
  </si>
  <si>
    <t>Date</t>
  </si>
  <si>
    <t>PayID</t>
  </si>
  <si>
    <t>PO LOG PREVIEW</t>
  </si>
  <si>
    <t>Vendor</t>
  </si>
  <si>
    <t>Unique Register</t>
  </si>
  <si>
    <t>Sort Counter</t>
  </si>
  <si>
    <t>IFERROR(
    TOCOL(
        INDEX(
            FILTER(
                UNIQUE(HSTACK(LineEntry, DateEntry, PayIDEntry)),
                BYROW(UNIQUE(HSTACK(LineEntry, DateEntry, PayIDEntry)), LAMBDA(row, SUM(row)&lt;&gt;0))
            ),
            SEQUENCE(6,1),
            {1,2,3}
        )
    ),
    ""
)</t>
  </si>
  <si>
    <t>Line Producer Grease</t>
  </si>
  <si>
    <t>HHEADER</t>
  </si>
  <si>
    <t>RowCount</t>
  </si>
  <si>
    <t>#I OTHER</t>
  </si>
  <si>
    <t>#H</t>
  </si>
  <si>
    <t>#G</t>
  </si>
  <si>
    <t>Gandolf</t>
  </si>
  <si>
    <t>Bartlett Fabrication</t>
  </si>
  <si>
    <t>PC</t>
  </si>
  <si>
    <t>Parking</t>
  </si>
  <si>
    <t>2499-006</t>
  </si>
  <si>
    <t>2499-007</t>
  </si>
  <si>
    <t>2499-008</t>
  </si>
  <si>
    <t>Tech Scout Van/People Mover</t>
  </si>
  <si>
    <t>Client/Agency - Meals/treats</t>
  </si>
  <si>
    <t>Client/Agency - Miscellaneous</t>
  </si>
  <si>
    <t>CS1</t>
  </si>
  <si>
    <t>Pre-Production | Wrap Labor</t>
  </si>
  <si>
    <t>CS2</t>
  </si>
  <si>
    <t>Shooting Labor</t>
  </si>
  <si>
    <t>CS3</t>
  </si>
  <si>
    <t>Pre-production | Wrap Expenses</t>
  </si>
  <si>
    <t>CS4</t>
  </si>
  <si>
    <t>Location And Staging</t>
  </si>
  <si>
    <t>CS5</t>
  </si>
  <si>
    <t>Makeup, Wardrobe, And Animals</t>
  </si>
  <si>
    <t>CS6</t>
  </si>
  <si>
    <t>Studio | Stage Rental / Expenses</t>
  </si>
  <si>
    <t>CS7</t>
  </si>
  <si>
    <t>Art Department Labor</t>
  </si>
  <si>
    <t>CS8</t>
  </si>
  <si>
    <t>Art Department Expenses</t>
  </si>
  <si>
    <t>CS9</t>
  </si>
  <si>
    <t>Equipment Costs</t>
  </si>
  <si>
    <t>CS10</t>
  </si>
  <si>
    <t>Filmstock, Develop And Print</t>
  </si>
  <si>
    <t>CS11</t>
  </si>
  <si>
    <t>Miscellaneous</t>
  </si>
  <si>
    <t>CS12</t>
  </si>
  <si>
    <t>Director | Creative Fees</t>
  </si>
  <si>
    <t>CS13</t>
  </si>
  <si>
    <t>Talent Labor</t>
  </si>
  <si>
    <t>CS14</t>
  </si>
  <si>
    <t>Travel Expenses</t>
  </si>
  <si>
    <t>CS15</t>
  </si>
  <si>
    <t>Covid Labor</t>
  </si>
  <si>
    <t>CS16</t>
  </si>
  <si>
    <t>CS17</t>
  </si>
  <si>
    <t>CS18</t>
  </si>
  <si>
    <t>CS19</t>
  </si>
  <si>
    <t>Travel</t>
  </si>
  <si>
    <t>CS20</t>
  </si>
  <si>
    <t>Production Fee</t>
  </si>
  <si>
    <t>Petty Cash</t>
  </si>
  <si>
    <t>PR</t>
  </si>
  <si>
    <t>Payroll Log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</si>
</sst>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m/d/yy;@"/>
    <numFmt numFmtId="165" formatCode="[&lt;=9999999]###\-####;\(###\)\ ###\-####"/>
    <numFmt numFmtId="166" formatCode="_(#,##0.00_);[Red]\(#,##0.00\)"/>
    <numFmt numFmtId="168" formatCode="000"/>
    <numFmt numFmtId="174" formatCode="0.00;[Red]0.00"/>
  </numFmts>
  <fonts count="73">
    <font>
      <sz val="12"/>
      <color theme="1"/>
      <name val="Aptos Narrow"/>
      <family val="2"/>
      <scheme val="minor"/>
    </font>
    <font>
      <b/>
      <sz val="12"/>
      <color theme="0"/>
      <name val="Aptos Narrow"/>
      <family val="2"/>
      <scheme val="minor"/>
    </font>
    <font>
      <sz val="12"/>
      <color rgb="FFFF0000"/>
      <name val="Aptos Narrow"/>
      <family val="2"/>
      <scheme val="minor"/>
    </font>
    <font>
      <sz val="10"/>
      <name val="Arial"/>
      <family val="2"/>
    </font>
    <font>
      <sz val="10"/>
      <color theme="1" tint="0.249977111117893"/>
      <name val="Aptos Narrow"/>
      <family val="1"/>
      <scheme val="minor"/>
    </font>
    <font>
      <b/>
      <sz val="10"/>
      <color theme="1" tint="0.249977111117893"/>
      <name val="Aptos Narrow"/>
      <family val="1"/>
      <scheme val="minor"/>
    </font>
    <font>
      <i/>
      <sz val="6"/>
      <color theme="1" tint="0.249977111117893"/>
      <name val="Aptos Narrow"/>
      <family val="1"/>
      <scheme val="minor"/>
    </font>
    <font>
      <sz val="10"/>
      <name val="Aptos Narrow"/>
      <family val="1"/>
      <scheme val="minor"/>
    </font>
    <font>
      <b/>
      <sz val="8"/>
      <color theme="1" tint="0.249977111117893"/>
      <name val="Aptos Narrow"/>
      <family val="1"/>
      <scheme val="minor"/>
    </font>
    <font>
      <b/>
      <sz val="12"/>
      <color theme="1" tint="0.249977111117893"/>
      <name val="Aptos Narrow"/>
      <family val="1"/>
      <scheme val="minor"/>
    </font>
    <font>
      <b/>
      <sz val="12"/>
      <color theme="1" tint="0.249977111117893"/>
      <name val="Aptos Display"/>
      <family val="1"/>
      <scheme val="major"/>
    </font>
    <font>
      <sz val="8"/>
      <color theme="1" tint="0.249977111117893"/>
      <name val="Aptos Narrow"/>
      <family val="1"/>
      <scheme val="minor"/>
    </font>
    <font>
      <sz val="12"/>
      <color theme="1" tint="0.249977111117893"/>
      <name val="Aptos Narrow"/>
      <family val="1"/>
      <scheme val="minor"/>
    </font>
    <font>
      <b/>
      <sz val="12"/>
      <color theme="1" tint="0.249977111117893"/>
      <name val="Arial"/>
      <family val="2"/>
    </font>
    <font>
      <b/>
      <sz val="10"/>
      <name val="Aptos Display"/>
      <family val="1"/>
      <scheme val="major"/>
    </font>
    <font>
      <sz val="12"/>
      <color rgb="FF0000FF"/>
      <name val="Aptos Narrow"/>
      <family val="1"/>
      <scheme val="minor"/>
    </font>
    <font>
      <sz val="12"/>
      <name val="Aptos Narrow"/>
      <family val="1"/>
      <scheme val="minor"/>
    </font>
    <font>
      <sz val="11"/>
      <name val="Garamond"/>
      <family val="1"/>
    </font>
    <font>
      <b/>
      <sz val="11"/>
      <name val="Garamond"/>
      <family val="1"/>
    </font>
    <font>
      <sz val="11"/>
      <color theme="1" tint="0.249977111117893"/>
      <name val="Garamond"/>
      <family val="1"/>
    </font>
    <font>
      <sz val="11"/>
      <name val="Aptos Display"/>
      <family val="1"/>
      <scheme val="major"/>
    </font>
    <font>
      <sz val="12"/>
      <name val="Aptos Display"/>
      <family val="1"/>
      <scheme val="major"/>
    </font>
    <font>
      <sz val="8"/>
      <name val="Aptos Narrow"/>
      <family val="1"/>
      <scheme val="minor"/>
    </font>
    <font>
      <b/>
      <sz val="15"/>
      <name val="Aptos Display"/>
      <family val="1"/>
      <scheme val="major"/>
    </font>
    <font>
      <b/>
      <sz val="15"/>
      <color theme="1" tint="0.249977111117893"/>
      <name val="Aptos Narrow"/>
      <family val="1"/>
      <scheme val="minor"/>
    </font>
    <font>
      <b/>
      <sz val="16"/>
      <color theme="1" tint="0.249977111117893"/>
      <name val="Aptos Narrow"/>
      <family val="1"/>
      <scheme val="minor"/>
    </font>
    <font>
      <sz val="11"/>
      <color theme="1" tint="0.249977111117893"/>
      <name val="Aptos Narrow"/>
      <family val="1"/>
      <scheme val="minor"/>
    </font>
    <font>
      <b/>
      <sz val="11"/>
      <color theme="1" tint="0.249977111117893"/>
      <name val="Aptos Narrow"/>
      <family val="1"/>
      <scheme val="minor"/>
    </font>
    <font>
      <b/>
      <sz val="23"/>
      <name val="Aptos Display"/>
      <family val="1"/>
      <scheme val="major"/>
    </font>
    <font>
      <b/>
      <sz val="30"/>
      <color theme="1" tint="0.249977111117893"/>
      <name val="Aptos Display"/>
      <family val="1"/>
      <scheme val="major"/>
    </font>
    <font>
      <sz val="11"/>
      <color theme="1"/>
      <name val="Arial"/>
      <family val="2"/>
    </font>
    <font>
      <b/>
      <sz val="18"/>
      <color theme="1"/>
      <name val="Arial"/>
      <family val="2"/>
    </font>
    <font>
      <sz val="9"/>
      <name val="Helv"/>
      <family val="2"/>
    </font>
    <font>
      <b/>
      <sz val="12"/>
      <color theme="1"/>
      <name val="Aptos Narrow"/>
      <scheme val="minor"/>
    </font>
    <font>
      <i/>
      <sz val="12"/>
      <color theme="1"/>
      <name val="Aptos Narrow"/>
      <scheme val="minor"/>
    </font>
    <font>
      <sz val="12"/>
      <color rgb="FF000000"/>
      <name val="Aptos Narrow"/>
      <family val="2"/>
      <scheme val="minor"/>
    </font>
    <font>
      <sz val="12"/>
      <name val="Arial"/>
      <family val="2"/>
    </font>
    <font>
      <sz val="12"/>
      <color rgb="FF000000"/>
      <name val="Arial"/>
      <family val="2"/>
    </font>
    <font>
      <b/>
      <sz val="12"/>
      <color theme="0"/>
      <name val="Arial"/>
      <family val="2"/>
    </font>
    <font>
      <b/>
      <sz val="12"/>
      <color theme="1"/>
      <name val="Arial"/>
      <family val="2"/>
    </font>
    <font>
      <b/>
      <sz val="12"/>
      <color theme="1" tint="0.249977111117893"/>
      <name val="Aptos Narrow"/>
      <scheme val="minor"/>
    </font>
    <font>
      <sz val="12"/>
      <color rgb="FF000000"/>
      <name val="Aptos Narrow"/>
    </font>
    <font>
      <sz val="14.3"/>
      <color rgb="FF000000"/>
      <name val="Aptos Narrow"/>
    </font>
    <font>
      <b/>
      <sz val="12"/>
      <color rgb="FFFF0000"/>
      <name val="Aptos Narrow"/>
      <scheme val="minor"/>
    </font>
    <font>
      <b/>
      <sz val="12"/>
      <name val="Aptos Narrow"/>
      <scheme val="minor"/>
    </font>
    <font>
      <u/>
      <sz val="18"/>
      <color theme="1"/>
      <name val="Aptos Display"/>
      <scheme val="major"/>
    </font>
    <font>
      <u/>
      <sz val="16"/>
      <color theme="1"/>
      <name val="Aptos Display"/>
      <scheme val="major"/>
    </font>
    <font>
      <sz val="12"/>
      <color rgb="FFFF0000"/>
      <name val="Aptos Narrow (Body)"/>
    </font>
    <font>
      <sz val="10"/>
      <color theme="1"/>
      <name val="Arial Unicode MS"/>
      <family val="2"/>
    </font>
    <font>
      <sz val="8"/>
      <color theme="1"/>
      <name val="Aptos Narrow"/>
      <family val="1"/>
      <scheme val="minor"/>
    </font>
    <font>
      <sz val="12"/>
      <color theme="1"/>
      <name val="Aptos Narrow"/>
      <family val="1"/>
      <scheme val="minor"/>
    </font>
    <font>
      <b/>
      <sz val="8"/>
      <color theme="1" tint="0.249977111117893"/>
      <name val="Aptos Narrow"/>
      <scheme val="minor"/>
    </font>
    <font>
      <i/>
      <sz val="8"/>
      <color theme="1" tint="0.249977111117893"/>
      <name val="Aptos Narrow"/>
      <scheme val="minor"/>
    </font>
    <font>
      <b/>
      <sz val="14"/>
      <color theme="1" tint="0.249977111117893"/>
      <name val="Aptos Narrow"/>
      <scheme val="minor"/>
    </font>
    <font>
      <sz val="9"/>
      <name val="Arial"/>
      <family val="2"/>
    </font>
    <font>
      <sz val="9"/>
      <color theme="1" tint="0.249977111117893"/>
      <name val="Aptos Narrow"/>
      <family val="1"/>
      <scheme val="minor"/>
    </font>
    <font>
      <b/>
      <sz val="9"/>
      <name val="Arial"/>
      <family val="2"/>
    </font>
    <font>
      <b/>
      <sz val="12"/>
      <color theme="2" tint="-0.249977111117893"/>
      <name val="Arial"/>
      <family val="2"/>
    </font>
    <font>
      <sz val="9"/>
      <color rgb="FF404040"/>
      <name val="Aptos Narrow"/>
      <family val="1"/>
      <scheme val="minor"/>
    </font>
    <font>
      <sz val="10"/>
      <color rgb="FF404040"/>
      <name val="Aptos Narrow"/>
      <family val="1"/>
      <scheme val="minor"/>
    </font>
    <font>
      <b/>
      <sz val="10"/>
      <color rgb="FF404040"/>
      <name val="Aptos Narrow"/>
      <scheme val="minor"/>
    </font>
    <font>
      <sz val="8"/>
      <color rgb="FF404040"/>
      <name val="Aptos Narrow"/>
      <family val="1"/>
      <scheme val="minor"/>
    </font>
    <font>
      <sz val="12"/>
      <color rgb="FF404040"/>
      <name val="Aptos Narrow"/>
      <family val="1"/>
      <scheme val="minor"/>
    </font>
    <font>
      <sz val="10"/>
      <color rgb="FF000000"/>
      <name val="Arial Unicode MS"/>
      <family val="2"/>
    </font>
    <font>
      <sz val="12"/>
      <color theme="0"/>
      <name val="Aptos Narrow"/>
      <family val="2"/>
      <scheme val="minor"/>
    </font>
    <font>
      <b/>
      <sz val="9"/>
      <color rgb="FF0000D4"/>
      <name val="Helv"/>
    </font>
    <font>
      <sz val="10"/>
      <name val="Verdana"/>
      <family val="2"/>
    </font>
    <font>
      <b/>
      <sz val="9"/>
      <color rgb="FF006411"/>
      <name val="Helv"/>
    </font>
    <font>
      <b/>
      <sz val="9"/>
      <name val="Helv"/>
    </font>
    <font>
      <sz val="12"/>
      <color theme="1"/>
      <name val="Arial"/>
      <family val="2"/>
    </font>
    <font>
      <sz val="16"/>
      <color theme="1"/>
      <name val="Arial"/>
      <family val="2"/>
    </font>
    <font>
      <b/>
      <sz val="18"/>
      <color theme="1"/>
      <name val="Aptos Narrow"/>
      <scheme val="minor"/>
    </font>
    <font>
      <sz val="12"/>
      <color theme="0"/>
      <name val="Arial"/>
      <family val="2"/>
    </font>
  </fonts>
  <fills count="13">
    <fill>
      <patternFill patternType="none"/>
    </fill>
    <fill>
      <patternFill patternType="gray125"/>
    </fill>
    <fill>
      <patternFill patternType="solid">
        <fgColor indexed="9"/>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rgb="FFBFBFBF"/>
        <bgColor indexed="64"/>
      </patternFill>
    </fill>
    <fill>
      <patternFill patternType="solid">
        <fgColor theme="0" tint="-0.249977111117893"/>
        <bgColor indexed="64"/>
      </patternFill>
    </fill>
    <fill>
      <patternFill patternType="solid">
        <fgColor theme="4"/>
        <bgColor theme="4"/>
      </patternFill>
    </fill>
    <fill>
      <patternFill patternType="solid">
        <fgColor theme="2" tint="-9.9978637043366805E-2"/>
        <bgColor indexed="64"/>
      </patternFill>
    </fill>
    <fill>
      <patternFill patternType="solid">
        <fgColor theme="0" tint="-0.14999847407452621"/>
        <bgColor theme="0" tint="-0.14999847407452621"/>
      </patternFill>
    </fill>
    <fill>
      <patternFill patternType="solid">
        <fgColor rgb="FFD9D9D9"/>
        <bgColor rgb="FFD9D9D9"/>
      </patternFill>
    </fill>
  </fills>
  <borders count="94">
    <border>
      <left/>
      <right/>
      <top/>
      <bottom/>
      <diagonal/>
    </border>
    <border>
      <left/>
      <right/>
      <top/>
      <bottom style="thin">
        <color theme="0" tint="-0.499984740745262"/>
      </bottom>
      <diagonal/>
    </border>
    <border>
      <left style="thin">
        <color theme="0" tint="-0.14996795556505021"/>
      </left>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right/>
      <top style="thin">
        <color auto="1"/>
      </top>
      <bottom style="thin">
        <color auto="1"/>
      </bottom>
      <diagonal/>
    </border>
    <border>
      <left/>
      <right/>
      <top/>
      <bottom style="thin">
        <color auto="1"/>
      </bottom>
      <diagonal/>
    </border>
    <border>
      <left/>
      <right/>
      <top style="dotted">
        <color indexed="64"/>
      </top>
      <bottom style="dotted">
        <color indexed="64"/>
      </bottom>
      <diagonal/>
    </border>
    <border>
      <left style="dotted">
        <color indexed="64"/>
      </left>
      <right/>
      <top style="dotted">
        <color indexed="64"/>
      </top>
      <bottom style="dotted">
        <color indexed="64"/>
      </bottom>
      <diagonal/>
    </border>
    <border>
      <left/>
      <right/>
      <top style="thin">
        <color auto="1"/>
      </top>
      <bottom style="dotted">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rgb="FFC00000"/>
      </left>
      <right style="medium">
        <color rgb="FFC00000"/>
      </right>
      <top style="medium">
        <color rgb="FFC00000"/>
      </top>
      <bottom style="medium">
        <color rgb="FFC00000"/>
      </bottom>
      <diagonal/>
    </border>
    <border>
      <left style="medium">
        <color theme="1"/>
      </left>
      <right style="medium">
        <color theme="1"/>
      </right>
      <top style="medium">
        <color theme="1"/>
      </top>
      <bottom style="medium">
        <color theme="1"/>
      </bottom>
      <diagonal/>
    </border>
    <border>
      <left style="medium">
        <color theme="1"/>
      </left>
      <right style="medium">
        <color theme="1"/>
      </right>
      <top style="dashed">
        <color theme="1"/>
      </top>
      <bottom style="medium">
        <color theme="1"/>
      </bottom>
      <diagonal/>
    </border>
    <border>
      <left/>
      <right/>
      <top style="medium">
        <color indexed="64"/>
      </top>
      <bottom style="medium">
        <color indexed="64"/>
      </bottom>
      <diagonal/>
    </border>
    <border>
      <left/>
      <right/>
      <top style="dashed">
        <color theme="1"/>
      </top>
      <bottom style="dashed">
        <color theme="1"/>
      </bottom>
      <diagonal/>
    </border>
    <border>
      <left/>
      <right style="dashed">
        <color theme="1"/>
      </right>
      <top style="dashed">
        <color theme="1"/>
      </top>
      <bottom style="dashed">
        <color theme="1"/>
      </bottom>
      <diagonal/>
    </border>
    <border>
      <left/>
      <right/>
      <top style="dashed">
        <color theme="1"/>
      </top>
      <bottom/>
      <diagonal/>
    </border>
    <border>
      <left style="dashed">
        <color theme="1"/>
      </left>
      <right/>
      <top style="dashed">
        <color theme="1"/>
      </top>
      <bottom/>
      <diagonal/>
    </border>
    <border>
      <left style="dashed">
        <color theme="1"/>
      </left>
      <right/>
      <top/>
      <bottom style="dashed">
        <color theme="1"/>
      </bottom>
      <diagonal/>
    </border>
    <border>
      <left/>
      <right style="dashed">
        <color theme="1"/>
      </right>
      <top style="dashed">
        <color theme="1"/>
      </top>
      <bottom/>
      <diagonal/>
    </border>
    <border>
      <left style="medium">
        <color theme="1"/>
      </left>
      <right style="medium">
        <color theme="6" tint="-0.499984740745262"/>
      </right>
      <top style="medium">
        <color theme="1"/>
      </top>
      <bottom style="medium">
        <color theme="1"/>
      </bottom>
      <diagonal/>
    </border>
    <border>
      <left style="medium">
        <color theme="6" tint="-0.499984740745262"/>
      </left>
      <right style="medium">
        <color theme="1"/>
      </right>
      <top style="medium">
        <color theme="1"/>
      </top>
      <bottom style="medium">
        <color theme="1"/>
      </bottom>
      <diagonal/>
    </border>
    <border>
      <left style="medium">
        <color theme="1"/>
      </left>
      <right style="medium">
        <color theme="1"/>
      </right>
      <top style="medium">
        <color theme="1"/>
      </top>
      <bottom/>
      <diagonal/>
    </border>
    <border>
      <left style="medium">
        <color theme="1"/>
      </left>
      <right style="medium">
        <color theme="1"/>
      </right>
      <top style="thin">
        <color theme="4" tint="0.39997558519241921"/>
      </top>
      <bottom/>
      <diagonal/>
    </border>
    <border>
      <left style="medium">
        <color theme="1"/>
      </left>
      <right style="medium">
        <color theme="1"/>
      </right>
      <top style="dashed">
        <color theme="1"/>
      </top>
      <bottom/>
      <diagonal/>
    </border>
    <border>
      <left/>
      <right style="thin">
        <color auto="1"/>
      </right>
      <top style="thin">
        <color auto="1"/>
      </top>
      <bottom/>
      <diagonal/>
    </border>
    <border>
      <left/>
      <right style="thin">
        <color auto="1"/>
      </right>
      <top/>
      <bottom/>
      <diagonal/>
    </border>
    <border>
      <left/>
      <right/>
      <top style="thin">
        <color auto="1"/>
      </top>
      <bottom/>
      <diagonal/>
    </border>
    <border>
      <left style="thin">
        <color auto="1"/>
      </left>
      <right/>
      <top/>
      <bottom/>
      <diagonal/>
    </border>
    <border>
      <left/>
      <right style="thin">
        <color auto="1"/>
      </right>
      <top/>
      <bottom style="thin">
        <color indexed="64"/>
      </bottom>
      <diagonal/>
    </border>
    <border>
      <left style="thin">
        <color theme="0" tint="-0.14996795556505021"/>
      </left>
      <right/>
      <top style="thin">
        <color indexed="64"/>
      </top>
      <bottom style="thin">
        <color theme="0" tint="-0.14996795556505021"/>
      </bottom>
      <diagonal/>
    </border>
    <border>
      <left/>
      <right style="thin">
        <color theme="0" tint="-0.14996795556505021"/>
      </right>
      <top style="thin">
        <color indexed="64"/>
      </top>
      <bottom style="thin">
        <color theme="0" tint="-0.14996795556505021"/>
      </bottom>
      <diagonal/>
    </border>
    <border>
      <left style="thin">
        <color theme="0" tint="-0.14996795556505021"/>
      </left>
      <right style="thin">
        <color theme="0" tint="-0.14996795556505021"/>
      </right>
      <top style="thin">
        <color indexed="64"/>
      </top>
      <bottom style="thin">
        <color theme="0" tint="-0.14996795556505021"/>
      </bottom>
      <diagonal/>
    </border>
    <border>
      <left style="thin">
        <color theme="0" tint="-0.14996795556505021"/>
      </left>
      <right/>
      <top style="thin">
        <color theme="0" tint="-0.14996795556505021"/>
      </top>
      <bottom style="thin">
        <color indexed="64"/>
      </bottom>
      <diagonal/>
    </border>
    <border>
      <left/>
      <right style="thin">
        <color theme="0" tint="-0.14996795556505021"/>
      </right>
      <top style="thin">
        <color theme="0" tint="-0.14996795556505021"/>
      </top>
      <bottom style="thin">
        <color indexed="64"/>
      </bottom>
      <diagonal/>
    </border>
    <border>
      <left style="thin">
        <color theme="0" tint="-0.14996795556505021"/>
      </left>
      <right style="thin">
        <color theme="0" tint="-0.14996795556505021"/>
      </right>
      <top style="thin">
        <color theme="0" tint="-0.14996795556505021"/>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thin">
        <color theme="0" tint="-0.14996795556505021"/>
      </bottom>
      <diagonal/>
    </border>
    <border>
      <left/>
      <right style="medium">
        <color indexed="64"/>
      </right>
      <top style="medium">
        <color indexed="64"/>
      </top>
      <bottom style="thin">
        <color theme="0" tint="-0.14996795556505021"/>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style="medium">
        <color indexed="64"/>
      </left>
      <right/>
      <top style="thin">
        <color indexed="64"/>
      </top>
      <bottom/>
      <diagonal/>
    </border>
    <border>
      <left style="medium">
        <color indexed="64"/>
      </left>
      <right/>
      <top/>
      <bottom style="thin">
        <color indexed="64"/>
      </bottom>
      <diagonal/>
    </border>
    <border>
      <left/>
      <right style="medium">
        <color indexed="64"/>
      </right>
      <top style="thin">
        <color indexed="64"/>
      </top>
      <bottom style="thin">
        <color indexed="64"/>
      </bottom>
      <diagonal/>
    </border>
    <border>
      <left/>
      <right style="medium">
        <color indexed="64"/>
      </right>
      <top style="thin">
        <color auto="1"/>
      </top>
      <bottom style="dotted">
        <color indexed="64"/>
      </bottom>
      <diagonal/>
    </border>
    <border>
      <left/>
      <right style="medium">
        <color indexed="64"/>
      </right>
      <top style="dotted">
        <color indexed="64"/>
      </top>
      <bottom style="dotted">
        <color indexed="64"/>
      </bottom>
      <diagonal/>
    </border>
    <border>
      <left style="medium">
        <color indexed="64"/>
      </left>
      <right style="thin">
        <color theme="0" tint="-0.14996795556505021"/>
      </right>
      <top style="thin">
        <color indexed="64"/>
      </top>
      <bottom style="thin">
        <color theme="0" tint="-0.14996795556505021"/>
      </bottom>
      <diagonal/>
    </border>
    <border>
      <left style="thin">
        <color theme="0" tint="-0.14996795556505021"/>
      </left>
      <right style="medium">
        <color indexed="64"/>
      </right>
      <top style="thin">
        <color indexed="64"/>
      </top>
      <bottom style="thin">
        <color theme="0" tint="-0.14996795556505021"/>
      </bottom>
      <diagonal/>
    </border>
    <border>
      <left style="medium">
        <color indexed="64"/>
      </left>
      <right style="thin">
        <color theme="0" tint="-0.14996795556505021"/>
      </right>
      <top style="thin">
        <color theme="0" tint="-0.14996795556505021"/>
      </top>
      <bottom style="thin">
        <color theme="0" tint="-0.14996795556505021"/>
      </bottom>
      <diagonal/>
    </border>
    <border>
      <left style="thin">
        <color theme="0" tint="-0.14996795556505021"/>
      </left>
      <right style="medium">
        <color indexed="64"/>
      </right>
      <top style="thin">
        <color theme="0" tint="-0.14996795556505021"/>
      </top>
      <bottom style="thin">
        <color theme="0" tint="-0.14996795556505021"/>
      </bottom>
      <diagonal/>
    </border>
    <border>
      <left style="medium">
        <color indexed="64"/>
      </left>
      <right style="thin">
        <color theme="0" tint="-0.14996795556505021"/>
      </right>
      <top style="thin">
        <color theme="0" tint="-0.14996795556505021"/>
      </top>
      <bottom style="thin">
        <color indexed="64"/>
      </bottom>
      <diagonal/>
    </border>
    <border>
      <left style="thin">
        <color theme="0" tint="-0.14996795556505021"/>
      </left>
      <right style="medium">
        <color indexed="64"/>
      </right>
      <top style="thin">
        <color theme="0" tint="-0.14996795556505021"/>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style="thin">
        <color auto="1"/>
      </bottom>
      <diagonal/>
    </border>
    <border>
      <left style="thin">
        <color indexed="64"/>
      </left>
      <right style="thin">
        <color indexed="64"/>
      </right>
      <top style="medium">
        <color indexed="64"/>
      </top>
      <bottom style="thin">
        <color auto="1"/>
      </bottom>
      <diagonal/>
    </border>
    <border>
      <left style="thin">
        <color indexed="64"/>
      </left>
      <right style="medium">
        <color indexed="64"/>
      </right>
      <top style="medium">
        <color indexed="64"/>
      </top>
      <bottom style="thin">
        <color auto="1"/>
      </bottom>
      <diagonal/>
    </border>
    <border>
      <left style="medium">
        <color indexed="64"/>
      </left>
      <right style="thin">
        <color indexed="64"/>
      </right>
      <top style="thin">
        <color auto="1"/>
      </top>
      <bottom style="medium">
        <color indexed="64"/>
      </bottom>
      <diagonal/>
    </border>
    <border>
      <left style="thin">
        <color indexed="64"/>
      </left>
      <right style="thin">
        <color indexed="64"/>
      </right>
      <top style="thin">
        <color auto="1"/>
      </top>
      <bottom style="medium">
        <color indexed="64"/>
      </bottom>
      <diagonal/>
    </border>
    <border>
      <left style="thin">
        <color indexed="64"/>
      </left>
      <right style="medium">
        <color indexed="64"/>
      </right>
      <top style="thin">
        <color auto="1"/>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rgb="FF000000"/>
      </left>
      <right style="medium">
        <color rgb="FF000000"/>
      </right>
      <top style="medium">
        <color rgb="FF000000"/>
      </top>
      <bottom/>
      <diagonal/>
    </border>
    <border>
      <left style="medium">
        <color rgb="FF000000"/>
      </left>
      <right style="medium">
        <color rgb="FF000000"/>
      </right>
      <top style="thin">
        <color rgb="FF44B3E1"/>
      </top>
      <bottom/>
      <diagonal/>
    </border>
    <border>
      <left style="medium">
        <color rgb="FF000000"/>
      </left>
      <right style="medium">
        <color rgb="FF000000"/>
      </right>
      <top style="dashed">
        <color rgb="FF000000"/>
      </top>
      <bottom/>
      <diagonal/>
    </border>
    <border>
      <left style="thin">
        <color auto="1"/>
      </left>
      <right/>
      <top style="thin">
        <color rgb="FF000000"/>
      </top>
      <bottom/>
      <diagonal/>
    </border>
    <border>
      <left style="thin">
        <color indexed="64"/>
      </left>
      <right style="thin">
        <color auto="1"/>
      </right>
      <top style="thin">
        <color rgb="FF000000"/>
      </top>
      <bottom/>
      <diagonal/>
    </border>
    <border>
      <left style="medium">
        <color rgb="FF000000"/>
      </left>
      <right style="medium">
        <color rgb="FF000000"/>
      </right>
      <top/>
      <bottom/>
      <diagonal/>
    </border>
    <border>
      <left style="medium">
        <color theme="2" tint="-0.249977111117893"/>
      </left>
      <right/>
      <top style="medium">
        <color theme="2" tint="-0.249977111117893"/>
      </top>
      <bottom/>
      <diagonal/>
    </border>
    <border>
      <left/>
      <right/>
      <top style="medium">
        <color theme="2" tint="-0.249977111117893"/>
      </top>
      <bottom/>
      <diagonal/>
    </border>
    <border>
      <left/>
      <right style="medium">
        <color theme="2" tint="-0.249977111117893"/>
      </right>
      <top style="medium">
        <color theme="2" tint="-0.249977111117893"/>
      </top>
      <bottom/>
      <diagonal/>
    </border>
    <border>
      <left style="medium">
        <color theme="2" tint="-0.249977111117893"/>
      </left>
      <right/>
      <top/>
      <bottom/>
      <diagonal/>
    </border>
    <border>
      <left/>
      <right style="medium">
        <color theme="2" tint="-0.249977111117893"/>
      </right>
      <top/>
      <bottom/>
      <diagonal/>
    </border>
    <border>
      <left style="medium">
        <color theme="2" tint="-0.249977111117893"/>
      </left>
      <right/>
      <top/>
      <bottom style="medium">
        <color theme="2" tint="-0.249977111117893"/>
      </bottom>
      <diagonal/>
    </border>
    <border>
      <left/>
      <right/>
      <top/>
      <bottom style="medium">
        <color theme="2" tint="-0.249977111117893"/>
      </bottom>
      <diagonal/>
    </border>
    <border>
      <left/>
      <right style="medium">
        <color theme="2" tint="-0.249977111117893"/>
      </right>
      <top/>
      <bottom style="medium">
        <color theme="2" tint="-0.249977111117893"/>
      </bottom>
      <diagonal/>
    </border>
    <border>
      <left style="thin">
        <color indexed="64"/>
      </left>
      <right style="medium">
        <color indexed="64"/>
      </right>
      <top style="thin">
        <color indexed="64"/>
      </top>
      <bottom style="thin">
        <color auto="1"/>
      </bottom>
      <diagonal/>
    </border>
    <border>
      <left style="medium">
        <color rgb="FF000000"/>
      </left>
      <right style="medium">
        <color rgb="FF000000"/>
      </right>
      <top style="thin">
        <color theme="1"/>
      </top>
      <bottom/>
      <diagonal/>
    </border>
    <border>
      <left style="medium">
        <color rgb="FF000000"/>
      </left>
      <right style="medium">
        <color rgb="FF000000"/>
      </right>
      <top style="dashed">
        <color rgb="FF000000"/>
      </top>
      <bottom style="thin">
        <color theme="1"/>
      </bottom>
      <diagonal/>
    </border>
    <border>
      <left style="medium">
        <color rgb="FF000000"/>
      </left>
      <right style="medium">
        <color rgb="FF000000"/>
      </right>
      <top style="thin">
        <color theme="1"/>
      </top>
      <bottom style="thin">
        <color theme="1"/>
      </bottom>
      <diagonal/>
    </border>
    <border>
      <left style="medium">
        <color indexed="64"/>
      </left>
      <right style="thin">
        <color indexed="64"/>
      </right>
      <top style="thin">
        <color indexed="64"/>
      </top>
      <bottom style="thin">
        <color indexed="64"/>
      </bottom>
      <diagonal/>
    </border>
  </borders>
  <cellStyleXfs count="2">
    <xf numFmtId="0" fontId="0" fillId="0" borderId="0"/>
    <xf numFmtId="0" fontId="3" fillId="0" borderId="0"/>
  </cellStyleXfs>
  <cellXfs count="313">
    <xf numFmtId="0" fontId="0" fillId="0" borderId="0" xfId="0"/>
    <xf numFmtId="0" fontId="4" fillId="0" borderId="0" xfId="1" applyFont="1"/>
    <xf numFmtId="44" fontId="8" fillId="2" borderId="1" xfId="1" applyNumberFormat="1" applyFont="1" applyFill="1" applyBorder="1" applyAlignment="1" applyProtection="1">
      <alignment horizontal="center"/>
      <protection locked="0"/>
    </xf>
    <xf numFmtId="0" fontId="11" fillId="0" borderId="0" xfId="1" applyFont="1"/>
    <xf numFmtId="0" fontId="12" fillId="0" borderId="0" xfId="1" applyFont="1"/>
    <xf numFmtId="0" fontId="12" fillId="4" borderId="2" xfId="1" applyFont="1" applyFill="1" applyBorder="1" applyAlignment="1" applyProtection="1">
      <alignment horizontal="center"/>
      <protection locked="0"/>
    </xf>
    <xf numFmtId="0" fontId="12" fillId="4" borderId="3" xfId="1" applyFont="1" applyFill="1" applyBorder="1" applyAlignment="1" applyProtection="1">
      <alignment horizontal="center"/>
      <protection locked="0"/>
    </xf>
    <xf numFmtId="0" fontId="16" fillId="3" borderId="9" xfId="1" applyFont="1" applyFill="1" applyBorder="1" applyProtection="1">
      <protection locked="0"/>
    </xf>
    <xf numFmtId="0" fontId="0" fillId="6" borderId="0" xfId="0" applyFill="1" applyProtection="1">
      <protection hidden="1"/>
    </xf>
    <xf numFmtId="0" fontId="0" fillId="0" borderId="0" xfId="0" applyProtection="1">
      <protection hidden="1"/>
    </xf>
    <xf numFmtId="0" fontId="30" fillId="0" borderId="0" xfId="0" applyFont="1" applyProtection="1">
      <protection hidden="1"/>
    </xf>
    <xf numFmtId="0" fontId="30" fillId="0" borderId="0" xfId="0" applyFont="1" applyAlignment="1" applyProtection="1">
      <alignment horizontal="right"/>
      <protection hidden="1"/>
    </xf>
    <xf numFmtId="164" fontId="30" fillId="0" borderId="0" xfId="0" applyNumberFormat="1" applyFont="1" applyProtection="1">
      <protection hidden="1"/>
    </xf>
    <xf numFmtId="40" fontId="30" fillId="0" borderId="0" xfId="0" applyNumberFormat="1" applyFont="1" applyProtection="1">
      <protection hidden="1"/>
    </xf>
    <xf numFmtId="0" fontId="30" fillId="0" borderId="6" xfId="0" applyFont="1" applyBorder="1" applyProtection="1">
      <protection hidden="1"/>
    </xf>
    <xf numFmtId="0" fontId="30" fillId="0" borderId="6" xfId="0" applyFont="1" applyBorder="1" applyAlignment="1" applyProtection="1">
      <alignment horizontal="right"/>
      <protection hidden="1"/>
    </xf>
    <xf numFmtId="164" fontId="30" fillId="0" borderId="6" xfId="0" applyNumberFormat="1" applyFont="1" applyBorder="1" applyProtection="1">
      <protection hidden="1"/>
    </xf>
    <xf numFmtId="40" fontId="30" fillId="0" borderId="6" xfId="0" applyNumberFormat="1" applyFont="1" applyBorder="1" applyProtection="1">
      <protection hidden="1"/>
    </xf>
    <xf numFmtId="0" fontId="32" fillId="0" borderId="13" xfId="0" applyFont="1" applyBorder="1" applyProtection="1">
      <protection locked="0"/>
    </xf>
    <xf numFmtId="0" fontId="33" fillId="0" borderId="0" xfId="0" applyFont="1"/>
    <xf numFmtId="0" fontId="0" fillId="0" borderId="17" xfId="0" applyBorder="1"/>
    <xf numFmtId="0" fontId="33" fillId="10" borderId="0" xfId="0" applyFont="1" applyFill="1"/>
    <xf numFmtId="0" fontId="0" fillId="10" borderId="0" xfId="0" applyFill="1"/>
    <xf numFmtId="0" fontId="33" fillId="10" borderId="16" xfId="0" applyFont="1" applyFill="1" applyBorder="1"/>
    <xf numFmtId="0" fontId="34" fillId="10" borderId="0" xfId="0" applyFont="1" applyFill="1"/>
    <xf numFmtId="0" fontId="33" fillId="0" borderId="18" xfId="0" applyFont="1" applyBorder="1"/>
    <xf numFmtId="0" fontId="33" fillId="10" borderId="21" xfId="0" applyFont="1" applyFill="1" applyBorder="1"/>
    <xf numFmtId="0" fontId="34" fillId="0" borderId="0" xfId="0" applyFont="1"/>
    <xf numFmtId="168" fontId="33" fillId="0" borderId="18" xfId="0" applyNumberFormat="1" applyFont="1" applyBorder="1"/>
    <xf numFmtId="168" fontId="33" fillId="10" borderId="0" xfId="0" applyNumberFormat="1" applyFont="1" applyFill="1"/>
    <xf numFmtId="0" fontId="0" fillId="0" borderId="19" xfId="0" applyBorder="1"/>
    <xf numFmtId="168" fontId="0" fillId="0" borderId="28" xfId="0" applyNumberFormat="1" applyBorder="1"/>
    <xf numFmtId="168" fontId="0" fillId="0" borderId="29" xfId="0" applyNumberFormat="1" applyBorder="1"/>
    <xf numFmtId="168" fontId="35" fillId="0" borderId="30" xfId="0" applyNumberFormat="1" applyFont="1" applyBorder="1"/>
    <xf numFmtId="0" fontId="1" fillId="9" borderId="30" xfId="0" applyFont="1" applyFill="1" applyBorder="1"/>
    <xf numFmtId="0" fontId="0" fillId="0" borderId="31" xfId="0" applyBorder="1"/>
    <xf numFmtId="0" fontId="0" fillId="0" borderId="32" xfId="0" applyBorder="1"/>
    <xf numFmtId="0" fontId="0" fillId="0" borderId="20" xfId="0" applyBorder="1"/>
    <xf numFmtId="40" fontId="0" fillId="0" borderId="11" xfId="0" applyNumberFormat="1" applyBorder="1" applyAlignment="1" applyProtection="1">
      <alignment shrinkToFit="1"/>
      <protection hidden="1"/>
    </xf>
    <xf numFmtId="0" fontId="39" fillId="0" borderId="11" xfId="0" applyFont="1" applyBorder="1" applyAlignment="1" applyProtection="1">
      <alignment horizontal="center" shrinkToFit="1"/>
      <protection hidden="1"/>
    </xf>
    <xf numFmtId="0" fontId="15" fillId="3" borderId="6" xfId="1" applyFont="1" applyFill="1" applyBorder="1" applyAlignment="1" applyProtection="1">
      <alignment horizontal="center"/>
      <protection locked="0"/>
    </xf>
    <xf numFmtId="0" fontId="4" fillId="0" borderId="15" xfId="1" applyFont="1" applyBorder="1"/>
    <xf numFmtId="0" fontId="4" fillId="0" borderId="36" xfId="1" applyFont="1" applyBorder="1"/>
    <xf numFmtId="0" fontId="24" fillId="0" borderId="0" xfId="1" applyFont="1" applyAlignment="1">
      <alignment horizontal="left"/>
    </xf>
    <xf numFmtId="0" fontId="4" fillId="0" borderId="0" xfId="1" applyFont="1" applyAlignment="1">
      <alignment horizontal="left"/>
    </xf>
    <xf numFmtId="0" fontId="7" fillId="0" borderId="0" xfId="1" applyFont="1" applyAlignment="1">
      <alignment horizontal="right"/>
    </xf>
    <xf numFmtId="0" fontId="11" fillId="0" borderId="36" xfId="1" applyFont="1" applyBorder="1"/>
    <xf numFmtId="0" fontId="11" fillId="0" borderId="0" xfId="1" applyFont="1" applyAlignment="1">
      <alignment horizontal="left"/>
    </xf>
    <xf numFmtId="0" fontId="12" fillId="0" borderId="36" xfId="1" applyFont="1" applyBorder="1"/>
    <xf numFmtId="0" fontId="16" fillId="0" borderId="0" xfId="1" applyFont="1" applyAlignment="1">
      <alignment horizontal="left" indent="1"/>
    </xf>
    <xf numFmtId="0" fontId="16" fillId="0" borderId="0" xfId="1" applyFont="1"/>
    <xf numFmtId="0" fontId="16" fillId="0" borderId="0" xfId="1" applyFont="1" applyAlignment="1">
      <alignment horizontal="right"/>
    </xf>
    <xf numFmtId="0" fontId="18" fillId="0" borderId="0" xfId="1" applyFont="1" applyAlignment="1">
      <alignment horizontal="right" wrapText="1"/>
    </xf>
    <xf numFmtId="0" fontId="19" fillId="0" borderId="0" xfId="1" applyFont="1"/>
    <xf numFmtId="0" fontId="16" fillId="4" borderId="0" xfId="1" applyFont="1" applyFill="1" applyAlignment="1">
      <alignment horizontal="left"/>
    </xf>
    <xf numFmtId="0" fontId="16" fillId="3" borderId="0" xfId="1" applyFont="1" applyFill="1" applyAlignment="1">
      <alignment horizontal="left"/>
    </xf>
    <xf numFmtId="0" fontId="2" fillId="0" borderId="0" xfId="1" applyFont="1" applyAlignment="1" applyProtection="1">
      <alignment horizontal="center"/>
      <protection locked="0"/>
    </xf>
    <xf numFmtId="0" fontId="10" fillId="0" borderId="0" xfId="1" applyFont="1" applyAlignment="1" applyProtection="1">
      <alignment horizontal="right"/>
      <protection locked="0"/>
    </xf>
    <xf numFmtId="44" fontId="8" fillId="2" borderId="0" xfId="1" applyNumberFormat="1" applyFont="1" applyFill="1" applyAlignment="1" applyProtection="1">
      <alignment horizontal="center"/>
      <protection locked="0"/>
    </xf>
    <xf numFmtId="44" fontId="8" fillId="2" borderId="0" xfId="1" applyNumberFormat="1" applyFont="1" applyFill="1" applyProtection="1">
      <protection locked="0"/>
    </xf>
    <xf numFmtId="44" fontId="8" fillId="2" borderId="0" xfId="1" applyNumberFormat="1" applyFont="1" applyFill="1"/>
    <xf numFmtId="44" fontId="6" fillId="2" borderId="0" xfId="1" applyNumberFormat="1" applyFont="1" applyFill="1" applyAlignment="1">
      <alignment horizontal="left" vertical="center"/>
    </xf>
    <xf numFmtId="0" fontId="4" fillId="0" borderId="14" xfId="1" applyFont="1" applyBorder="1"/>
    <xf numFmtId="0" fontId="4" fillId="0" borderId="6" xfId="1" applyFont="1" applyBorder="1"/>
    <xf numFmtId="0" fontId="4" fillId="0" borderId="37" xfId="1" applyFont="1" applyBorder="1"/>
    <xf numFmtId="0" fontId="13" fillId="5" borderId="40" xfId="1" applyFont="1" applyFill="1" applyBorder="1" applyAlignment="1">
      <alignment horizontal="center" vertical="center"/>
    </xf>
    <xf numFmtId="0" fontId="12" fillId="4" borderId="43" xfId="1" applyFont="1" applyFill="1" applyBorder="1" applyAlignment="1" applyProtection="1">
      <alignment horizontal="center"/>
      <protection locked="0"/>
    </xf>
    <xf numFmtId="0" fontId="12" fillId="4" borderId="41" xfId="1" applyFont="1" applyFill="1" applyBorder="1" applyAlignment="1" applyProtection="1">
      <alignment horizontal="center"/>
      <protection locked="0"/>
    </xf>
    <xf numFmtId="0" fontId="12" fillId="4" borderId="0" xfId="1" applyFont="1" applyFill="1" applyProtection="1">
      <protection locked="0"/>
    </xf>
    <xf numFmtId="0" fontId="10" fillId="4" borderId="0" xfId="1" applyFont="1" applyFill="1" applyAlignment="1" applyProtection="1">
      <alignment horizontal="right"/>
      <protection locked="0"/>
    </xf>
    <xf numFmtId="0" fontId="15" fillId="3" borderId="0" xfId="1" applyFont="1" applyFill="1" applyAlignment="1" applyProtection="1">
      <alignment horizontal="center"/>
      <protection locked="0"/>
    </xf>
    <xf numFmtId="0" fontId="16" fillId="3" borderId="5" xfId="1" applyFont="1" applyFill="1" applyBorder="1" applyAlignment="1">
      <alignment horizontal="left"/>
    </xf>
    <xf numFmtId="0" fontId="15" fillId="3" borderId="5" xfId="1" applyFont="1" applyFill="1" applyBorder="1" applyAlignment="1" applyProtection="1">
      <alignment horizontal="center"/>
      <protection locked="0"/>
    </xf>
    <xf numFmtId="44" fontId="8" fillId="0" borderId="0" xfId="1" applyNumberFormat="1" applyFont="1"/>
    <xf numFmtId="44" fontId="6" fillId="0" borderId="0" xfId="1" applyNumberFormat="1" applyFont="1" applyAlignment="1">
      <alignment vertical="center"/>
    </xf>
    <xf numFmtId="44" fontId="6" fillId="0" borderId="0" xfId="1" applyNumberFormat="1" applyFont="1" applyAlignment="1">
      <alignment horizontal="left" vertical="center"/>
    </xf>
    <xf numFmtId="0" fontId="4" fillId="0" borderId="48" xfId="1" applyFont="1" applyBorder="1"/>
    <xf numFmtId="0" fontId="25" fillId="0" borderId="47" xfId="1" applyFont="1" applyBorder="1" applyAlignment="1">
      <alignment horizontal="left"/>
    </xf>
    <xf numFmtId="0" fontId="11" fillId="0" borderId="48" xfId="1" applyFont="1" applyBorder="1" applyAlignment="1">
      <alignment horizontal="left"/>
    </xf>
    <xf numFmtId="0" fontId="44" fillId="0" borderId="50" xfId="1" applyFont="1" applyBorder="1"/>
    <xf numFmtId="0" fontId="21" fillId="0" borderId="48" xfId="1" applyFont="1" applyBorder="1" applyAlignment="1">
      <alignment horizontal="center"/>
    </xf>
    <xf numFmtId="0" fontId="44" fillId="0" borderId="51" xfId="1" applyFont="1" applyBorder="1"/>
    <xf numFmtId="0" fontId="20" fillId="0" borderId="48" xfId="1" applyFont="1" applyBorder="1" applyAlignment="1">
      <alignment horizontal="center"/>
    </xf>
    <xf numFmtId="0" fontId="16" fillId="0" borderId="47" xfId="1" applyFont="1" applyBorder="1" applyAlignment="1">
      <alignment horizontal="left" indent="1"/>
    </xf>
    <xf numFmtId="0" fontId="16" fillId="0" borderId="48" xfId="1" applyFont="1" applyBorder="1" applyAlignment="1">
      <alignment horizontal="right"/>
    </xf>
    <xf numFmtId="0" fontId="18" fillId="0" borderId="47" xfId="1" applyFont="1" applyBorder="1" applyAlignment="1">
      <alignment horizontal="right" wrapText="1"/>
    </xf>
    <xf numFmtId="0" fontId="18" fillId="0" borderId="47" xfId="1" applyFont="1" applyBorder="1" applyAlignment="1">
      <alignment horizontal="right"/>
    </xf>
    <xf numFmtId="0" fontId="12" fillId="0" borderId="48" xfId="1" applyFont="1" applyBorder="1"/>
    <xf numFmtId="0" fontId="16" fillId="3" borderId="53" xfId="1" applyFont="1" applyFill="1" applyBorder="1" applyProtection="1">
      <protection locked="0"/>
    </xf>
    <xf numFmtId="0" fontId="17" fillId="0" borderId="47" xfId="1" applyFont="1" applyBorder="1"/>
    <xf numFmtId="0" fontId="16" fillId="4" borderId="47" xfId="1" applyFont="1" applyFill="1" applyBorder="1"/>
    <xf numFmtId="0" fontId="14" fillId="0" borderId="47" xfId="1" applyFont="1" applyBorder="1" applyAlignment="1">
      <alignment horizontal="right" wrapText="1" indent="1"/>
    </xf>
    <xf numFmtId="0" fontId="15" fillId="3" borderId="49" xfId="1" applyFont="1" applyFill="1" applyBorder="1" applyAlignment="1" applyProtection="1">
      <alignment horizontal="center"/>
      <protection locked="0"/>
    </xf>
    <xf numFmtId="0" fontId="2" fillId="0" borderId="48" xfId="1" applyFont="1" applyBorder="1" applyAlignment="1" applyProtection="1">
      <alignment horizontal="center"/>
      <protection locked="0"/>
    </xf>
    <xf numFmtId="164" fontId="13" fillId="5" borderId="55" xfId="1" applyNumberFormat="1" applyFont="1" applyFill="1" applyBorder="1" applyAlignment="1">
      <alignment horizontal="center" vertical="center"/>
    </xf>
    <xf numFmtId="0" fontId="13" fillId="5" borderId="56" xfId="1" applyFont="1" applyFill="1" applyBorder="1" applyAlignment="1">
      <alignment horizontal="center" vertical="center"/>
    </xf>
    <xf numFmtId="44" fontId="12" fillId="4" borderId="58" xfId="1" applyNumberFormat="1" applyFont="1" applyFill="1" applyBorder="1" applyAlignment="1" applyProtection="1">
      <alignment horizontal="center"/>
      <protection locked="0"/>
    </xf>
    <xf numFmtId="44" fontId="12" fillId="4" borderId="60" xfId="1" applyNumberFormat="1" applyFont="1" applyFill="1" applyBorder="1" applyAlignment="1" applyProtection="1">
      <alignment horizontal="center"/>
      <protection locked="0"/>
    </xf>
    <xf numFmtId="0" fontId="12" fillId="4" borderId="47" xfId="1" applyFont="1" applyFill="1" applyBorder="1" applyProtection="1">
      <protection locked="0"/>
    </xf>
    <xf numFmtId="44" fontId="12" fillId="0" borderId="48" xfId="1" applyNumberFormat="1" applyFont="1" applyBorder="1" applyAlignment="1" applyProtection="1">
      <alignment horizontal="center"/>
      <protection locked="0"/>
    </xf>
    <xf numFmtId="0" fontId="4" fillId="0" borderId="47" xfId="1" applyFont="1" applyBorder="1"/>
    <xf numFmtId="0" fontId="10" fillId="0" borderId="48" xfId="1" applyFont="1" applyBorder="1" applyAlignment="1" applyProtection="1">
      <alignment horizontal="center"/>
      <protection locked="0"/>
    </xf>
    <xf numFmtId="44" fontId="9" fillId="3" borderId="48" xfId="1" applyNumberFormat="1" applyFont="1" applyFill="1" applyBorder="1" applyAlignment="1" applyProtection="1">
      <alignment horizontal="center"/>
      <protection locked="0"/>
    </xf>
    <xf numFmtId="44" fontId="5" fillId="2" borderId="48" xfId="1" applyNumberFormat="1" applyFont="1" applyFill="1" applyBorder="1"/>
    <xf numFmtId="0" fontId="4" fillId="0" borderId="61" xfId="1" applyFont="1" applyBorder="1"/>
    <xf numFmtId="0" fontId="4" fillId="0" borderId="62" xfId="1" applyFont="1" applyBorder="1"/>
    <xf numFmtId="0" fontId="4" fillId="0" borderId="63" xfId="1" applyFont="1" applyBorder="1"/>
    <xf numFmtId="0" fontId="10" fillId="0" borderId="64" xfId="1" applyFont="1" applyBorder="1" applyAlignment="1" applyProtection="1">
      <alignment horizontal="right"/>
      <protection locked="0"/>
    </xf>
    <xf numFmtId="0" fontId="10" fillId="0" borderId="65" xfId="1" applyFont="1" applyBorder="1" applyAlignment="1" applyProtection="1">
      <alignment horizontal="right"/>
      <protection locked="0"/>
    </xf>
    <xf numFmtId="44" fontId="12" fillId="3" borderId="66" xfId="1" applyNumberFormat="1" applyFont="1" applyFill="1" applyBorder="1" applyAlignment="1" applyProtection="1">
      <alignment horizontal="center"/>
      <protection locked="0"/>
    </xf>
    <xf numFmtId="0" fontId="10" fillId="0" borderId="47" xfId="1" applyFont="1" applyBorder="1" applyAlignment="1" applyProtection="1">
      <alignment horizontal="right"/>
      <protection locked="0"/>
    </xf>
    <xf numFmtId="0" fontId="0" fillId="0" borderId="0" xfId="0" applyAlignment="1">
      <alignment horizontal="right"/>
    </xf>
    <xf numFmtId="0" fontId="0" fillId="0" borderId="0" xfId="0" applyAlignment="1">
      <alignment horizontal="left"/>
    </xf>
    <xf numFmtId="0" fontId="45" fillId="0" borderId="0" xfId="0" applyFont="1" applyAlignment="1">
      <alignment horizontal="left"/>
    </xf>
    <xf numFmtId="0" fontId="46" fillId="0" borderId="0" xfId="0" applyFont="1" applyAlignment="1">
      <alignment horizontal="left"/>
    </xf>
    <xf numFmtId="0" fontId="40" fillId="0" borderId="0" xfId="1" applyFont="1"/>
    <xf numFmtId="14" fontId="12" fillId="4" borderId="3" xfId="1" applyNumberFormat="1" applyFont="1" applyFill="1" applyBorder="1" applyAlignment="1" applyProtection="1">
      <alignment horizontal="center"/>
      <protection locked="0"/>
    </xf>
    <xf numFmtId="0" fontId="43" fillId="0" borderId="0" xfId="1" applyFont="1"/>
    <xf numFmtId="0" fontId="40" fillId="0" borderId="44" xfId="1" applyFont="1" applyBorder="1"/>
    <xf numFmtId="0" fontId="48" fillId="0" borderId="0" xfId="0" applyFont="1"/>
    <xf numFmtId="0" fontId="49" fillId="0" borderId="0" xfId="1" applyFont="1"/>
    <xf numFmtId="0" fontId="50" fillId="0" borderId="0" xfId="1" applyFont="1"/>
    <xf numFmtId="1" fontId="12" fillId="4" borderId="57" xfId="1" applyNumberFormat="1" applyFont="1" applyFill="1" applyBorder="1" applyAlignment="1" applyProtection="1">
      <alignment horizontal="center"/>
      <protection locked="0"/>
    </xf>
    <xf numFmtId="1" fontId="12" fillId="4" borderId="59" xfId="1" applyNumberFormat="1" applyFont="1" applyFill="1" applyBorder="1" applyAlignment="1" applyProtection="1">
      <alignment horizontal="center"/>
      <protection locked="0"/>
    </xf>
    <xf numFmtId="49" fontId="12" fillId="4" borderId="3" xfId="1" applyNumberFormat="1" applyFont="1" applyFill="1" applyBorder="1" applyAlignment="1" applyProtection="1">
      <alignment horizontal="center"/>
      <protection locked="0"/>
    </xf>
    <xf numFmtId="49" fontId="12" fillId="4" borderId="43" xfId="1" applyNumberFormat="1" applyFont="1" applyFill="1" applyBorder="1" applyAlignment="1" applyProtection="1">
      <alignment horizontal="center"/>
      <protection locked="0"/>
    </xf>
    <xf numFmtId="14" fontId="49" fillId="0" borderId="0" xfId="1" applyNumberFormat="1" applyFont="1"/>
    <xf numFmtId="14" fontId="50" fillId="0" borderId="0" xfId="1" applyNumberFormat="1" applyFont="1"/>
    <xf numFmtId="44" fontId="51" fillId="0" borderId="0" xfId="1" applyNumberFormat="1" applyFont="1"/>
    <xf numFmtId="0" fontId="40" fillId="0" borderId="16" xfId="1" applyFont="1" applyBorder="1"/>
    <xf numFmtId="0" fontId="40" fillId="0" borderId="70" xfId="1" applyFont="1" applyBorder="1"/>
    <xf numFmtId="0" fontId="40" fillId="0" borderId="71" xfId="1" applyFont="1" applyBorder="1"/>
    <xf numFmtId="0" fontId="40" fillId="0" borderId="72" xfId="1" applyFont="1" applyBorder="1"/>
    <xf numFmtId="2" fontId="12" fillId="0" borderId="0" xfId="1" applyNumberFormat="1" applyFont="1"/>
    <xf numFmtId="0" fontId="11" fillId="0" borderId="73" xfId="1" applyFont="1" applyBorder="1" applyAlignment="1">
      <alignment horizontal="center"/>
    </xf>
    <xf numFmtId="14" fontId="11" fillId="0" borderId="74" xfId="1" applyNumberFormat="1" applyFont="1" applyBorder="1" applyAlignment="1">
      <alignment horizontal="center"/>
    </xf>
    <xf numFmtId="0" fontId="4" fillId="0" borderId="74" xfId="1" applyFont="1" applyBorder="1" applyAlignment="1">
      <alignment horizontal="center"/>
    </xf>
    <xf numFmtId="0" fontId="52" fillId="0" borderId="0" xfId="1" applyFont="1" applyAlignment="1">
      <alignment horizontal="center"/>
    </xf>
    <xf numFmtId="2" fontId="12" fillId="0" borderId="64" xfId="1" applyNumberFormat="1" applyFont="1" applyBorder="1"/>
    <xf numFmtId="2" fontId="12" fillId="0" borderId="67" xfId="1" applyNumberFormat="1" applyFont="1" applyBorder="1"/>
    <xf numFmtId="2" fontId="12" fillId="0" borderId="68" xfId="1" applyNumberFormat="1" applyFont="1" applyBorder="1"/>
    <xf numFmtId="2" fontId="12" fillId="0" borderId="69" xfId="1" applyNumberFormat="1" applyFont="1" applyBorder="1"/>
    <xf numFmtId="0" fontId="7" fillId="0" borderId="0" xfId="1" applyFont="1"/>
    <xf numFmtId="0" fontId="29" fillId="0" borderId="45" xfId="1" applyFont="1" applyBorder="1"/>
    <xf numFmtId="0" fontId="11" fillId="0" borderId="15" xfId="1" applyFont="1" applyBorder="1" applyAlignment="1">
      <alignment horizontal="center"/>
    </xf>
    <xf numFmtId="0" fontId="11" fillId="0" borderId="35" xfId="1" applyFont="1" applyBorder="1"/>
    <xf numFmtId="0" fontId="11" fillId="0" borderId="33" xfId="1" applyFont="1" applyBorder="1"/>
    <xf numFmtId="0" fontId="11" fillId="0" borderId="34" xfId="1" applyFont="1" applyBorder="1"/>
    <xf numFmtId="0" fontId="11" fillId="0" borderId="0" xfId="1" applyFont="1" applyAlignment="1">
      <alignment wrapText="1"/>
    </xf>
    <xf numFmtId="0" fontId="38" fillId="7" borderId="0" xfId="0" applyFont="1" applyFill="1" applyAlignment="1">
      <alignment horizontal="center"/>
    </xf>
    <xf numFmtId="168" fontId="35" fillId="0" borderId="75" xfId="0" applyNumberFormat="1" applyFont="1" applyBorder="1"/>
    <xf numFmtId="0" fontId="35" fillId="0" borderId="76" xfId="0" applyFont="1" applyBorder="1"/>
    <xf numFmtId="0" fontId="35" fillId="0" borderId="77" xfId="0" applyFont="1" applyBorder="1"/>
    <xf numFmtId="0" fontId="54" fillId="11" borderId="35" xfId="0" applyFont="1" applyFill="1" applyBorder="1" applyAlignment="1">
      <alignment horizontal="left" vertical="center" shrinkToFit="1"/>
    </xf>
    <xf numFmtId="0" fontId="54" fillId="12" borderId="15" xfId="0" applyFont="1" applyFill="1" applyBorder="1" applyAlignment="1">
      <alignment horizontal="left" vertical="center" shrinkToFit="1"/>
    </xf>
    <xf numFmtId="0" fontId="54" fillId="11" borderId="15" xfId="0" applyFont="1" applyFill="1" applyBorder="1" applyAlignment="1">
      <alignment horizontal="left" vertical="center" shrinkToFit="1"/>
    </xf>
    <xf numFmtId="14" fontId="54" fillId="11" borderId="15" xfId="0" applyNumberFormat="1" applyFont="1" applyFill="1" applyBorder="1" applyAlignment="1">
      <alignment horizontal="left" vertical="center" shrinkToFit="1"/>
    </xf>
    <xf numFmtId="166" fontId="54" fillId="11" borderId="15" xfId="0" applyNumberFormat="1" applyFont="1" applyFill="1" applyBorder="1" applyAlignment="1">
      <alignment horizontal="left" vertical="center" shrinkToFit="1"/>
    </xf>
    <xf numFmtId="0" fontId="54" fillId="0" borderId="15" xfId="0" applyFont="1" applyBorder="1" applyAlignment="1">
      <alignment horizontal="left" vertical="center" shrinkToFit="1"/>
    </xf>
    <xf numFmtId="14" fontId="54" fillId="0" borderId="15" xfId="0" applyNumberFormat="1" applyFont="1" applyBorder="1" applyAlignment="1">
      <alignment horizontal="left" vertical="center" shrinkToFit="1"/>
    </xf>
    <xf numFmtId="166" fontId="54" fillId="0" borderId="15" xfId="0" applyNumberFormat="1" applyFont="1" applyBorder="1" applyAlignment="1">
      <alignment horizontal="left" vertical="center" shrinkToFit="1"/>
    </xf>
    <xf numFmtId="14" fontId="55" fillId="11" borderId="15" xfId="1" applyNumberFormat="1" applyFont="1" applyFill="1" applyBorder="1"/>
    <xf numFmtId="0" fontId="55" fillId="11" borderId="15" xfId="1" applyFont="1" applyFill="1" applyBorder="1"/>
    <xf numFmtId="14" fontId="55" fillId="0" borderId="15" xfId="1" applyNumberFormat="1" applyFont="1" applyBorder="1"/>
    <xf numFmtId="0" fontId="55" fillId="0" borderId="15" xfId="1" applyFont="1" applyBorder="1"/>
    <xf numFmtId="0" fontId="40" fillId="11" borderId="65" xfId="1" applyFont="1" applyFill="1" applyBorder="1"/>
    <xf numFmtId="0" fontId="56" fillId="0" borderId="65" xfId="0" applyFont="1" applyBorder="1" applyAlignment="1">
      <alignment horizontal="left" vertical="center" shrinkToFit="1"/>
    </xf>
    <xf numFmtId="0" fontId="56" fillId="11" borderId="35" xfId="0" applyFont="1" applyFill="1" applyBorder="1" applyAlignment="1">
      <alignment horizontal="left" vertical="center" shrinkToFit="1"/>
    </xf>
    <xf numFmtId="0" fontId="56" fillId="0" borderId="35" xfId="0" applyFont="1" applyBorder="1" applyAlignment="1">
      <alignment horizontal="left" vertical="center" shrinkToFit="1"/>
    </xf>
    <xf numFmtId="0" fontId="57" fillId="7" borderId="0" xfId="0" applyFont="1" applyFill="1" applyAlignment="1">
      <alignment horizontal="center"/>
    </xf>
    <xf numFmtId="0" fontId="38" fillId="7" borderId="36" xfId="0" applyFont="1" applyFill="1" applyBorder="1" applyAlignment="1">
      <alignment horizontal="center"/>
    </xf>
    <xf numFmtId="164" fontId="38" fillId="7" borderId="36" xfId="0" applyNumberFormat="1" applyFont="1" applyFill="1" applyBorder="1" applyAlignment="1">
      <alignment horizontal="center"/>
    </xf>
    <xf numFmtId="40" fontId="38" fillId="7" borderId="36" xfId="0" applyNumberFormat="1" applyFont="1" applyFill="1" applyBorder="1" applyAlignment="1">
      <alignment horizontal="center"/>
    </xf>
    <xf numFmtId="0" fontId="38" fillId="8" borderId="36" xfId="0" applyFont="1" applyFill="1" applyBorder="1" applyAlignment="1">
      <alignment horizontal="center"/>
    </xf>
    <xf numFmtId="0" fontId="55" fillId="0" borderId="0" xfId="1" applyFont="1"/>
    <xf numFmtId="0" fontId="58" fillId="0" borderId="0" xfId="0" applyFont="1"/>
    <xf numFmtId="166" fontId="55" fillId="0" borderId="0" xfId="1" applyNumberFormat="1" applyFont="1"/>
    <xf numFmtId="0" fontId="38" fillId="7" borderId="78" xfId="0" applyFont="1" applyFill="1" applyBorder="1" applyAlignment="1">
      <alignment horizontal="center"/>
    </xf>
    <xf numFmtId="164" fontId="38" fillId="7" borderId="78" xfId="0" applyNumberFormat="1" applyFont="1" applyFill="1" applyBorder="1" applyAlignment="1">
      <alignment horizontal="center"/>
    </xf>
    <xf numFmtId="40" fontId="38" fillId="7" borderId="78" xfId="0" applyNumberFormat="1" applyFont="1" applyFill="1" applyBorder="1" applyAlignment="1">
      <alignment horizontal="center"/>
    </xf>
    <xf numFmtId="0" fontId="38" fillId="8" borderId="78" xfId="0" applyFont="1" applyFill="1" applyBorder="1" applyAlignment="1">
      <alignment horizontal="center"/>
    </xf>
    <xf numFmtId="0" fontId="38" fillId="8" borderId="79" xfId="0" applyFont="1" applyFill="1" applyBorder="1" applyAlignment="1">
      <alignment horizontal="left"/>
    </xf>
    <xf numFmtId="0" fontId="36" fillId="0" borderId="15" xfId="0" applyFont="1" applyBorder="1" applyAlignment="1">
      <alignment horizontal="left" vertical="center" shrinkToFit="1"/>
    </xf>
    <xf numFmtId="0" fontId="37" fillId="0" borderId="15" xfId="0" applyFont="1" applyBorder="1" applyAlignment="1">
      <alignment horizontal="left" vertical="center" shrinkToFit="1"/>
    </xf>
    <xf numFmtId="168" fontId="35" fillId="0" borderId="80" xfId="0" applyNumberFormat="1" applyFont="1" applyBorder="1"/>
    <xf numFmtId="0" fontId="59" fillId="0" borderId="0" xfId="0" applyFont="1"/>
    <xf numFmtId="0" fontId="60" fillId="0" borderId="0" xfId="0" applyFont="1"/>
    <xf numFmtId="0" fontId="61" fillId="0" borderId="0" xfId="0" applyFont="1"/>
    <xf numFmtId="0" fontId="62" fillId="0" borderId="0" xfId="0" applyFont="1"/>
    <xf numFmtId="0" fontId="63" fillId="0" borderId="0" xfId="0" applyFont="1" applyAlignment="1">
      <alignment vertical="center"/>
    </xf>
    <xf numFmtId="14" fontId="4" fillId="0" borderId="0" xfId="1" applyNumberFormat="1" applyFont="1"/>
    <xf numFmtId="0" fontId="11" fillId="0" borderId="81" xfId="1" applyFont="1" applyBorder="1"/>
    <xf numFmtId="0" fontId="11" fillId="0" borderId="82" xfId="1" applyFont="1" applyBorder="1"/>
    <xf numFmtId="0" fontId="11" fillId="0" borderId="83" xfId="1" applyFont="1" applyBorder="1"/>
    <xf numFmtId="14" fontId="11" fillId="0" borderId="84" xfId="1" applyNumberFormat="1" applyFont="1" applyBorder="1"/>
    <xf numFmtId="14" fontId="11" fillId="0" borderId="0" xfId="1" applyNumberFormat="1" applyFont="1"/>
    <xf numFmtId="14" fontId="11" fillId="0" borderId="85" xfId="1" applyNumberFormat="1" applyFont="1" applyBorder="1"/>
    <xf numFmtId="0" fontId="11" fillId="0" borderId="86" xfId="1" applyFont="1" applyBorder="1"/>
    <xf numFmtId="0" fontId="11" fillId="0" borderId="87" xfId="1" applyFont="1" applyBorder="1"/>
    <xf numFmtId="0" fontId="11" fillId="0" borderId="88" xfId="1" applyFont="1" applyBorder="1"/>
    <xf numFmtId="0" fontId="11" fillId="0" borderId="74" xfId="1" applyFont="1" applyBorder="1" applyAlignment="1">
      <alignment horizontal="center"/>
    </xf>
    <xf numFmtId="0" fontId="33" fillId="0" borderId="25" xfId="0" applyFont="1" applyBorder="1" applyAlignment="1">
      <alignment horizontal="left"/>
    </xf>
    <xf numFmtId="0" fontId="33" fillId="0" borderId="22" xfId="0" applyFont="1" applyBorder="1" applyAlignment="1">
      <alignment horizontal="left"/>
    </xf>
    <xf numFmtId="0" fontId="33" fillId="0" borderId="23" xfId="0" applyFont="1" applyBorder="1" applyAlignment="1">
      <alignment horizontal="left"/>
    </xf>
    <xf numFmtId="0" fontId="33" fillId="0" borderId="26" xfId="0" applyFont="1" applyBorder="1" applyAlignment="1">
      <alignment horizontal="left"/>
    </xf>
    <xf numFmtId="0" fontId="33" fillId="0" borderId="24" xfId="0" applyFont="1" applyBorder="1" applyAlignment="1">
      <alignment horizontal="left"/>
    </xf>
    <xf numFmtId="0" fontId="33" fillId="0" borderId="27" xfId="0" applyFont="1" applyBorder="1" applyAlignment="1">
      <alignment horizontal="left"/>
    </xf>
    <xf numFmtId="0" fontId="31" fillId="0" borderId="0" xfId="0" applyFont="1" applyAlignment="1" applyProtection="1">
      <alignment horizontal="center"/>
      <protection hidden="1"/>
    </xf>
    <xf numFmtId="0" fontId="12" fillId="0" borderId="6" xfId="1" applyFont="1" applyBorder="1" applyAlignment="1">
      <alignment horizontal="center"/>
    </xf>
    <xf numFmtId="0" fontId="12" fillId="4" borderId="2" xfId="1" applyFont="1" applyFill="1" applyBorder="1" applyAlignment="1" applyProtection="1">
      <alignment horizontal="left"/>
      <protection locked="0"/>
    </xf>
    <xf numFmtId="0" fontId="12" fillId="4" borderId="4" xfId="1" applyFont="1" applyFill="1" applyBorder="1" applyAlignment="1" applyProtection="1">
      <alignment horizontal="left"/>
      <protection locked="0"/>
    </xf>
    <xf numFmtId="0" fontId="7" fillId="0" borderId="0" xfId="1" applyFont="1" applyAlignment="1">
      <alignment horizontal="left" indent="1"/>
    </xf>
    <xf numFmtId="164" fontId="11" fillId="0" borderId="47" xfId="1" applyNumberFormat="1" applyFont="1" applyBorder="1"/>
    <xf numFmtId="164" fontId="11" fillId="0" borderId="0" xfId="1" applyNumberFormat="1" applyFont="1"/>
    <xf numFmtId="0" fontId="11" fillId="0" borderId="0" xfId="1" applyFont="1"/>
    <xf numFmtId="0" fontId="11" fillId="0" borderId="48" xfId="1" applyFont="1" applyBorder="1"/>
    <xf numFmtId="164" fontId="13" fillId="5" borderId="38" xfId="1" applyNumberFormat="1" applyFont="1" applyFill="1" applyBorder="1" applyAlignment="1">
      <alignment horizontal="center" vertical="center"/>
    </xf>
    <xf numFmtId="164" fontId="13" fillId="5" borderId="39" xfId="1" applyNumberFormat="1" applyFont="1" applyFill="1" applyBorder="1" applyAlignment="1">
      <alignment horizontal="center" vertical="center"/>
    </xf>
    <xf numFmtId="0" fontId="16" fillId="3" borderId="8" xfId="1" applyFont="1" applyFill="1" applyBorder="1" applyAlignment="1" applyProtection="1">
      <alignment horizontal="center"/>
      <protection locked="0"/>
    </xf>
    <xf numFmtId="0" fontId="16" fillId="3" borderId="7" xfId="1" applyFont="1" applyFill="1" applyBorder="1" applyAlignment="1" applyProtection="1">
      <alignment horizontal="center"/>
      <protection locked="0"/>
    </xf>
    <xf numFmtId="0" fontId="16" fillId="3" borderId="54" xfId="1" applyFont="1" applyFill="1" applyBorder="1" applyAlignment="1" applyProtection="1">
      <alignment horizontal="center"/>
      <protection locked="0"/>
    </xf>
    <xf numFmtId="0" fontId="2" fillId="3" borderId="5" xfId="1" applyFont="1" applyFill="1" applyBorder="1" applyAlignment="1" applyProtection="1">
      <alignment horizontal="center"/>
      <protection locked="0"/>
    </xf>
    <xf numFmtId="0" fontId="2" fillId="3" borderId="52" xfId="1" applyFont="1" applyFill="1" applyBorder="1" applyAlignment="1" applyProtection="1">
      <alignment horizontal="center"/>
      <protection locked="0"/>
    </xf>
    <xf numFmtId="0" fontId="16" fillId="3" borderId="5" xfId="1" applyFont="1" applyFill="1" applyBorder="1" applyAlignment="1" applyProtection="1">
      <alignment horizontal="center"/>
      <protection locked="0"/>
    </xf>
    <xf numFmtId="0" fontId="16" fillId="3" borderId="5" xfId="1" applyFont="1" applyFill="1" applyBorder="1" applyAlignment="1">
      <alignment horizontal="center"/>
    </xf>
    <xf numFmtId="0" fontId="16" fillId="3" borderId="52" xfId="1" applyFont="1" applyFill="1" applyBorder="1" applyAlignment="1">
      <alignment horizontal="center"/>
    </xf>
    <xf numFmtId="165" fontId="16" fillId="3" borderId="5" xfId="1" applyNumberFormat="1" applyFont="1" applyFill="1" applyBorder="1" applyAlignment="1" applyProtection="1">
      <alignment horizontal="center"/>
      <protection locked="0"/>
    </xf>
    <xf numFmtId="0" fontId="4" fillId="4" borderId="41" xfId="1" applyFont="1" applyFill="1" applyBorder="1" applyAlignment="1" applyProtection="1">
      <alignment horizontal="left"/>
      <protection locked="0"/>
    </xf>
    <xf numFmtId="0" fontId="4" fillId="4" borderId="42" xfId="1" applyFont="1" applyFill="1" applyBorder="1" applyAlignment="1" applyProtection="1">
      <alignment horizontal="left"/>
      <protection locked="0"/>
    </xf>
    <xf numFmtId="0" fontId="53" fillId="0" borderId="64" xfId="1" applyFont="1" applyBorder="1" applyAlignment="1">
      <alignment horizontal="center"/>
    </xf>
    <xf numFmtId="0" fontId="53" fillId="0" borderId="65" xfId="1" applyFont="1" applyBorder="1" applyAlignment="1">
      <alignment horizontal="center"/>
    </xf>
    <xf numFmtId="0" fontId="53" fillId="0" borderId="66" xfId="1" applyFont="1" applyBorder="1" applyAlignment="1">
      <alignment horizontal="center"/>
    </xf>
    <xf numFmtId="0" fontId="22" fillId="0" borderId="47" xfId="0" applyFont="1" applyBorder="1" applyAlignment="1">
      <alignment horizontal="left" indent="1"/>
    </xf>
    <xf numFmtId="0" fontId="22" fillId="0" borderId="0" xfId="0" applyFont="1" applyAlignment="1">
      <alignment horizontal="left" indent="1"/>
    </xf>
    <xf numFmtId="0" fontId="28" fillId="0" borderId="45" xfId="1" applyFont="1" applyBorder="1" applyAlignment="1">
      <alignment horizontal="center"/>
    </xf>
    <xf numFmtId="0" fontId="28" fillId="0" borderId="46" xfId="1" applyFont="1" applyBorder="1" applyAlignment="1">
      <alignment horizontal="center"/>
    </xf>
    <xf numFmtId="0" fontId="27" fillId="0" borderId="47" xfId="1" applyFont="1" applyBorder="1"/>
    <xf numFmtId="0" fontId="26" fillId="0" borderId="0" xfId="1" applyFont="1"/>
    <xf numFmtId="0" fontId="4" fillId="0" borderId="0" xfId="1" applyFont="1"/>
    <xf numFmtId="0" fontId="23" fillId="3" borderId="6" xfId="1" applyFont="1" applyFill="1" applyBorder="1" applyAlignment="1">
      <alignment horizontal="center"/>
    </xf>
    <xf numFmtId="0" fontId="23" fillId="3" borderId="49" xfId="1" applyFont="1" applyFill="1" applyBorder="1" applyAlignment="1">
      <alignment horizontal="center"/>
    </xf>
    <xf numFmtId="0" fontId="11" fillId="0" borderId="47" xfId="1" applyFont="1" applyBorder="1" applyAlignment="1">
      <alignment horizontal="left"/>
    </xf>
    <xf numFmtId="0" fontId="11" fillId="0" borderId="0" xfId="1" applyFont="1" applyAlignment="1">
      <alignment horizontal="left"/>
    </xf>
    <xf numFmtId="0" fontId="21" fillId="0" borderId="0" xfId="1" applyFont="1" applyAlignment="1">
      <alignment horizontal="left" vertical="top" wrapText="1"/>
    </xf>
    <xf numFmtId="0" fontId="16" fillId="0" borderId="47" xfId="1" applyFont="1" applyBorder="1" applyAlignment="1">
      <alignment horizontal="left" indent="1"/>
    </xf>
    <xf numFmtId="0" fontId="16" fillId="0" borderId="0" xfId="1" applyFont="1" applyAlignment="1">
      <alignment horizontal="left" indent="1"/>
    </xf>
    <xf numFmtId="0" fontId="16" fillId="0" borderId="0" xfId="1" applyFont="1"/>
    <xf numFmtId="0" fontId="16" fillId="0" borderId="35" xfId="1" applyFont="1" applyBorder="1" applyAlignment="1">
      <alignment horizontal="center"/>
    </xf>
    <xf numFmtId="0" fontId="16" fillId="0" borderId="33" xfId="1" applyFont="1" applyBorder="1" applyAlignment="1">
      <alignment horizontal="center"/>
    </xf>
    <xf numFmtId="0" fontId="16" fillId="0" borderId="6" xfId="1" applyFont="1" applyBorder="1" applyAlignment="1">
      <alignment horizontal="center"/>
    </xf>
    <xf numFmtId="0" fontId="16" fillId="0" borderId="37" xfId="1" applyFont="1" applyBorder="1" applyAlignment="1">
      <alignment horizontal="center"/>
    </xf>
    <xf numFmtId="164" fontId="16" fillId="3" borderId="6" xfId="1" applyNumberFormat="1" applyFont="1" applyFill="1" applyBorder="1" applyAlignment="1" applyProtection="1">
      <alignment horizontal="center"/>
      <protection locked="0"/>
    </xf>
    <xf numFmtId="0" fontId="16" fillId="3" borderId="6" xfId="1" applyFont="1" applyFill="1" applyBorder="1" applyAlignment="1">
      <alignment horizontal="center"/>
    </xf>
    <xf numFmtId="0" fontId="16" fillId="3" borderId="49" xfId="1" applyFont="1" applyFill="1" applyBorder="1" applyAlignment="1">
      <alignment horizontal="center"/>
    </xf>
    <xf numFmtId="0" fontId="37" fillId="0" borderId="11" xfId="0" applyFont="1" applyBorder="1" applyAlignment="1">
      <alignment horizontal="left" vertical="center" shrinkToFit="1"/>
    </xf>
    <xf numFmtId="168" fontId="35" fillId="0" borderId="90" xfId="0" applyNumberFormat="1" applyFont="1" applyBorder="1"/>
    <xf numFmtId="0" fontId="35" fillId="0" borderId="91" xfId="0" applyFont="1" applyBorder="1"/>
    <xf numFmtId="168" fontId="35" fillId="0" borderId="92" xfId="0" applyNumberFormat="1" applyFont="1" applyBorder="1"/>
    <xf numFmtId="0" fontId="65" fillId="0" borderId="10" xfId="0" applyFont="1" applyBorder="1" applyAlignment="1" applyProtection="1">
      <alignment horizontal="center"/>
      <protection locked="0"/>
    </xf>
    <xf numFmtId="0" fontId="65" fillId="0" borderId="11" xfId="0" applyFont="1" applyBorder="1" applyProtection="1">
      <protection locked="0"/>
    </xf>
    <xf numFmtId="0" fontId="66" fillId="0" borderId="0" xfId="0" applyFont="1"/>
    <xf numFmtId="0" fontId="67" fillId="0" borderId="11" xfId="0" applyFont="1" applyBorder="1" applyAlignment="1" applyProtection="1">
      <alignment horizontal="center"/>
      <protection hidden="1"/>
    </xf>
    <xf numFmtId="0" fontId="32" fillId="0" borderId="11" xfId="0" applyFont="1" applyBorder="1" applyProtection="1">
      <protection locked="0"/>
    </xf>
    <xf numFmtId="0" fontId="65" fillId="0" borderId="11" xfId="0" applyFont="1" applyBorder="1" applyAlignment="1" applyProtection="1">
      <alignment horizontal="center"/>
      <protection hidden="1"/>
    </xf>
    <xf numFmtId="0" fontId="65" fillId="0" borderId="11" xfId="0" applyFont="1" applyBorder="1" applyProtection="1">
      <protection locked="0" hidden="1"/>
    </xf>
    <xf numFmtId="2" fontId="65" fillId="0" borderId="11" xfId="0" applyNumberFormat="1" applyFont="1" applyBorder="1" applyAlignment="1" applyProtection="1">
      <alignment horizontal="center"/>
      <protection hidden="1"/>
    </xf>
    <xf numFmtId="1" fontId="67" fillId="0" borderId="11" xfId="0" applyNumberFormat="1" applyFont="1" applyBorder="1" applyAlignment="1" applyProtection="1">
      <alignment horizontal="center"/>
      <protection hidden="1"/>
    </xf>
    <xf numFmtId="4" fontId="65" fillId="0" borderId="11" xfId="0" applyNumberFormat="1" applyFont="1" applyBorder="1" applyAlignment="1" applyProtection="1">
      <alignment horizontal="center"/>
      <protection hidden="1"/>
    </xf>
    <xf numFmtId="0" fontId="32" fillId="0" borderId="11" xfId="0" applyFont="1" applyBorder="1" applyProtection="1">
      <protection locked="0" hidden="1"/>
    </xf>
    <xf numFmtId="0" fontId="67" fillId="0" borderId="0" xfId="0" applyFont="1" applyAlignment="1" applyProtection="1">
      <alignment horizontal="center"/>
      <protection hidden="1"/>
    </xf>
    <xf numFmtId="4" fontId="68" fillId="0" borderId="11" xfId="0" applyNumberFormat="1" applyFont="1" applyBorder="1" applyAlignment="1" applyProtection="1">
      <alignment horizontal="center"/>
      <protection hidden="1"/>
    </xf>
    <xf numFmtId="0" fontId="68" fillId="0" borderId="11" xfId="0" applyFont="1" applyBorder="1" applyProtection="1">
      <protection locked="0" hidden="1"/>
    </xf>
    <xf numFmtId="0" fontId="67" fillId="0" borderId="12" xfId="0" applyFont="1" applyBorder="1" applyAlignment="1" applyProtection="1">
      <alignment horizontal="center"/>
      <protection hidden="1"/>
    </xf>
    <xf numFmtId="0" fontId="32" fillId="0" borderId="37" xfId="0" applyFont="1" applyBorder="1" applyProtection="1">
      <protection locked="0"/>
    </xf>
    <xf numFmtId="0" fontId="66" fillId="0" borderId="0" xfId="0" applyFont="1" applyProtection="1">
      <protection locked="0"/>
    </xf>
    <xf numFmtId="174" fontId="31" fillId="0" borderId="0" xfId="0" applyNumberFormat="1" applyFont="1" applyAlignment="1" applyProtection="1">
      <alignment horizontal="left"/>
      <protection hidden="1"/>
    </xf>
    <xf numFmtId="0" fontId="0" fillId="0" borderId="0" xfId="0" applyBorder="1"/>
    <xf numFmtId="174" fontId="70" fillId="0" borderId="0" xfId="0" applyNumberFormat="1" applyFont="1" applyBorder="1" applyAlignment="1" applyProtection="1">
      <protection hidden="1"/>
    </xf>
    <xf numFmtId="0" fontId="71" fillId="0" borderId="0" xfId="0" applyFont="1" applyBorder="1" applyAlignment="1"/>
    <xf numFmtId="0" fontId="71" fillId="0" borderId="44" xfId="0" applyFont="1" applyBorder="1" applyAlignment="1"/>
    <xf numFmtId="174" fontId="70" fillId="0" borderId="44" xfId="0" applyNumberFormat="1" applyFont="1" applyBorder="1" applyAlignment="1" applyProtection="1">
      <protection hidden="1"/>
    </xf>
    <xf numFmtId="174" fontId="37" fillId="0" borderId="11" xfId="0" applyNumberFormat="1" applyFont="1" applyBorder="1" applyAlignment="1">
      <alignment horizontal="left" vertical="center" shrinkToFit="1"/>
    </xf>
    <xf numFmtId="174" fontId="69" fillId="0" borderId="11" xfId="0" applyNumberFormat="1" applyFont="1" applyBorder="1" applyAlignment="1">
      <alignment horizontal="left"/>
    </xf>
    <xf numFmtId="174" fontId="69" fillId="0" borderId="0" xfId="0" applyNumberFormat="1" applyFont="1" applyAlignment="1">
      <alignment horizontal="left"/>
    </xf>
    <xf numFmtId="0" fontId="69" fillId="0" borderId="11" xfId="0" applyFont="1" applyBorder="1" applyAlignment="1">
      <alignment horizontal="left"/>
    </xf>
    <xf numFmtId="0" fontId="69" fillId="0" borderId="0" xfId="0" applyFont="1" applyAlignment="1">
      <alignment horizontal="left"/>
    </xf>
    <xf numFmtId="0" fontId="69" fillId="6" borderId="0" xfId="0" applyFont="1" applyFill="1" applyAlignment="1" applyProtection="1">
      <alignment horizontal="left"/>
      <protection hidden="1"/>
    </xf>
    <xf numFmtId="0" fontId="30" fillId="0" borderId="0" xfId="0" applyFont="1" applyAlignment="1" applyProtection="1">
      <alignment horizontal="left"/>
      <protection hidden="1"/>
    </xf>
    <xf numFmtId="164" fontId="30" fillId="0" borderId="0" xfId="0" applyNumberFormat="1" applyFont="1" applyAlignment="1" applyProtection="1">
      <alignment horizontal="left"/>
      <protection hidden="1"/>
    </xf>
    <xf numFmtId="40" fontId="30" fillId="0" borderId="0" xfId="0" applyNumberFormat="1" applyFont="1" applyAlignment="1" applyProtection="1">
      <alignment horizontal="left"/>
      <protection hidden="1"/>
    </xf>
    <xf numFmtId="0" fontId="69" fillId="0" borderId="0" xfId="0" applyFont="1" applyAlignment="1" applyProtection="1">
      <alignment horizontal="left"/>
      <protection hidden="1"/>
    </xf>
    <xf numFmtId="0" fontId="30" fillId="0" borderId="0" xfId="0" applyFont="1" applyBorder="1" applyProtection="1">
      <protection hidden="1"/>
    </xf>
    <xf numFmtId="0" fontId="37" fillId="0" borderId="67" xfId="0" applyFont="1" applyBorder="1" applyAlignment="1">
      <alignment horizontal="left" vertical="center" shrinkToFit="1"/>
    </xf>
    <xf numFmtId="0" fontId="37" fillId="0" borderId="68" xfId="0" applyFont="1" applyBorder="1" applyAlignment="1">
      <alignment horizontal="left" vertical="center" shrinkToFit="1"/>
    </xf>
    <xf numFmtId="174" fontId="37" fillId="0" borderId="68" xfId="0" applyNumberFormat="1" applyFont="1" applyBorder="1" applyAlignment="1">
      <alignment horizontal="left" vertical="center" shrinkToFit="1"/>
    </xf>
    <xf numFmtId="0" fontId="37" fillId="0" borderId="69" xfId="0" applyFont="1" applyBorder="1" applyAlignment="1">
      <alignment horizontal="left" vertical="center" shrinkToFit="1"/>
    </xf>
    <xf numFmtId="0" fontId="37" fillId="0" borderId="93" xfId="0" applyFont="1" applyBorder="1" applyAlignment="1">
      <alignment horizontal="left" vertical="center" shrinkToFit="1"/>
    </xf>
    <xf numFmtId="0" fontId="37" fillId="0" borderId="89" xfId="0" applyFont="1" applyBorder="1" applyAlignment="1">
      <alignment horizontal="left" vertical="center" shrinkToFit="1"/>
    </xf>
    <xf numFmtId="0" fontId="69" fillId="0" borderId="93" xfId="0" applyFont="1" applyBorder="1" applyAlignment="1">
      <alignment horizontal="left"/>
    </xf>
    <xf numFmtId="0" fontId="69" fillId="0" borderId="89" xfId="0" applyFont="1" applyBorder="1" applyAlignment="1">
      <alignment horizontal="left"/>
    </xf>
    <xf numFmtId="0" fontId="38" fillId="7" borderId="44" xfId="0" applyFont="1" applyFill="1" applyBorder="1" applyAlignment="1">
      <alignment horizontal="left"/>
    </xf>
    <xf numFmtId="0" fontId="30" fillId="0" borderId="0" xfId="0" applyFont="1" applyBorder="1" applyAlignment="1" applyProtection="1">
      <alignment horizontal="right"/>
      <protection hidden="1"/>
    </xf>
    <xf numFmtId="164" fontId="30" fillId="0" borderId="0" xfId="0" applyNumberFormat="1" applyFont="1" applyBorder="1" applyProtection="1">
      <protection hidden="1"/>
    </xf>
    <xf numFmtId="40" fontId="30" fillId="0" borderId="0" xfId="0" applyNumberFormat="1" applyFont="1" applyBorder="1" applyProtection="1">
      <protection hidden="1"/>
    </xf>
    <xf numFmtId="0" fontId="38" fillId="7" borderId="16" xfId="0" applyFont="1" applyFill="1" applyBorder="1" applyAlignment="1">
      <alignment horizontal="center"/>
    </xf>
    <xf numFmtId="0" fontId="38" fillId="7" borderId="44" xfId="0" applyFont="1" applyFill="1" applyBorder="1" applyAlignment="1">
      <alignment horizontal="center"/>
    </xf>
    <xf numFmtId="164" fontId="38" fillId="7" borderId="44" xfId="0" applyNumberFormat="1" applyFont="1" applyFill="1" applyBorder="1" applyAlignment="1">
      <alignment horizontal="center"/>
    </xf>
    <xf numFmtId="40" fontId="38" fillId="7" borderId="44" xfId="0" applyNumberFormat="1" applyFont="1" applyFill="1" applyBorder="1" applyAlignment="1">
      <alignment horizontal="center"/>
    </xf>
    <xf numFmtId="0" fontId="38" fillId="8" borderId="44" xfId="0" applyFont="1" applyFill="1" applyBorder="1" applyAlignment="1">
      <alignment horizontal="center"/>
    </xf>
    <xf numFmtId="0" fontId="38" fillId="8" borderId="44" xfId="0" applyFont="1" applyFill="1" applyBorder="1" applyAlignment="1">
      <alignment horizontal="left"/>
    </xf>
    <xf numFmtId="0" fontId="64" fillId="0" borderId="0" xfId="0" applyFont="1"/>
    <xf numFmtId="0" fontId="72" fillId="0" borderId="15" xfId="0" applyFont="1" applyBorder="1" applyAlignment="1">
      <alignment horizontal="left" vertical="center" shrinkToFit="1"/>
    </xf>
    <xf numFmtId="0" fontId="69" fillId="0" borderId="0" xfId="0" applyFont="1" applyBorder="1" applyAlignment="1">
      <alignment horizontal="left"/>
    </xf>
  </cellXfs>
  <cellStyles count="2">
    <cellStyle name="Normal" xfId="0" builtinId="0"/>
    <cellStyle name="Normal 2" xfId="1" xr:uid="{F1FDC4A7-59B1-674E-9761-EE3200EEA20F}"/>
  </cellStyles>
  <dxfs count="86">
    <dxf>
      <font>
        <b val="0"/>
        <i val="0"/>
      </font>
      <border>
        <left style="thin">
          <color auto="1"/>
        </left>
        <right style="thin">
          <color auto="1"/>
        </right>
        <top style="thin">
          <color auto="1"/>
        </top>
        <bottom style="thin">
          <color auto="1"/>
        </bottom>
        <vertical/>
        <horizontal/>
      </border>
    </dxf>
    <dxf>
      <numFmt numFmtId="169" formatCode=";;;"/>
    </dxf>
    <dxf>
      <numFmt numFmtId="169" formatCode=";;;"/>
    </dxf>
    <dxf>
      <numFmt numFmtId="169" formatCode=";;;"/>
    </dxf>
    <dxf>
      <numFmt numFmtId="169" formatCode=";;;"/>
    </dxf>
    <dxf>
      <numFmt numFmtId="169" formatCode=";;;"/>
    </dxf>
    <dxf>
      <numFmt numFmtId="169" formatCode=";;;"/>
    </dxf>
    <dxf>
      <numFmt numFmtId="169" formatCode=";;;"/>
    </dxf>
    <dxf>
      <numFmt numFmtId="169" formatCode=";;;"/>
    </dxf>
    <dxf>
      <numFmt numFmtId="169" formatCode=";;;"/>
    </dxf>
    <dxf>
      <numFmt numFmtId="169" formatCode=";;;"/>
    </dxf>
    <dxf>
      <numFmt numFmtId="169" formatCode=";;;"/>
    </dxf>
    <dxf>
      <numFmt numFmtId="169" formatCode=";;;"/>
    </dxf>
    <dxf>
      <font>
        <b val="0"/>
        <i val="0"/>
        <strike val="0"/>
        <condense val="0"/>
        <extend val="0"/>
        <outline val="0"/>
        <shadow val="0"/>
        <u val="none"/>
        <vertAlign val="baseline"/>
        <sz val="12"/>
        <color rgb="FF000000"/>
        <name val="Aptos Narrow"/>
        <family val="2"/>
        <scheme val="minor"/>
      </font>
      <numFmt numFmtId="168" formatCode="000"/>
      <border diagonalUp="0" diagonalDown="0">
        <left style="medium">
          <color rgb="FF000000"/>
        </left>
        <right style="medium">
          <color rgb="FF000000"/>
        </right>
        <top/>
        <bottom/>
        <vertical/>
        <horizontal/>
      </border>
    </dxf>
    <dxf>
      <font>
        <b val="0"/>
        <i val="0"/>
        <strike val="0"/>
        <condense val="0"/>
        <extend val="0"/>
        <outline val="0"/>
        <shadow val="0"/>
        <u val="none"/>
        <vertAlign val="baseline"/>
        <sz val="12"/>
        <color rgb="FF000000"/>
        <name val="Aptos Narrow"/>
        <family val="2"/>
        <scheme val="minor"/>
      </font>
      <border diagonalUp="0" diagonalDown="0">
        <left style="medium">
          <color rgb="FF000000"/>
        </left>
        <right style="medium">
          <color rgb="FF000000"/>
        </right>
        <top style="dashed">
          <color rgb="FF000000"/>
        </top>
        <bottom/>
        <vertical/>
        <horizontal/>
      </border>
    </dxf>
    <dxf>
      <font>
        <b val="0"/>
        <i val="0"/>
        <strike val="0"/>
        <condense val="0"/>
        <extend val="0"/>
        <outline val="0"/>
        <shadow val="0"/>
        <u val="none"/>
        <vertAlign val="baseline"/>
        <sz val="12"/>
        <color rgb="FF000000"/>
        <name val="Aptos Narrow"/>
        <family val="2"/>
        <scheme val="minor"/>
      </font>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numFmt numFmtId="166" formatCode="_(#,##0.00_);[Red]\(#,##0.00\)"/>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rgb="FFD9D9D9"/>
          <bgColor rgb="FFD9D9D9"/>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right/>
        <top style="thin">
          <color auto="1"/>
        </top>
        <bottom/>
        <vertical/>
        <horizontal/>
      </border>
    </dxf>
    <dxf>
      <border outline="0">
        <left style="medium">
          <color rgb="FF000000"/>
        </left>
        <right style="medium">
          <color rgb="FF000000"/>
        </right>
        <top style="medium">
          <color rgb="FF000000"/>
        </top>
        <bottom style="thin">
          <color auto="1"/>
        </bottom>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numFmt numFmtId="166" formatCode="_(#,##0.00_);[Red]\(#,##0.00\)"/>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rgb="FFD9D9D9"/>
          <bgColor rgb="FFD9D9D9"/>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right/>
        <top style="thin">
          <color auto="1"/>
        </top>
        <bottom/>
        <vertical/>
        <horizontal/>
      </border>
    </dxf>
    <dxf>
      <border outline="0">
        <left style="medium">
          <color rgb="FF000000"/>
        </left>
        <right style="medium">
          <color rgb="FF000000"/>
        </right>
        <top style="medium">
          <color rgb="FF000000"/>
        </top>
        <bottom style="thin">
          <color auto="1"/>
        </bottom>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numFmt numFmtId="166" formatCode="_(#,##0.00_);[Red]\(#,##0.00\)"/>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rgb="FFD9D9D9"/>
          <bgColor rgb="FFD9D9D9"/>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right/>
        <top style="thin">
          <color auto="1"/>
        </top>
        <bottom/>
        <vertical/>
        <horizontal/>
      </border>
    </dxf>
    <dxf>
      <border outline="0">
        <left style="medium">
          <color rgb="FF000000"/>
        </left>
        <right style="medium">
          <color rgb="FF000000"/>
        </right>
        <top style="medium">
          <color rgb="FF000000"/>
        </top>
        <bottom style="thin">
          <color auto="1"/>
        </bottom>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numFmt numFmtId="166" formatCode="_(#,##0.00_);[Red]\(#,##0.00\)"/>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rgb="FFD9D9D9"/>
          <bgColor rgb="FFD9D9D9"/>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right/>
        <top style="thin">
          <color auto="1"/>
        </top>
        <bottom/>
        <vertical/>
        <horizontal/>
      </border>
    </dxf>
    <dxf>
      <border outline="0">
        <left style="medium">
          <color rgb="FF000000"/>
        </left>
        <right style="medium">
          <color rgb="FF000000"/>
        </right>
        <top style="medium">
          <color rgb="FF000000"/>
        </top>
        <bottom style="thin">
          <color auto="1"/>
        </bottom>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numFmt numFmtId="166" formatCode="_(#,##0.00_);[Red]\(#,##0.00\)"/>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rgb="FFD9D9D9"/>
          <bgColor rgb="FFD9D9D9"/>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right/>
        <top style="thin">
          <color auto="1"/>
        </top>
        <bottom/>
        <vertical/>
        <horizontal/>
      </border>
    </dxf>
    <dxf>
      <border outline="0">
        <left style="medium">
          <color rgb="FF000000"/>
        </left>
        <right style="medium">
          <color rgb="FF000000"/>
        </right>
        <top style="medium">
          <color rgb="FF000000"/>
        </top>
        <bottom style="thin">
          <color auto="1"/>
        </bottom>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numFmt numFmtId="166" formatCode="_(#,##0.00_);[Red]\(#,##0.00\)"/>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rgb="FFD9D9D9"/>
          <bgColor rgb="FFD9D9D9"/>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right/>
        <top style="thin">
          <color auto="1"/>
        </top>
        <bottom/>
        <vertical/>
        <horizontal/>
      </border>
    </dxf>
    <dxf>
      <border outline="0">
        <left style="medium">
          <color rgb="FF000000"/>
        </left>
        <right style="medium">
          <color rgb="FF000000"/>
        </right>
        <top style="medium">
          <color rgb="FF000000"/>
        </top>
        <bottom style="thin">
          <color auto="1"/>
        </bottom>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numFmt numFmtId="166" formatCode="_(#,##0.00_);[Red]\(#,##0.00\)"/>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rgb="FFD9D9D9"/>
          <bgColor rgb="FFD9D9D9"/>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right/>
        <top style="thin">
          <color auto="1"/>
        </top>
        <bottom/>
        <vertical/>
        <horizontal/>
      </border>
    </dxf>
    <dxf>
      <border outline="0">
        <left style="medium">
          <color rgb="FF000000"/>
        </left>
        <right style="medium">
          <color rgb="FF000000"/>
        </right>
        <top style="medium">
          <color rgb="FF000000"/>
        </top>
        <bottom style="thin">
          <color auto="1"/>
        </bottom>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numFmt numFmtId="166" formatCode="_(#,##0.00_);[Red]\(#,##0.00\)"/>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rgb="FFD9D9D9"/>
          <bgColor rgb="FFD9D9D9"/>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right/>
        <top style="thin">
          <color auto="1"/>
        </top>
        <bottom/>
        <vertical/>
        <horizontal/>
      </border>
    </dxf>
    <dxf>
      <border outline="0">
        <left style="medium">
          <color rgb="FF000000"/>
        </left>
        <right style="medium">
          <color rgb="FF000000"/>
        </right>
        <top style="medium">
          <color rgb="FF000000"/>
        </top>
        <bottom style="thin">
          <color auto="1"/>
        </bottom>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numFmt numFmtId="166" formatCode="_(#,##0.00_);[Red]\(#,##0.00\)"/>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rgb="FFD9D9D9"/>
          <bgColor rgb="FFD9D9D9"/>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right/>
        <top style="thin">
          <color auto="1"/>
        </top>
        <bottom/>
        <vertical/>
        <horizontal/>
      </border>
    </dxf>
    <dxf>
      <border outline="0">
        <left style="medium">
          <color rgb="FF000000"/>
        </left>
        <right style="medium">
          <color rgb="FF000000"/>
        </right>
        <top style="medium">
          <color rgb="FF000000"/>
        </top>
        <bottom style="thin">
          <color auto="1"/>
        </bottom>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numFmt numFmtId="166" formatCode="_(#,##0.00_);[Red]\(#,##0.00\)"/>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rgb="FFD9D9D9"/>
          <bgColor rgb="FFD9D9D9"/>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right/>
        <top style="thin">
          <color auto="1"/>
        </top>
        <bottom/>
        <vertical/>
        <horizontal/>
      </border>
    </dxf>
    <dxf>
      <border outline="0">
        <left style="medium">
          <color indexed="64"/>
        </left>
        <right style="medium">
          <color indexed="64"/>
        </right>
        <top style="medium">
          <color indexed="64"/>
        </top>
        <bottom style="thin">
          <color auto="1"/>
        </bottom>
      </border>
    </dxf>
  </dxfs>
  <tableStyles count="0" defaultTableStyle="TableStyleMedium2" defaultPivotStyle="PivotStyleLight16"/>
  <colors>
    <mruColors>
      <color rgb="FFD2B188"/>
      <color rgb="FFFFF3B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06/relationships/rdRichValueTypes" Target="richData/rdRichValueTypes.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06/relationships/rdRichValueStructure" Target="richData/rdrichvaluestructure.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06/relationships/rdRichValue" Target="richData/rdrichvalue.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381000</xdr:colOff>
          <xdr:row>13</xdr:row>
          <xdr:rowOff>114300</xdr:rowOff>
        </xdr:from>
        <xdr:to>
          <xdr:col>9</xdr:col>
          <xdr:colOff>254000</xdr:colOff>
          <xdr:row>15</xdr:row>
          <xdr:rowOff>63500</xdr:rowOff>
        </xdr:to>
        <xdr:sp macro="" textlink="">
          <xdr:nvSpPr>
            <xdr:cNvPr id="5122" name="Button 2" descr="Generate POs&#10;"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Generate POs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635000</xdr:colOff>
          <xdr:row>20</xdr:row>
          <xdr:rowOff>165100</xdr:rowOff>
        </xdr:from>
        <xdr:to>
          <xdr:col>9</xdr:col>
          <xdr:colOff>508000</xdr:colOff>
          <xdr:row>22</xdr:row>
          <xdr:rowOff>139700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2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30" b="0" i="0" u="none" strike="noStrike" baseline="0">
                  <a:solidFill>
                    <a:srgbClr val="000000"/>
                  </a:solidFill>
                  <a:latin typeface="Aptos Narrow" charset="0"/>
                </a:rPr>
                <a:t>Delete all POs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Users/joshparkhill/Projects/filmshit/app/static/files/working/PO_generation_book_log_v1.93b.xlsm" TargetMode="External"/><Relationship Id="rId1" Type="http://schemas.openxmlformats.org/officeDocument/2006/relationships/externalLinkPath" Target="PO_generation_book_log_v1.93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structions"/>
      <sheetName val="Line No"/>
      <sheetName val="PO DATA"/>
      <sheetName val="PO Log"/>
      <sheetName val="TEMPLATE-SHEET"/>
      <sheetName val="Sheet_Index"/>
      <sheetName val="2499-001"/>
      <sheetName val="2499-002"/>
      <sheetName val="2499-003"/>
      <sheetName val="2499-004"/>
      <sheetName val="2499-005"/>
    </sheetNames>
    <sheetDataSet>
      <sheetData sheetId="0"/>
      <sheetData sheetId="1">
        <row r="1">
          <cell r="A1" t="str">
            <v>A</v>
          </cell>
          <cell r="B1" t="str">
            <v>PRE-PRO &amp; WRAP CREW</v>
          </cell>
        </row>
        <row r="2">
          <cell r="A2">
            <v>1</v>
          </cell>
          <cell r="B2" t="str">
            <v>Line Producer</v>
          </cell>
        </row>
        <row r="3">
          <cell r="A3">
            <v>2</v>
          </cell>
          <cell r="B3" t="str">
            <v>Assistant Director</v>
          </cell>
        </row>
        <row r="4">
          <cell r="A4">
            <v>3</v>
          </cell>
          <cell r="B4" t="str">
            <v>Director of Photography</v>
          </cell>
        </row>
        <row r="5">
          <cell r="A5">
            <v>4</v>
          </cell>
          <cell r="B5" t="str">
            <v>2nd Unit DP</v>
          </cell>
        </row>
        <row r="6">
          <cell r="A6">
            <v>5</v>
          </cell>
          <cell r="B6" t="str">
            <v>1st AC</v>
          </cell>
        </row>
        <row r="7">
          <cell r="A7">
            <v>6</v>
          </cell>
          <cell r="B7" t="str">
            <v>2nd AC</v>
          </cell>
        </row>
        <row r="8">
          <cell r="A8">
            <v>7</v>
          </cell>
          <cell r="B8" t="str">
            <v>Phantom Tech</v>
          </cell>
        </row>
        <row r="9">
          <cell r="A9">
            <v>8</v>
          </cell>
          <cell r="B9" t="str">
            <v>DIT</v>
          </cell>
        </row>
        <row r="10">
          <cell r="A10">
            <v>9</v>
          </cell>
          <cell r="B10" t="str">
            <v>Crane Operator</v>
          </cell>
        </row>
        <row r="11">
          <cell r="A11">
            <v>10</v>
          </cell>
          <cell r="B11" t="str">
            <v>Crane Tech</v>
          </cell>
        </row>
        <row r="12">
          <cell r="A12">
            <v>11</v>
          </cell>
          <cell r="B12" t="str">
            <v>Gaffer</v>
          </cell>
        </row>
        <row r="13">
          <cell r="A13">
            <v>12</v>
          </cell>
          <cell r="B13" t="str">
            <v>BB Electric</v>
          </cell>
        </row>
        <row r="14">
          <cell r="A14">
            <v>13</v>
          </cell>
          <cell r="B14" t="str">
            <v>3rd Electric</v>
          </cell>
        </row>
        <row r="15">
          <cell r="A15">
            <v>14</v>
          </cell>
          <cell r="B15" t="str">
            <v>4th Electric/Driver</v>
          </cell>
        </row>
        <row r="16">
          <cell r="A16">
            <v>15</v>
          </cell>
          <cell r="B16" t="str">
            <v>Package Truck Driver</v>
          </cell>
        </row>
        <row r="17">
          <cell r="A17">
            <v>16</v>
          </cell>
          <cell r="B17" t="str">
            <v>Key Grip</v>
          </cell>
        </row>
        <row r="18">
          <cell r="A18">
            <v>17</v>
          </cell>
          <cell r="B18" t="str">
            <v>BB Grip</v>
          </cell>
        </row>
        <row r="19">
          <cell r="A19">
            <v>18</v>
          </cell>
          <cell r="B19" t="str">
            <v>3rd Grip</v>
          </cell>
        </row>
        <row r="20">
          <cell r="A20">
            <v>19</v>
          </cell>
          <cell r="B20" t="str">
            <v>4th Grip/Driver</v>
          </cell>
        </row>
        <row r="21">
          <cell r="A21">
            <v>20</v>
          </cell>
          <cell r="B21" t="str">
            <v>addt'l Grips</v>
          </cell>
        </row>
        <row r="22">
          <cell r="A22">
            <v>21</v>
          </cell>
          <cell r="B22" t="str">
            <v>Sound Mixer</v>
          </cell>
        </row>
        <row r="23">
          <cell r="A23">
            <v>22</v>
          </cell>
          <cell r="B23" t="str">
            <v>Boom Operator</v>
          </cell>
        </row>
        <row r="24">
          <cell r="A24">
            <v>23</v>
          </cell>
          <cell r="B24" t="str">
            <v>Key Makeup</v>
          </cell>
        </row>
        <row r="25">
          <cell r="A25">
            <v>24</v>
          </cell>
          <cell r="B25" t="str">
            <v>Key Hair</v>
          </cell>
        </row>
        <row r="26">
          <cell r="A26">
            <v>25</v>
          </cell>
          <cell r="B26" t="str">
            <v>2nd Makeup/2nd Hair</v>
          </cell>
        </row>
        <row r="27">
          <cell r="A27">
            <v>26</v>
          </cell>
          <cell r="B27" t="str">
            <v>Key Stylist</v>
          </cell>
        </row>
        <row r="28">
          <cell r="A28">
            <v>27</v>
          </cell>
          <cell r="B28" t="str">
            <v>Stylist Assistant</v>
          </cell>
        </row>
        <row r="29">
          <cell r="A29">
            <v>28</v>
          </cell>
          <cell r="B29" t="str">
            <v>Script Supervisor</v>
          </cell>
        </row>
        <row r="30">
          <cell r="A30">
            <v>29</v>
          </cell>
          <cell r="B30" t="str">
            <v>Manicurist</v>
          </cell>
        </row>
        <row r="31">
          <cell r="A31">
            <v>30</v>
          </cell>
          <cell r="B31" t="str">
            <v>Stills Digitech</v>
          </cell>
        </row>
        <row r="32">
          <cell r="A32">
            <v>31</v>
          </cell>
          <cell r="B32" t="str">
            <v>VTR Operator</v>
          </cell>
        </row>
        <row r="33">
          <cell r="A33">
            <v>32</v>
          </cell>
          <cell r="B33" t="str">
            <v>Bolt Tech</v>
          </cell>
        </row>
        <row r="34">
          <cell r="A34">
            <v>33</v>
          </cell>
          <cell r="B34" t="str">
            <v>Bolt Op</v>
          </cell>
        </row>
        <row r="35">
          <cell r="A35">
            <v>34</v>
          </cell>
          <cell r="B35" t="str">
            <v>Cam Car Arm Op + Tech</v>
          </cell>
        </row>
        <row r="36">
          <cell r="A36">
            <v>35</v>
          </cell>
          <cell r="B36" t="str">
            <v>Camera Car Driver</v>
          </cell>
        </row>
        <row r="37">
          <cell r="A37">
            <v>36</v>
          </cell>
          <cell r="B37" t="str">
            <v>ALM</v>
          </cell>
        </row>
        <row r="38">
          <cell r="A38">
            <v>37</v>
          </cell>
          <cell r="B38" t="str">
            <v>Location Manager</v>
          </cell>
        </row>
        <row r="39">
          <cell r="A39">
            <v>38</v>
          </cell>
          <cell r="B39" t="str">
            <v>Production Supervisor</v>
          </cell>
        </row>
        <row r="40">
          <cell r="A40">
            <v>39</v>
          </cell>
          <cell r="B40" t="str">
            <v>Commercial Coordinator</v>
          </cell>
        </row>
        <row r="41">
          <cell r="A41">
            <v>40</v>
          </cell>
          <cell r="B41" t="str">
            <v>Talent Coordinator</v>
          </cell>
        </row>
        <row r="42">
          <cell r="A42">
            <v>41</v>
          </cell>
          <cell r="B42" t="str">
            <v>Medic/First Aid</v>
          </cell>
        </row>
        <row r="43">
          <cell r="A43">
            <v>42</v>
          </cell>
          <cell r="B43" t="str">
            <v>Craft Service</v>
          </cell>
        </row>
        <row r="44">
          <cell r="A44">
            <v>43</v>
          </cell>
          <cell r="B44" t="str">
            <v>Lifeguard</v>
          </cell>
        </row>
        <row r="45">
          <cell r="A45">
            <v>44</v>
          </cell>
          <cell r="B45" t="str">
            <v>Choreographer</v>
          </cell>
        </row>
        <row r="46">
          <cell r="A46">
            <v>45</v>
          </cell>
          <cell r="B46" t="str">
            <v>Drivers</v>
          </cell>
        </row>
        <row r="47">
          <cell r="A47">
            <v>46</v>
          </cell>
          <cell r="B47" t="str">
            <v>Drivers</v>
          </cell>
        </row>
        <row r="48">
          <cell r="A48">
            <v>47</v>
          </cell>
          <cell r="B48" t="str">
            <v>Teamsters</v>
          </cell>
        </row>
        <row r="49">
          <cell r="A49">
            <v>48</v>
          </cell>
          <cell r="B49" t="str">
            <v>Production Assistants</v>
          </cell>
        </row>
        <row r="50">
          <cell r="A50">
            <v>49</v>
          </cell>
          <cell r="B50" t="str">
            <v>Production Assistants</v>
          </cell>
        </row>
        <row r="51">
          <cell r="A51">
            <v>50</v>
          </cell>
          <cell r="B51"/>
        </row>
        <row r="52">
          <cell r="A52">
            <v>51</v>
          </cell>
          <cell r="B52" t="str">
            <v>Line Producer</v>
          </cell>
        </row>
        <row r="53">
          <cell r="A53">
            <v>52</v>
          </cell>
          <cell r="B53" t="str">
            <v>Assistant Director</v>
          </cell>
        </row>
        <row r="54">
          <cell r="A54">
            <v>53</v>
          </cell>
          <cell r="B54" t="str">
            <v>Director of Photography</v>
          </cell>
        </row>
        <row r="55">
          <cell r="A55">
            <v>54</v>
          </cell>
          <cell r="B55" t="str">
            <v>2nd Unit DP</v>
          </cell>
        </row>
        <row r="56">
          <cell r="A56">
            <v>55</v>
          </cell>
          <cell r="B56" t="str">
            <v>1st AC</v>
          </cell>
        </row>
        <row r="57">
          <cell r="A57">
            <v>56</v>
          </cell>
          <cell r="B57" t="str">
            <v>2nd AC</v>
          </cell>
        </row>
        <row r="58">
          <cell r="A58">
            <v>57</v>
          </cell>
          <cell r="B58" t="str">
            <v>Phantom Tech</v>
          </cell>
        </row>
        <row r="59">
          <cell r="A59">
            <v>58</v>
          </cell>
          <cell r="B59" t="str">
            <v>DIT</v>
          </cell>
        </row>
        <row r="60">
          <cell r="A60">
            <v>59</v>
          </cell>
          <cell r="B60" t="str">
            <v>Steadicam Operator</v>
          </cell>
        </row>
        <row r="61">
          <cell r="A61">
            <v>60</v>
          </cell>
          <cell r="B61" t="str">
            <v>Crane Tech</v>
          </cell>
        </row>
        <row r="62">
          <cell r="A62">
            <v>61</v>
          </cell>
          <cell r="B62" t="str">
            <v>Gaffer</v>
          </cell>
        </row>
        <row r="63">
          <cell r="A63">
            <v>62</v>
          </cell>
          <cell r="B63" t="str">
            <v>BB Electric</v>
          </cell>
        </row>
        <row r="64">
          <cell r="A64">
            <v>63</v>
          </cell>
          <cell r="B64" t="str">
            <v>3rd Electric</v>
          </cell>
        </row>
        <row r="65">
          <cell r="A65">
            <v>64</v>
          </cell>
          <cell r="B65" t="str">
            <v>4th Electric</v>
          </cell>
        </row>
        <row r="66">
          <cell r="A66">
            <v>65</v>
          </cell>
          <cell r="B66" t="str">
            <v>Package Truck Driver</v>
          </cell>
        </row>
        <row r="67">
          <cell r="A67">
            <v>66</v>
          </cell>
          <cell r="B67" t="str">
            <v>Key Grip</v>
          </cell>
        </row>
        <row r="68">
          <cell r="A68">
            <v>67</v>
          </cell>
          <cell r="B68" t="str">
            <v>BB Grip</v>
          </cell>
        </row>
        <row r="69">
          <cell r="A69">
            <v>68</v>
          </cell>
          <cell r="B69" t="str">
            <v>3rd Grip</v>
          </cell>
        </row>
        <row r="70">
          <cell r="A70">
            <v>69</v>
          </cell>
          <cell r="B70" t="str">
            <v>4th Grip</v>
          </cell>
        </row>
        <row r="71">
          <cell r="A71">
            <v>70</v>
          </cell>
          <cell r="B71" t="str">
            <v>Generator Operator</v>
          </cell>
        </row>
        <row r="72">
          <cell r="A72">
            <v>71</v>
          </cell>
          <cell r="B72" t="str">
            <v>Sound Mixer</v>
          </cell>
        </row>
        <row r="73">
          <cell r="A73">
            <v>72</v>
          </cell>
          <cell r="B73" t="str">
            <v>Boom Operator</v>
          </cell>
        </row>
        <row r="74">
          <cell r="A74">
            <v>73</v>
          </cell>
          <cell r="B74" t="str">
            <v>Key Hair/Makeup</v>
          </cell>
        </row>
        <row r="75">
          <cell r="A75">
            <v>74</v>
          </cell>
          <cell r="B75" t="str">
            <v>Asst Hair/Makeup</v>
          </cell>
        </row>
        <row r="76">
          <cell r="A76">
            <v>75</v>
          </cell>
          <cell r="B76" t="str">
            <v>2nd Makeup/2nd Hair</v>
          </cell>
        </row>
        <row r="77">
          <cell r="A77">
            <v>76</v>
          </cell>
          <cell r="B77" t="str">
            <v>Key Stylist</v>
          </cell>
        </row>
        <row r="78">
          <cell r="A78">
            <v>77</v>
          </cell>
          <cell r="B78" t="str">
            <v>Stylist Assistant</v>
          </cell>
        </row>
        <row r="79">
          <cell r="A79">
            <v>78</v>
          </cell>
          <cell r="B79" t="str">
            <v>Script Supervisor</v>
          </cell>
        </row>
        <row r="80">
          <cell r="A80">
            <v>79</v>
          </cell>
          <cell r="B80" t="str">
            <v>Stills Asst</v>
          </cell>
        </row>
        <row r="81">
          <cell r="A81">
            <v>80</v>
          </cell>
          <cell r="B81" t="str">
            <v>Stills Digitech</v>
          </cell>
        </row>
        <row r="82">
          <cell r="A82">
            <v>81</v>
          </cell>
          <cell r="B82" t="str">
            <v>VTR Operator</v>
          </cell>
        </row>
        <row r="83">
          <cell r="A83">
            <v>82</v>
          </cell>
          <cell r="B83" t="str">
            <v>VTR Asst</v>
          </cell>
        </row>
        <row r="84">
          <cell r="A84">
            <v>83</v>
          </cell>
          <cell r="B84" t="str">
            <v>Bolt Op</v>
          </cell>
        </row>
        <row r="85">
          <cell r="A85">
            <v>84</v>
          </cell>
          <cell r="B85" t="str">
            <v>Manicurist</v>
          </cell>
        </row>
        <row r="86">
          <cell r="A86">
            <v>85</v>
          </cell>
          <cell r="B86" t="str">
            <v>Camera Car Driver</v>
          </cell>
        </row>
        <row r="87">
          <cell r="A87">
            <v>86</v>
          </cell>
          <cell r="B87" t="str">
            <v>ALM</v>
          </cell>
        </row>
        <row r="88">
          <cell r="A88">
            <v>87</v>
          </cell>
          <cell r="B88" t="str">
            <v>Location Manager</v>
          </cell>
        </row>
        <row r="89">
          <cell r="A89">
            <v>88</v>
          </cell>
          <cell r="B89" t="str">
            <v>Production Supervisor</v>
          </cell>
        </row>
        <row r="90">
          <cell r="A90">
            <v>89</v>
          </cell>
          <cell r="B90" t="str">
            <v>Commercial Coordinator</v>
          </cell>
        </row>
        <row r="91">
          <cell r="A91">
            <v>90</v>
          </cell>
          <cell r="B91" t="str">
            <v>Talent Coordinator</v>
          </cell>
        </row>
        <row r="92">
          <cell r="A92">
            <v>91</v>
          </cell>
          <cell r="B92" t="str">
            <v>2nd AD</v>
          </cell>
        </row>
        <row r="93">
          <cell r="A93">
            <v>92</v>
          </cell>
          <cell r="B93" t="str">
            <v>Medic/First Aid</v>
          </cell>
        </row>
        <row r="94">
          <cell r="A94">
            <v>93</v>
          </cell>
          <cell r="B94" t="str">
            <v>Craft Service</v>
          </cell>
        </row>
        <row r="95">
          <cell r="A95">
            <v>94</v>
          </cell>
          <cell r="B95" t="str">
            <v>Craft Assistant</v>
          </cell>
        </row>
        <row r="96">
          <cell r="A96">
            <v>95</v>
          </cell>
          <cell r="B96" t="str">
            <v>Drivers</v>
          </cell>
        </row>
        <row r="97">
          <cell r="A97">
            <v>96</v>
          </cell>
          <cell r="B97" t="str">
            <v>Drivers</v>
          </cell>
        </row>
        <row r="98">
          <cell r="A98">
            <v>97</v>
          </cell>
          <cell r="B98" t="str">
            <v>Teamsters</v>
          </cell>
        </row>
        <row r="99">
          <cell r="A99">
            <v>98</v>
          </cell>
          <cell r="B99" t="str">
            <v>Production Assistants</v>
          </cell>
        </row>
        <row r="100">
          <cell r="A100">
            <v>99</v>
          </cell>
          <cell r="B100" t="str">
            <v>Production Assistants</v>
          </cell>
        </row>
        <row r="101">
          <cell r="A101">
            <v>100</v>
          </cell>
          <cell r="B101" t="str">
            <v>Police</v>
          </cell>
        </row>
        <row r="102">
          <cell r="A102" t="str">
            <v>C</v>
          </cell>
          <cell r="B102" t="str">
            <v>PRE-PRODUCTION &amp; WRAP EXPENSES</v>
          </cell>
        </row>
        <row r="103">
          <cell r="A103">
            <v>101</v>
          </cell>
          <cell r="B103" t="str">
            <v>Auto Rentals</v>
          </cell>
        </row>
        <row r="104">
          <cell r="A104">
            <v>102</v>
          </cell>
          <cell r="B104" t="str">
            <v>Client Agency - Giftbags, Dinner, Gifts</v>
          </cell>
        </row>
        <row r="105">
          <cell r="A105">
            <v>103</v>
          </cell>
          <cell r="B105" t="str">
            <v>Rehearsal Space</v>
          </cell>
        </row>
        <row r="106">
          <cell r="A106">
            <v>104</v>
          </cell>
          <cell r="B106" t="str">
            <v>Pre Pro Expenses</v>
          </cell>
        </row>
        <row r="107">
          <cell r="A107">
            <v>105</v>
          </cell>
          <cell r="B107" t="str">
            <v>Messengers</v>
          </cell>
        </row>
        <row r="108">
          <cell r="A108">
            <v>106</v>
          </cell>
          <cell r="B108" t="str">
            <v>Trucking</v>
          </cell>
        </row>
        <row r="109">
          <cell r="A109">
            <v>107</v>
          </cell>
          <cell r="B109" t="str">
            <v>Deliveries &amp; Taxis</v>
          </cell>
        </row>
        <row r="110">
          <cell r="A110">
            <v>108</v>
          </cell>
          <cell r="B110" t="str">
            <v>Working Meals</v>
          </cell>
        </row>
        <row r="111">
          <cell r="A111">
            <v>109</v>
          </cell>
          <cell r="B111" t="str">
            <v>Background Casting</v>
          </cell>
        </row>
        <row r="112">
          <cell r="A112">
            <v>110</v>
          </cell>
          <cell r="B112" t="str">
            <v>Casting Director</v>
          </cell>
        </row>
        <row r="113">
          <cell r="A113">
            <v>111</v>
          </cell>
          <cell r="B113" t="str">
            <v>Casting Facilities</v>
          </cell>
        </row>
        <row r="114">
          <cell r="A114">
            <v>112</v>
          </cell>
          <cell r="B114" t="str">
            <v>Pre Pro Meals</v>
          </cell>
        </row>
        <row r="115">
          <cell r="A115">
            <v>113</v>
          </cell>
          <cell r="B115" t="str">
            <v>Location Scouting Expenses</v>
          </cell>
        </row>
        <row r="116">
          <cell r="A116" t="str">
            <v>D</v>
          </cell>
          <cell r="B116" t="str">
            <v>LOCATION EXPENSES</v>
          </cell>
        </row>
        <row r="117">
          <cell r="A117">
            <v>114</v>
          </cell>
          <cell r="B117" t="str">
            <v>Location Fees - House/Grocery Store</v>
          </cell>
        </row>
        <row r="118">
          <cell r="A118">
            <v>115</v>
          </cell>
          <cell r="B118" t="str">
            <v>Permit Fees</v>
          </cell>
        </row>
        <row r="119">
          <cell r="A119">
            <v>116</v>
          </cell>
          <cell r="B119" t="str">
            <v>Basecamp</v>
          </cell>
        </row>
        <row r="120">
          <cell r="A120">
            <v>117</v>
          </cell>
          <cell r="B120" t="str">
            <v>Crew Shuttles</v>
          </cell>
        </row>
        <row r="121">
          <cell r="A121">
            <v>118</v>
          </cell>
          <cell r="B121" t="str">
            <v>Dressing Room Vehicles</v>
          </cell>
        </row>
        <row r="122">
          <cell r="A122">
            <v>119</v>
          </cell>
          <cell r="B122" t="str">
            <v>Honeywagon/Restrooms</v>
          </cell>
        </row>
        <row r="123">
          <cell r="A123">
            <v>120</v>
          </cell>
          <cell r="B123" t="str">
            <v>Parking, Tolls, &amp; Gas</v>
          </cell>
        </row>
        <row r="124">
          <cell r="A124">
            <v>121</v>
          </cell>
          <cell r="B124" t="str">
            <v>Grip &amp; Electric Trucks</v>
          </cell>
        </row>
        <row r="125">
          <cell r="A125">
            <v>122</v>
          </cell>
          <cell r="B125" t="str">
            <v>Camera Truck</v>
          </cell>
        </row>
        <row r="126">
          <cell r="A126">
            <v>123</v>
          </cell>
          <cell r="B126" t="str">
            <v>Production Truck</v>
          </cell>
        </row>
        <row r="127">
          <cell r="A127">
            <v>124</v>
          </cell>
          <cell r="B127" t="str">
            <v>Wardrobe Truck</v>
          </cell>
        </row>
        <row r="128">
          <cell r="A128">
            <v>125</v>
          </cell>
          <cell r="B128" t="str">
            <v>Location Prep</v>
          </cell>
        </row>
        <row r="129">
          <cell r="A129">
            <v>126</v>
          </cell>
          <cell r="B129" t="str">
            <v>Van Rentals</v>
          </cell>
        </row>
        <row r="130">
          <cell r="A130">
            <v>127</v>
          </cell>
          <cell r="B130" t="str">
            <v>Van Rentals - Client/Agency/Chauffers</v>
          </cell>
        </row>
        <row r="131">
          <cell r="A131">
            <v>128</v>
          </cell>
          <cell r="B131" t="str">
            <v>Client/Agency - Craft Service</v>
          </cell>
        </row>
        <row r="132">
          <cell r="A132">
            <v>129</v>
          </cell>
          <cell r="B132" t="str">
            <v>Security</v>
          </cell>
        </row>
        <row r="133">
          <cell r="A133">
            <v>130</v>
          </cell>
          <cell r="B133" t="str">
            <v>Breakfast</v>
          </cell>
        </row>
        <row r="134">
          <cell r="A134">
            <v>131</v>
          </cell>
          <cell r="B134" t="str">
            <v>Lunch</v>
          </cell>
        </row>
        <row r="135">
          <cell r="A135">
            <v>132</v>
          </cell>
          <cell r="B135" t="str">
            <v>Dinner</v>
          </cell>
        </row>
        <row r="136">
          <cell r="A136">
            <v>133</v>
          </cell>
          <cell r="B136" t="str">
            <v>Client/Agency - Supplies</v>
          </cell>
        </row>
        <row r="137">
          <cell r="A137">
            <v>134</v>
          </cell>
          <cell r="B137" t="str">
            <v>BG Meals</v>
          </cell>
        </row>
        <row r="138">
          <cell r="A138">
            <v>135</v>
          </cell>
          <cell r="B138" t="str">
            <v>Kit Rental</v>
          </cell>
        </row>
        <row r="139">
          <cell r="A139">
            <v>136</v>
          </cell>
          <cell r="B139" t="str">
            <v>BG Holding</v>
          </cell>
        </row>
        <row r="140">
          <cell r="A140">
            <v>137</v>
          </cell>
          <cell r="B140" t="str">
            <v>Preight Craft</v>
          </cell>
        </row>
        <row r="141">
          <cell r="A141">
            <v>138</v>
          </cell>
          <cell r="B141" t="str">
            <v>Prelight Meals</v>
          </cell>
        </row>
        <row r="142">
          <cell r="A142">
            <v>139</v>
          </cell>
          <cell r="B142" t="str">
            <v>Craft Service</v>
          </cell>
        </row>
        <row r="143">
          <cell r="A143" t="str">
            <v>E</v>
          </cell>
          <cell r="B143" t="str">
            <v>PROPS, WARDROBE &amp; ANIMALS</v>
          </cell>
        </row>
        <row r="144">
          <cell r="A144">
            <v>140</v>
          </cell>
          <cell r="B144" t="str">
            <v>Food Truck Rental</v>
          </cell>
        </row>
        <row r="145">
          <cell r="A145">
            <v>141</v>
          </cell>
          <cell r="B145" t="str">
            <v>Home Ec Supplies</v>
          </cell>
        </row>
        <row r="146">
          <cell r="A146">
            <v>142</v>
          </cell>
          <cell r="B146" t="str">
            <v>Wardrobe Rentals</v>
          </cell>
        </row>
        <row r="147">
          <cell r="A147">
            <v>143</v>
          </cell>
          <cell r="B147" t="str">
            <v>Wardrobe Rentals</v>
          </cell>
        </row>
        <row r="148">
          <cell r="A148">
            <v>144</v>
          </cell>
          <cell r="B148" t="str">
            <v>Wardrobe Rentals</v>
          </cell>
        </row>
        <row r="149">
          <cell r="A149">
            <v>145</v>
          </cell>
          <cell r="B149" t="str">
            <v>Aniamls &amp; Trainers</v>
          </cell>
        </row>
        <row r="150">
          <cell r="A150">
            <v>146</v>
          </cell>
          <cell r="B150" t="str">
            <v>Aniamls &amp; Trainers</v>
          </cell>
        </row>
        <row r="151">
          <cell r="A151">
            <v>147</v>
          </cell>
          <cell r="B151" t="str">
            <v>Humane Rep</v>
          </cell>
        </row>
        <row r="152">
          <cell r="A152">
            <v>148</v>
          </cell>
          <cell r="B152" t="str">
            <v>Transportation</v>
          </cell>
        </row>
        <row r="153">
          <cell r="A153">
            <v>149</v>
          </cell>
          <cell r="B153" t="str">
            <v>Wardrobe Misc. Costs</v>
          </cell>
        </row>
        <row r="154">
          <cell r="A154">
            <v>150</v>
          </cell>
          <cell r="B154"/>
        </row>
        <row r="155">
          <cell r="A155" t="str">
            <v>F</v>
          </cell>
          <cell r="B155" t="str">
            <v>STUDIO RENTAL &amp; EXPENSES</v>
          </cell>
        </row>
        <row r="156">
          <cell r="A156">
            <v>151</v>
          </cell>
          <cell r="B156" t="str">
            <v xml:space="preserve">Rental For Build Days </v>
          </cell>
        </row>
        <row r="157">
          <cell r="A157">
            <v>152</v>
          </cell>
          <cell r="B157" t="str">
            <v>Build OT Hours</v>
          </cell>
        </row>
        <row r="158">
          <cell r="A158">
            <v>153</v>
          </cell>
          <cell r="B158" t="str">
            <v>Rental for Pre-Lite Days</v>
          </cell>
        </row>
        <row r="159">
          <cell r="A159">
            <v>154</v>
          </cell>
          <cell r="B159" t="str">
            <v>Pre-Lite OT Hours</v>
          </cell>
        </row>
        <row r="160">
          <cell r="A160">
            <v>155</v>
          </cell>
          <cell r="B160" t="str">
            <v>Rental for Shoot Days</v>
          </cell>
        </row>
        <row r="161">
          <cell r="A161">
            <v>156</v>
          </cell>
          <cell r="B161" t="str">
            <v>Shoot OT Hours</v>
          </cell>
        </row>
        <row r="162">
          <cell r="A162">
            <v>157</v>
          </cell>
          <cell r="B162" t="str">
            <v>Rental for Strike Days</v>
          </cell>
        </row>
        <row r="163">
          <cell r="A163">
            <v>158</v>
          </cell>
          <cell r="B163" t="str">
            <v>Strike OT Hours</v>
          </cell>
        </row>
        <row r="164">
          <cell r="A164">
            <v>159</v>
          </cell>
          <cell r="B164" t="str">
            <v>Generator and Operator</v>
          </cell>
        </row>
        <row r="165">
          <cell r="A165">
            <v>160</v>
          </cell>
          <cell r="B165" t="str">
            <v>Air Conditioning</v>
          </cell>
        </row>
        <row r="166">
          <cell r="A166">
            <v>161</v>
          </cell>
          <cell r="B166" t="str">
            <v>Power Charges</v>
          </cell>
        </row>
        <row r="167">
          <cell r="A167">
            <v>162</v>
          </cell>
          <cell r="B167" t="str">
            <v>Misc Studio Charges</v>
          </cell>
        </row>
        <row r="168">
          <cell r="A168">
            <v>163</v>
          </cell>
          <cell r="B168"/>
        </row>
        <row r="169">
          <cell r="A169">
            <v>164</v>
          </cell>
          <cell r="B169"/>
        </row>
        <row r="170">
          <cell r="A170">
            <v>165</v>
          </cell>
          <cell r="B170"/>
        </row>
        <row r="171">
          <cell r="A171">
            <v>166</v>
          </cell>
          <cell r="B171"/>
        </row>
        <row r="172">
          <cell r="A172">
            <v>167</v>
          </cell>
          <cell r="B172"/>
        </row>
        <row r="173">
          <cell r="A173" t="str">
            <v>G</v>
          </cell>
          <cell r="B173" t="str">
            <v>SET CONSTRUCTION CREW</v>
          </cell>
        </row>
        <row r="174">
          <cell r="A174">
            <v>168</v>
          </cell>
          <cell r="B174" t="str">
            <v>Production Designer</v>
          </cell>
        </row>
        <row r="175">
          <cell r="A175">
            <v>169</v>
          </cell>
          <cell r="B175" t="str">
            <v>Buyer/Shopper</v>
          </cell>
        </row>
        <row r="176">
          <cell r="A176">
            <v>170</v>
          </cell>
          <cell r="B176" t="str">
            <v>Prop Master</v>
          </cell>
        </row>
        <row r="177">
          <cell r="A177">
            <v>171</v>
          </cell>
          <cell r="B177" t="str">
            <v>Leadman</v>
          </cell>
        </row>
        <row r="178">
          <cell r="A178">
            <v>172</v>
          </cell>
          <cell r="B178" t="str">
            <v>Driver/Set Dresser</v>
          </cell>
        </row>
        <row r="179">
          <cell r="A179">
            <v>173</v>
          </cell>
          <cell r="B179" t="str">
            <v>Set Dresser</v>
          </cell>
        </row>
        <row r="180">
          <cell r="A180">
            <v>174</v>
          </cell>
          <cell r="B180" t="str">
            <v>Set Dresser</v>
          </cell>
        </row>
        <row r="181">
          <cell r="A181">
            <v>175</v>
          </cell>
          <cell r="B181" t="str">
            <v>Prop Assistant</v>
          </cell>
        </row>
        <row r="182">
          <cell r="A182">
            <v>176</v>
          </cell>
          <cell r="B182" t="str">
            <v>Art Dept Coordinator</v>
          </cell>
        </row>
        <row r="183">
          <cell r="A183">
            <v>177</v>
          </cell>
          <cell r="B183" t="str">
            <v>Food Stylist Assistant Prep Day</v>
          </cell>
        </row>
        <row r="184">
          <cell r="A184">
            <v>178</v>
          </cell>
          <cell r="B184" t="str">
            <v>PA</v>
          </cell>
        </row>
        <row r="185">
          <cell r="A185">
            <v>179</v>
          </cell>
          <cell r="B185" t="str">
            <v>Food Stylist Assists</v>
          </cell>
        </row>
        <row r="186">
          <cell r="A186">
            <v>180</v>
          </cell>
          <cell r="B186" t="str">
            <v>SPFX Asst</v>
          </cell>
        </row>
        <row r="187">
          <cell r="A187" t="str">
            <v>H</v>
          </cell>
          <cell r="B187" t="str">
            <v>SET CONSTRUCTION MATERIALS</v>
          </cell>
        </row>
        <row r="188">
          <cell r="A188">
            <v>181</v>
          </cell>
          <cell r="B188" t="str">
            <v>Prop Rentals &amp; Purchsses</v>
          </cell>
        </row>
        <row r="189">
          <cell r="A189">
            <v>182</v>
          </cell>
          <cell r="B189" t="str">
            <v>Set Dressing Rentals &amp; Purchases</v>
          </cell>
        </row>
        <row r="190">
          <cell r="A190">
            <v>183</v>
          </cell>
          <cell r="B190" t="str">
            <v>Custom Props</v>
          </cell>
        </row>
        <row r="191">
          <cell r="A191">
            <v>184</v>
          </cell>
          <cell r="B191" t="str">
            <v>Construction</v>
          </cell>
        </row>
        <row r="192">
          <cell r="A192">
            <v>185</v>
          </cell>
          <cell r="B192" t="str">
            <v>Backdrops</v>
          </cell>
        </row>
        <row r="193">
          <cell r="A193">
            <v>186</v>
          </cell>
          <cell r="B193" t="str">
            <v>Food Truck</v>
          </cell>
        </row>
        <row r="194">
          <cell r="A194">
            <v>187</v>
          </cell>
          <cell r="B194" t="str">
            <v>Food Props</v>
          </cell>
        </row>
        <row r="195">
          <cell r="A195">
            <v>188</v>
          </cell>
          <cell r="B195" t="str">
            <v>Practical Sand and Clean up</v>
          </cell>
        </row>
        <row r="196">
          <cell r="A196">
            <v>189</v>
          </cell>
          <cell r="B196" t="str">
            <v>Food Stylist Ground Transport</v>
          </cell>
        </row>
        <row r="197">
          <cell r="A197">
            <v>190</v>
          </cell>
          <cell r="B197" t="str">
            <v>Art Dept Trucking</v>
          </cell>
        </row>
        <row r="198">
          <cell r="A198">
            <v>191</v>
          </cell>
          <cell r="B198" t="str">
            <v>Parking and fuel</v>
          </cell>
        </row>
        <row r="199">
          <cell r="A199">
            <v>192</v>
          </cell>
          <cell r="B199" t="str">
            <v>Kits and Meals</v>
          </cell>
        </row>
        <row r="200">
          <cell r="A200" t="str">
            <v>I</v>
          </cell>
          <cell r="B200" t="str">
            <v>EQUIPMENT RENTAL</v>
          </cell>
        </row>
        <row r="201">
          <cell r="A201">
            <v>193</v>
          </cell>
          <cell r="B201" t="str">
            <v>Camera Rental</v>
          </cell>
        </row>
        <row r="202">
          <cell r="A202">
            <v>194</v>
          </cell>
          <cell r="B202" t="str">
            <v>Sound Rental</v>
          </cell>
        </row>
        <row r="203">
          <cell r="A203">
            <v>195</v>
          </cell>
          <cell r="B203" t="str">
            <v>Lighting Rental</v>
          </cell>
        </row>
        <row r="204">
          <cell r="A204">
            <v>196</v>
          </cell>
          <cell r="B204" t="str">
            <v>Grip Rental</v>
          </cell>
        </row>
        <row r="205">
          <cell r="A205">
            <v>197</v>
          </cell>
          <cell r="B205" t="str">
            <v>Generator Rental</v>
          </cell>
        </row>
        <row r="206">
          <cell r="A206">
            <v>198</v>
          </cell>
          <cell r="B206" t="str">
            <v>Crane + Remote Head Rental</v>
          </cell>
        </row>
        <row r="207">
          <cell r="A207">
            <v>199</v>
          </cell>
          <cell r="B207" t="str">
            <v>VTR Rental</v>
          </cell>
        </row>
        <row r="208">
          <cell r="A208">
            <v>200</v>
          </cell>
          <cell r="B208" t="str">
            <v>Walkie Talkie Rental</v>
          </cell>
        </row>
        <row r="209">
          <cell r="A209">
            <v>201</v>
          </cell>
          <cell r="B209" t="str">
            <v>Dolly Rental</v>
          </cell>
        </row>
        <row r="210">
          <cell r="A210">
            <v>202</v>
          </cell>
          <cell r="B210" t="str">
            <v>Slider</v>
          </cell>
        </row>
        <row r="211">
          <cell r="A211">
            <v>203</v>
          </cell>
          <cell r="B211" t="str">
            <v>Steadicam</v>
          </cell>
        </row>
        <row r="212">
          <cell r="A212">
            <v>204</v>
          </cell>
          <cell r="B212" t="str">
            <v>Production Supplies</v>
          </cell>
        </row>
        <row r="213">
          <cell r="A213">
            <v>205</v>
          </cell>
          <cell r="B213" t="str">
            <v>Location Supplies</v>
          </cell>
        </row>
        <row r="214">
          <cell r="A214">
            <v>206</v>
          </cell>
          <cell r="B214" t="str">
            <v>Expendables</v>
          </cell>
        </row>
        <row r="215">
          <cell r="A215">
            <v>207</v>
          </cell>
          <cell r="B215" t="str">
            <v>DIT Equipment</v>
          </cell>
        </row>
        <row r="216">
          <cell r="A216">
            <v>208</v>
          </cell>
          <cell r="B216" t="str">
            <v>Stills Equipment</v>
          </cell>
        </row>
        <row r="217">
          <cell r="A217">
            <v>209</v>
          </cell>
          <cell r="B217" t="str">
            <v>Package Truck</v>
          </cell>
        </row>
        <row r="218">
          <cell r="A218">
            <v>210</v>
          </cell>
          <cell r="B218" t="str">
            <v>Phantom Camera Kit</v>
          </cell>
        </row>
        <row r="219">
          <cell r="A219" t="str">
            <v>J</v>
          </cell>
          <cell r="B219" t="str">
            <v>FILMSTOCK, DEVELOP &amp; PRINT</v>
          </cell>
        </row>
        <row r="220">
          <cell r="A220">
            <v>211</v>
          </cell>
          <cell r="B220" t="str">
            <v>Hard Drives</v>
          </cell>
        </row>
        <row r="221">
          <cell r="A221">
            <v>212</v>
          </cell>
          <cell r="B221" t="str">
            <v>Transcodes</v>
          </cell>
        </row>
        <row r="222">
          <cell r="A222">
            <v>213</v>
          </cell>
          <cell r="B222" t="str">
            <v>Slingshot Dailies</v>
          </cell>
        </row>
        <row r="223">
          <cell r="A223">
            <v>214</v>
          </cell>
          <cell r="B223" t="str">
            <v>Film Stock</v>
          </cell>
        </row>
        <row r="224">
          <cell r="A224">
            <v>215</v>
          </cell>
          <cell r="B224" t="str">
            <v>Processing</v>
          </cell>
        </row>
        <row r="225">
          <cell r="A225">
            <v>216</v>
          </cell>
          <cell r="B225" t="str">
            <v>Drives</v>
          </cell>
        </row>
        <row r="226">
          <cell r="A226" t="str">
            <v>K</v>
          </cell>
          <cell r="B226" t="str">
            <v>MISCELLANEOUS COSTS</v>
          </cell>
        </row>
        <row r="227">
          <cell r="A227">
            <v>217</v>
          </cell>
          <cell r="B227" t="str">
            <v>Storage Space</v>
          </cell>
        </row>
        <row r="228">
          <cell r="A228">
            <v>218</v>
          </cell>
          <cell r="B228" t="str">
            <v>Shipping</v>
          </cell>
        </row>
        <row r="229">
          <cell r="A229">
            <v>219</v>
          </cell>
          <cell r="B229" t="str">
            <v>Tax Waivers</v>
          </cell>
        </row>
        <row r="230">
          <cell r="A230">
            <v>220</v>
          </cell>
          <cell r="B230" t="str">
            <v>DGA AD Letter</v>
          </cell>
        </row>
        <row r="231">
          <cell r="A231">
            <v>221</v>
          </cell>
          <cell r="B231" t="str">
            <v>Work Permits / LMIA</v>
          </cell>
        </row>
        <row r="232">
          <cell r="A232">
            <v>222</v>
          </cell>
          <cell r="B232" t="str">
            <v>Portable Wifi</v>
          </cell>
        </row>
        <row r="233">
          <cell r="A233">
            <v>223</v>
          </cell>
          <cell r="B233" t="str">
            <v>Wire Rigging Equipment</v>
          </cell>
        </row>
        <row r="234">
          <cell r="A234">
            <v>224</v>
          </cell>
          <cell r="B234" t="str">
            <v>Photographer Fees</v>
          </cell>
        </row>
        <row r="235">
          <cell r="A235">
            <v>225</v>
          </cell>
          <cell r="B235" t="str">
            <v>Photographer Assist</v>
          </cell>
        </row>
        <row r="236">
          <cell r="A236">
            <v>226</v>
          </cell>
          <cell r="B236"/>
        </row>
        <row r="237">
          <cell r="A237" t="str">
            <v>L</v>
          </cell>
          <cell r="B237" t="str">
            <v>DIRECTOR/CREATIVE FEES</v>
          </cell>
        </row>
        <row r="238">
          <cell r="A238">
            <v>227</v>
          </cell>
          <cell r="B238" t="str">
            <v>Director Prep</v>
          </cell>
        </row>
        <row r="239">
          <cell r="A239">
            <v>228</v>
          </cell>
          <cell r="B239" t="str">
            <v>Director Shoot</v>
          </cell>
        </row>
        <row r="240">
          <cell r="A240">
            <v>229</v>
          </cell>
          <cell r="B240" t="str">
            <v>Director Follow-up Shoots</v>
          </cell>
        </row>
        <row r="241">
          <cell r="A241">
            <v>230</v>
          </cell>
          <cell r="B241" t="str">
            <v>Creative Director</v>
          </cell>
        </row>
        <row r="242">
          <cell r="A242">
            <v>231</v>
          </cell>
          <cell r="B242" t="str">
            <v>Writers</v>
          </cell>
        </row>
        <row r="243">
          <cell r="A243">
            <v>232</v>
          </cell>
          <cell r="B243" t="str">
            <v>Choreographer</v>
          </cell>
        </row>
        <row r="244">
          <cell r="A244">
            <v>233</v>
          </cell>
          <cell r="B244"/>
        </row>
        <row r="245">
          <cell r="A245" t="str">
            <v>M</v>
          </cell>
          <cell r="B245" t="str">
            <v xml:space="preserve">TALENT                                                                                           </v>
          </cell>
        </row>
        <row r="246">
          <cell r="A246">
            <v>236</v>
          </cell>
          <cell r="B246" t="str">
            <v>O/C Principals</v>
          </cell>
        </row>
        <row r="247">
          <cell r="A247">
            <v>237</v>
          </cell>
          <cell r="B247" t="str">
            <v>O/C Principals</v>
          </cell>
        </row>
        <row r="248">
          <cell r="A248">
            <v>238</v>
          </cell>
          <cell r="B248" t="str">
            <v>O/C Principals</v>
          </cell>
        </row>
        <row r="249">
          <cell r="A249">
            <v>239</v>
          </cell>
          <cell r="B249" t="str">
            <v>O/C Principals</v>
          </cell>
        </row>
        <row r="250">
          <cell r="A250">
            <v>240</v>
          </cell>
          <cell r="B250" t="str">
            <v>O/C Principals</v>
          </cell>
        </row>
        <row r="251">
          <cell r="A251">
            <v>241</v>
          </cell>
          <cell r="B251" t="str">
            <v>O/C Principals</v>
          </cell>
        </row>
        <row r="252">
          <cell r="A252">
            <v>242</v>
          </cell>
          <cell r="B252" t="str">
            <v>O/C Principals</v>
          </cell>
        </row>
        <row r="253">
          <cell r="A253">
            <v>243</v>
          </cell>
          <cell r="B253" t="str">
            <v>O/C Principals</v>
          </cell>
        </row>
        <row r="254">
          <cell r="A254">
            <v>244</v>
          </cell>
          <cell r="B254" t="str">
            <v>O/C Principals</v>
          </cell>
        </row>
        <row r="255">
          <cell r="A255">
            <v>245</v>
          </cell>
          <cell r="B255" t="str">
            <v>O/C Principals</v>
          </cell>
        </row>
        <row r="256">
          <cell r="A256">
            <v>246</v>
          </cell>
          <cell r="B256"/>
        </row>
        <row r="257">
          <cell r="A257">
            <v>247</v>
          </cell>
          <cell r="B257"/>
        </row>
        <row r="258">
          <cell r="A258">
            <v>248</v>
          </cell>
          <cell r="B258"/>
        </row>
        <row r="259">
          <cell r="A259">
            <v>249</v>
          </cell>
          <cell r="B259" t="str">
            <v>General Extras</v>
          </cell>
        </row>
        <row r="260">
          <cell r="A260">
            <v>250</v>
          </cell>
          <cell r="B260" t="str">
            <v>Extras Wardrobe Allowance</v>
          </cell>
        </row>
        <row r="261">
          <cell r="A261">
            <v>251</v>
          </cell>
          <cell r="B261" t="str">
            <v>Extras Casting fee</v>
          </cell>
        </row>
        <row r="262">
          <cell r="A262">
            <v>252</v>
          </cell>
          <cell r="B262" t="str">
            <v>Extras Payroll Service</v>
          </cell>
        </row>
        <row r="263">
          <cell r="A263">
            <v>253</v>
          </cell>
          <cell r="B263" t="str">
            <v>Extras Covid Testing</v>
          </cell>
        </row>
        <row r="264">
          <cell r="A264">
            <v>254</v>
          </cell>
          <cell r="B264" t="str">
            <v>General Extras</v>
          </cell>
        </row>
        <row r="265">
          <cell r="A265">
            <v>255</v>
          </cell>
          <cell r="B265"/>
        </row>
        <row r="266">
          <cell r="A266">
            <v>256</v>
          </cell>
          <cell r="B266"/>
        </row>
        <row r="267">
          <cell r="A267">
            <v>257</v>
          </cell>
          <cell r="B267"/>
        </row>
        <row r="268">
          <cell r="A268">
            <v>258</v>
          </cell>
          <cell r="B268" t="str">
            <v>Hand Models</v>
          </cell>
        </row>
        <row r="269">
          <cell r="A269">
            <v>259</v>
          </cell>
          <cell r="B269"/>
        </row>
        <row r="270">
          <cell r="A270">
            <v>260</v>
          </cell>
          <cell r="B270"/>
        </row>
        <row r="271">
          <cell r="A271">
            <v>261</v>
          </cell>
          <cell r="B271" t="str">
            <v>Voice Over</v>
          </cell>
        </row>
        <row r="272">
          <cell r="A272">
            <v>262</v>
          </cell>
          <cell r="B272" t="str">
            <v>Fitting Fees</v>
          </cell>
        </row>
        <row r="273">
          <cell r="A273">
            <v>263</v>
          </cell>
          <cell r="B273" t="str">
            <v>Fitting Fees</v>
          </cell>
        </row>
        <row r="274">
          <cell r="A274">
            <v>264</v>
          </cell>
          <cell r="B274"/>
        </row>
        <row r="275">
          <cell r="A275">
            <v>265</v>
          </cell>
          <cell r="B275" t="str">
            <v>Audition Fees</v>
          </cell>
        </row>
        <row r="276">
          <cell r="A276">
            <v>266</v>
          </cell>
          <cell r="B276" t="str">
            <v>Audition Fees</v>
          </cell>
        </row>
        <row r="277">
          <cell r="A277">
            <v>267</v>
          </cell>
          <cell r="B277"/>
        </row>
        <row r="278">
          <cell r="A278">
            <v>268</v>
          </cell>
          <cell r="B278" t="str">
            <v>Talent</v>
          </cell>
        </row>
        <row r="279">
          <cell r="A279">
            <v>269</v>
          </cell>
          <cell r="B279" t="str">
            <v>Talent Payroll Service</v>
          </cell>
        </row>
        <row r="280">
          <cell r="A280">
            <v>270</v>
          </cell>
          <cell r="B280" t="str">
            <v>Talent Wardrobe Allowance</v>
          </cell>
        </row>
        <row r="281">
          <cell r="A281" t="str">
            <v>N</v>
          </cell>
          <cell r="B281" t="str">
            <v>Other</v>
          </cell>
        </row>
        <row r="282">
          <cell r="A282">
            <v>271</v>
          </cell>
          <cell r="B282" t="str">
            <v>Director Flights</v>
          </cell>
        </row>
        <row r="283">
          <cell r="A283">
            <v>272</v>
          </cell>
          <cell r="B283" t="str">
            <v>Per Diems</v>
          </cell>
        </row>
        <row r="284">
          <cell r="A284">
            <v>273</v>
          </cell>
          <cell r="B284" t="str">
            <v>Director Hotels</v>
          </cell>
        </row>
        <row r="285">
          <cell r="A285">
            <v>274</v>
          </cell>
          <cell r="B285" t="str">
            <v>Other</v>
          </cell>
        </row>
        <row r="286">
          <cell r="A286">
            <v>275</v>
          </cell>
          <cell r="B286" t="str">
            <v>Other</v>
          </cell>
        </row>
        <row r="287">
          <cell r="A287">
            <v>276</v>
          </cell>
          <cell r="B287"/>
        </row>
        <row r="288">
          <cell r="A288" t="str">
            <v>O</v>
          </cell>
          <cell r="B288"/>
        </row>
        <row r="289">
          <cell r="A289">
            <v>277</v>
          </cell>
          <cell r="B289"/>
        </row>
        <row r="290">
          <cell r="A290">
            <v>278</v>
          </cell>
          <cell r="B290"/>
        </row>
        <row r="291">
          <cell r="A291">
            <v>279</v>
          </cell>
          <cell r="B291"/>
        </row>
        <row r="292">
          <cell r="A292">
            <v>280</v>
          </cell>
          <cell r="B292"/>
        </row>
        <row r="293">
          <cell r="A293">
            <v>281</v>
          </cell>
          <cell r="B293"/>
        </row>
        <row r="294">
          <cell r="A294" t="str">
            <v>P</v>
          </cell>
          <cell r="B294"/>
        </row>
        <row r="295">
          <cell r="A295">
            <v>282</v>
          </cell>
          <cell r="B295"/>
        </row>
        <row r="296">
          <cell r="A296">
            <v>283</v>
          </cell>
          <cell r="B296"/>
        </row>
        <row r="297">
          <cell r="A297">
            <v>284</v>
          </cell>
          <cell r="B297"/>
        </row>
        <row r="298">
          <cell r="A298">
            <v>285</v>
          </cell>
          <cell r="B298"/>
        </row>
        <row r="299">
          <cell r="A299">
            <v>286</v>
          </cell>
          <cell r="B299"/>
        </row>
        <row r="300">
          <cell r="A300">
            <v>287</v>
          </cell>
          <cell r="B300"/>
        </row>
        <row r="301">
          <cell r="A301">
            <v>288</v>
          </cell>
          <cell r="B301"/>
        </row>
        <row r="302">
          <cell r="A302">
            <v>289</v>
          </cell>
          <cell r="B302"/>
        </row>
        <row r="303">
          <cell r="A303">
            <v>290</v>
          </cell>
          <cell r="B303"/>
        </row>
        <row r="304">
          <cell r="A304">
            <v>291</v>
          </cell>
          <cell r="B304"/>
        </row>
        <row r="305">
          <cell r="A305">
            <v>292</v>
          </cell>
          <cell r="B305"/>
        </row>
        <row r="306">
          <cell r="A306">
            <v>293</v>
          </cell>
          <cell r="B306"/>
        </row>
        <row r="307">
          <cell r="A307">
            <v>294</v>
          </cell>
          <cell r="B307"/>
        </row>
        <row r="308">
          <cell r="A308">
            <v>295</v>
          </cell>
          <cell r="B308"/>
        </row>
        <row r="309">
          <cell r="A309">
            <v>296</v>
          </cell>
          <cell r="B309"/>
        </row>
        <row r="310">
          <cell r="A310">
            <v>297</v>
          </cell>
          <cell r="B310"/>
        </row>
        <row r="311">
          <cell r="A311">
            <v>298</v>
          </cell>
          <cell r="B311"/>
        </row>
        <row r="312">
          <cell r="A312">
            <v>299</v>
          </cell>
          <cell r="B312"/>
        </row>
        <row r="313">
          <cell r="A313">
            <v>300</v>
          </cell>
          <cell r="B313"/>
        </row>
        <row r="314">
          <cell r="A314">
            <v>301</v>
          </cell>
          <cell r="B314"/>
        </row>
        <row r="315">
          <cell r="A315">
            <v>302</v>
          </cell>
          <cell r="B315"/>
        </row>
        <row r="316">
          <cell r="A316">
            <v>303</v>
          </cell>
          <cell r="B316"/>
        </row>
        <row r="317">
          <cell r="A317">
            <v>304</v>
          </cell>
          <cell r="B317"/>
        </row>
        <row r="318">
          <cell r="A318">
            <v>305</v>
          </cell>
          <cell r="B318"/>
        </row>
        <row r="319">
          <cell r="A319">
            <v>306</v>
          </cell>
          <cell r="B319"/>
        </row>
        <row r="320">
          <cell r="A320">
            <v>307</v>
          </cell>
          <cell r="B320"/>
        </row>
        <row r="321">
          <cell r="A321">
            <v>308</v>
          </cell>
          <cell r="B321"/>
        </row>
        <row r="322">
          <cell r="A322">
            <v>309</v>
          </cell>
          <cell r="B322"/>
        </row>
        <row r="323">
          <cell r="A323">
            <v>310</v>
          </cell>
          <cell r="B323" t="str">
            <v>Covid Expenses</v>
          </cell>
        </row>
        <row r="324">
          <cell r="A324">
            <v>311</v>
          </cell>
          <cell r="B324"/>
        </row>
        <row r="325">
          <cell r="A325">
            <v>312</v>
          </cell>
          <cell r="B325"/>
        </row>
        <row r="326">
          <cell r="A326">
            <v>313</v>
          </cell>
          <cell r="B326"/>
        </row>
        <row r="327">
          <cell r="A327">
            <v>314</v>
          </cell>
          <cell r="B327"/>
        </row>
        <row r="328">
          <cell r="A328">
            <v>315</v>
          </cell>
          <cell r="B328"/>
        </row>
        <row r="329">
          <cell r="A329">
            <v>316</v>
          </cell>
          <cell r="B329"/>
        </row>
        <row r="330">
          <cell r="A330">
            <v>317</v>
          </cell>
          <cell r="B330"/>
        </row>
        <row r="331">
          <cell r="A331">
            <v>318</v>
          </cell>
          <cell r="B331" t="str">
            <v>Covid Testing Stipend</v>
          </cell>
        </row>
        <row r="332">
          <cell r="A332">
            <v>319</v>
          </cell>
          <cell r="B332"/>
        </row>
        <row r="333">
          <cell r="A333">
            <v>320</v>
          </cell>
          <cell r="B333"/>
        </row>
        <row r="334">
          <cell r="A334">
            <v>321</v>
          </cell>
          <cell r="B334"/>
        </row>
        <row r="335">
          <cell r="A335">
            <v>322</v>
          </cell>
          <cell r="B335"/>
        </row>
        <row r="336">
          <cell r="A336">
            <v>323</v>
          </cell>
          <cell r="B336"/>
        </row>
        <row r="337">
          <cell r="A337">
            <v>324</v>
          </cell>
          <cell r="B337"/>
        </row>
        <row r="338">
          <cell r="A338">
            <v>325</v>
          </cell>
          <cell r="B338"/>
        </row>
        <row r="339">
          <cell r="A339">
            <v>326</v>
          </cell>
          <cell r="B339"/>
        </row>
        <row r="340">
          <cell r="A340">
            <v>327</v>
          </cell>
          <cell r="B340"/>
        </row>
        <row r="341">
          <cell r="A341">
            <v>328</v>
          </cell>
          <cell r="B341"/>
        </row>
        <row r="342">
          <cell r="A342">
            <v>329</v>
          </cell>
          <cell r="B342"/>
        </row>
      </sheetData>
      <sheetData sheetId="2"/>
      <sheetData sheetId="3"/>
      <sheetData sheetId="4"/>
      <sheetData sheetId="5"/>
      <sheetData sheetId="6"/>
      <sheetData sheetId="7"/>
      <sheetData sheetId="8"/>
      <sheetData sheetId="9"/>
      <sheetData sheetId="10"/>
    </sheetDataSet>
  </externalBook>
</externalLink>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5">
  <rv s="0">
    <v>5</v>
    <v>8</v>
    <v>2</v>
    <v>1</v>
  </rv>
  <rv s="0">
    <v>2</v>
    <v>8</v>
    <v>6</v>
    <v>1</v>
  </rv>
  <rv s="0">
    <v>2</v>
    <v>8</v>
    <v>7</v>
    <v>1</v>
  </rv>
  <rv s="0">
    <v>2</v>
    <v>8</v>
    <v>9</v>
    <v>1</v>
  </rv>
  <rv s="0">
    <v>2</v>
    <v>8</v>
    <v>8</v>
    <v>1</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D6D6425-C385-6E43-AE33-4189C7CA529D}" name="Template_table" displayName="Template_table" ref="W40:AD49" totalsRowShown="0" tableBorderDxfId="85">
  <autoFilter ref="W40:AD49" xr:uid="{4D6D6425-C385-6E43-AE33-4189C7CA529D}"/>
  <tableColumns count="8">
    <tableColumn id="1" xr3:uid="{5C2ADD1E-C256-024C-9733-C704D834A26C}" name="HHEADER" dataDxfId="84"/>
    <tableColumn id="2" xr3:uid="{192B304B-F713-8949-BB64-E457E96C367A}" name="LINE" dataDxfId="83"/>
    <tableColumn id="3" xr3:uid="{0255337F-F403-5247-99EF-BA78C2ADE147}" name="PAYEE" dataDxfId="82"/>
    <tableColumn id="4" xr3:uid="{5A53409B-B76D-F54F-847E-045DA41D5593}" name="PO" dataDxfId="81"/>
    <tableColumn id="5" xr3:uid="{1AF16A3B-6C13-5B47-9FE6-437F5BFF9145}" name="DATE"/>
    <tableColumn id="6" xr3:uid="{03D58825-9679-EF4B-A299-BB735896609E}" name="PAY ID"/>
    <tableColumn id="7" xr3:uid="{5523D66A-7B72-BC46-B4E7-107048CF5B70}" name="ACTUAL" dataDxfId="80"/>
    <tableColumn id="8" xr3:uid="{65621292-A5A4-E64F-ADC8-B5483F6779D4}" name="LINE DESCRIPTION" dataDxfId="7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9CF5EA4-0218-D243-B5B6-9C0377A6FEB6}" name="Template_table3" displayName="Template_table3" ref="W40:AD49" totalsRowShown="0" tableBorderDxfId="78">
  <autoFilter ref="W40:AD49" xr:uid="{4D6D6425-C385-6E43-AE33-4189C7CA529D}"/>
  <tableColumns count="8">
    <tableColumn id="1" xr3:uid="{EEFEECE2-7A7B-504C-8BE2-73675C4E479D}" name="HHEADER" dataDxfId="77"/>
    <tableColumn id="2" xr3:uid="{41FFED55-DF85-4B42-B573-EBD3FCE0509E}" name="LINE" dataDxfId="76"/>
    <tableColumn id="3" xr3:uid="{A42AB182-C905-8D44-93D6-76310FCEB422}" name="PAYEE" dataDxfId="75"/>
    <tableColumn id="4" xr3:uid="{26909C64-50F8-C845-ABE6-221605AD7018}" name="PO" dataDxfId="74"/>
    <tableColumn id="5" xr3:uid="{A5291351-0837-D349-9B35-5AC6A669065C}" name="DATE"/>
    <tableColumn id="6" xr3:uid="{68E6539B-B6C0-4D4C-8A86-7E3959A05CA6}" name="PAY ID"/>
    <tableColumn id="7" xr3:uid="{03CDFDC1-8CE7-AF4D-A7A5-CF4391601083}" name="ACTUAL" dataDxfId="73"/>
    <tableColumn id="8" xr3:uid="{2F2256D3-3A83-3F42-A843-E0205A5D83AF}" name="LINE DESCRIPTION" dataDxfId="7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EF457DCB-8490-FD46-ADA1-9529D7839E04}" name="PO_Index" displayName="PO_Index" ref="A1:B6" totalsRowShown="0" dataDxfId="15">
  <autoFilter ref="A1:B6" xr:uid="{EF457DCB-8490-FD46-ADA1-9529D7839E04}"/>
  <tableColumns count="2">
    <tableColumn id="1" xr3:uid="{0EAF6A37-D265-C145-9E97-323F27DEB41B}" name="PO" dataDxfId="14"/>
    <tableColumn id="2" xr3:uid="{8BBB3114-E2A5-5A4E-8176-6B40DF66B0A7}" name="RowCount" dataDxfId="13">
      <calculatedColumnFormula array="1">INDIRECT("'" &amp; A2 &amp; "'!count")</calculatedColumnFormula>
    </tableColumn>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4FC418D-05BF-FE47-B1A4-A038073F7B8D}" name="2499-001_table" displayName="_2499_001_table" ref="W40:AD49" totalsRowShown="0" tableBorderDxfId="71">
  <autoFilter ref="W40:AD49" xr:uid="{4D6D6425-C385-6E43-AE33-4189C7CA529D}"/>
  <tableColumns count="8">
    <tableColumn id="1" xr3:uid="{611E1257-A8F5-C745-8C26-F570C86E744C}" name="HHEADER" dataDxfId="70"/>
    <tableColumn id="2" xr3:uid="{D4E8026A-745B-0342-AFD1-C12839C39B98}" name="LINE" dataDxfId="69"/>
    <tableColumn id="3" xr3:uid="{DB34BBCE-A26F-5549-A889-695669F5D950}" name="PAYEE" dataDxfId="68"/>
    <tableColumn id="4" xr3:uid="{AAE6337D-E5EE-3A4A-B19E-BDF678DED1D9}" name="PO" dataDxfId="67"/>
    <tableColumn id="5" xr3:uid="{596C97A9-5EB2-7143-B20B-E175C6C014C9}" name="DATE"/>
    <tableColumn id="6" xr3:uid="{F681F133-1825-6C4E-9BB7-987535F01F77}" name="PAY ID"/>
    <tableColumn id="7" xr3:uid="{DE5F2B5C-C02B-1443-9176-059C985F715A}" name="ACTUAL" dataDxfId="66"/>
    <tableColumn id="8" xr3:uid="{60FBB168-F7A0-B04A-BEAE-40384B5612F6}" name="LINE DESCRIPTION" dataDxfId="65"/>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1770FC0-F920-DE4D-B695-35FD9B4FEDCC}" name="2499-002_table" displayName="_2499_002_table" ref="W40:AD49" totalsRowShown="0" tableBorderDxfId="64">
  <autoFilter ref="W40:AD49" xr:uid="{4D6D6425-C385-6E43-AE33-4189C7CA529D}"/>
  <tableColumns count="8">
    <tableColumn id="1" xr3:uid="{F1CDCFF2-4B02-994B-8EEB-D7FD0D16918F}" name="HHEADER" dataDxfId="63"/>
    <tableColumn id="2" xr3:uid="{CA95AFE1-7E1B-C949-9DFE-86E776C50F62}" name="LINE" dataDxfId="62"/>
    <tableColumn id="3" xr3:uid="{7F1E3545-ED20-F544-B5E6-FA2977DF7C2D}" name="PAYEE" dataDxfId="61"/>
    <tableColumn id="4" xr3:uid="{48D325D2-854B-FB46-BC1C-9E91C0F71E9A}" name="PO" dataDxfId="60"/>
    <tableColumn id="5" xr3:uid="{33C3188A-1114-F24C-9133-196FAFBC9A86}" name="DATE"/>
    <tableColumn id="6" xr3:uid="{44EE9F66-C002-5D4B-8339-46AFBC49545E}" name="PAY ID"/>
    <tableColumn id="7" xr3:uid="{68F85B9D-924A-AB40-A172-9CC181D13E35}" name="ACTUAL" dataDxfId="59"/>
    <tableColumn id="8" xr3:uid="{A5BA0CDB-3FEF-6342-99BB-2FB932646A6E}" name="LINE DESCRIPTION" dataDxfId="5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74E86AA-8F2C-3B4B-BB9A-3119D6408037}" name="2499-003_table" displayName="_2499_003_table" ref="W40:AD49" totalsRowShown="0" tableBorderDxfId="57">
  <autoFilter ref="W40:AD49" xr:uid="{4D6D6425-C385-6E43-AE33-4189C7CA529D}"/>
  <tableColumns count="8">
    <tableColumn id="1" xr3:uid="{FFA380A8-141A-8C47-A3D4-018C9E10E533}" name="HHEADER" dataDxfId="56"/>
    <tableColumn id="2" xr3:uid="{38FF0FA1-9281-7E49-AE1A-EC3989072316}" name="LINE" dataDxfId="55"/>
    <tableColumn id="3" xr3:uid="{9B83C68E-CC27-6348-B02A-668A02F699C0}" name="PAYEE" dataDxfId="54"/>
    <tableColumn id="4" xr3:uid="{88C9B8B4-E383-9E47-BB89-2EC66836D0E4}" name="PO" dataDxfId="53"/>
    <tableColumn id="5" xr3:uid="{92BF76B7-996A-C84F-A538-02CA50FF22A3}" name="DATE"/>
    <tableColumn id="6" xr3:uid="{A7787D33-9E63-6948-8A31-B98E4AEE6A7C}" name="PAY ID"/>
    <tableColumn id="7" xr3:uid="{439D8470-454A-3B48-93B3-D7112C97B167}" name="ACTUAL" dataDxfId="52"/>
    <tableColumn id="8" xr3:uid="{37AC0A8F-E0C5-6E4C-9E37-56298E9A9301}" name="LINE DESCRIPTION" dataDxfId="5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07AB609-1D7E-574A-8138-0471AFBD33BA}" name="2499-004_table" displayName="_2499_004_table" ref="W40:AD49" totalsRowShown="0" tableBorderDxfId="50">
  <autoFilter ref="W40:AD49" xr:uid="{4D6D6425-C385-6E43-AE33-4189C7CA529D}"/>
  <tableColumns count="8">
    <tableColumn id="1" xr3:uid="{878E4784-9CFC-2B4E-A9FA-045AE551F4AC}" name="HHEADER" dataDxfId="49"/>
    <tableColumn id="2" xr3:uid="{CDBF3518-ABD7-8740-BB26-C60CD814D370}" name="LINE" dataDxfId="48"/>
    <tableColumn id="3" xr3:uid="{E65F2E56-A123-3046-A185-678ABE02B5EC}" name="PAYEE" dataDxfId="47"/>
    <tableColumn id="4" xr3:uid="{EEA186F0-3380-C341-A45A-9698AFBDEA75}" name="PO" dataDxfId="46"/>
    <tableColumn id="5" xr3:uid="{422B9D4E-002E-8144-BC96-29AFD795F653}" name="DATE"/>
    <tableColumn id="6" xr3:uid="{C020112A-CF7D-B54A-923A-D8AE412DDA2A}" name="PAY ID"/>
    <tableColumn id="7" xr3:uid="{028FC2A7-1281-664B-AFF4-66C6F6618D15}" name="ACTUAL" dataDxfId="45"/>
    <tableColumn id="8" xr3:uid="{360AFA73-A716-1F4B-95C9-9151829C073B}" name="LINE DESCRIPTION" dataDxfId="44"/>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4220DAA-6550-3A48-84AE-F3D64FBD800E}" name="2499-005_table" displayName="_2499_005_table" ref="W40:AD49" totalsRowShown="0" tableBorderDxfId="43">
  <autoFilter ref="W40:AD49" xr:uid="{4D6D6425-C385-6E43-AE33-4189C7CA529D}"/>
  <tableColumns count="8">
    <tableColumn id="1" xr3:uid="{12013D3D-A4AD-414E-B113-502772972D6C}" name="HHEADER" dataDxfId="42"/>
    <tableColumn id="2" xr3:uid="{F52DAB44-7E75-3F4E-9089-ED87CC13E6BB}" name="LINE" dataDxfId="41"/>
    <tableColumn id="3" xr3:uid="{33BD822A-2302-5349-B384-14619187C56E}" name="PAYEE" dataDxfId="40"/>
    <tableColumn id="4" xr3:uid="{06240816-226A-314B-8989-8741057552C0}" name="PO" dataDxfId="39"/>
    <tableColumn id="5" xr3:uid="{D44A0E22-C1BA-A543-BB20-43E73C728339}" name="DATE"/>
    <tableColumn id="6" xr3:uid="{2A68509D-59BA-1E43-86C8-5F2C77F677DD}" name="PAY ID"/>
    <tableColumn id="7" xr3:uid="{5306BD02-4C8A-F942-AD41-8B6083A56163}" name="ACTUAL" dataDxfId="38"/>
    <tableColumn id="8" xr3:uid="{F6243829-C68A-7D47-B242-023A2E666501}" name="LINE DESCRIPTION" dataDxfId="37"/>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50B2D97-ACD9-254E-8F4D-040537878FFF}" name="2499-006_table" displayName="_2499_006_table" ref="W40:AD49" totalsRowShown="0" tableBorderDxfId="36">
  <autoFilter ref="W40:AD49" xr:uid="{4D6D6425-C385-6E43-AE33-4189C7CA529D}"/>
  <tableColumns count="8">
    <tableColumn id="1" xr3:uid="{1B4E63F6-6CEE-7E40-8D58-B1594B73034E}" name="HHEADER" dataDxfId="35"/>
    <tableColumn id="2" xr3:uid="{31444574-298B-1347-B109-768FE7C0C8E6}" name="LINE" dataDxfId="34"/>
    <tableColumn id="3" xr3:uid="{4029A9F4-8D13-A04D-AC68-A7ED2D4FCC29}" name="PAYEE" dataDxfId="33"/>
    <tableColumn id="4" xr3:uid="{0CFB3A94-F018-044F-BB75-FD58A14060CC}" name="PO" dataDxfId="32"/>
    <tableColumn id="5" xr3:uid="{51A3DA17-4CF5-3E43-BE75-2252F567A9CF}" name="DATE"/>
    <tableColumn id="6" xr3:uid="{DD4971D9-1B0E-8E40-9926-D972C1AA9997}" name="PAY ID"/>
    <tableColumn id="7" xr3:uid="{9733DD82-9078-B647-B817-2967A2109588}" name="ACTUAL" dataDxfId="31"/>
    <tableColumn id="8" xr3:uid="{1E431C0E-2213-D741-9CFB-7043279C4C94}" name="LINE DESCRIPTION" dataDxfId="3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870D6C6-781B-BB41-83FB-05E0552CA601}" name="2499-007_table" displayName="_2499_007_table" ref="W40:AD49" totalsRowShown="0" tableBorderDxfId="29">
  <autoFilter ref="W40:AD49" xr:uid="{4D6D6425-C385-6E43-AE33-4189C7CA529D}"/>
  <tableColumns count="8">
    <tableColumn id="1" xr3:uid="{47E81EB5-DDEE-2744-91A6-CBB5468C6A11}" name="HHEADER" dataDxfId="28"/>
    <tableColumn id="2" xr3:uid="{C211AD30-CFCA-6348-8929-E6B66B798804}" name="LINE" dataDxfId="27"/>
    <tableColumn id="3" xr3:uid="{086D1CA2-FCE5-7E4E-9428-6D0CDB04C6E3}" name="PAYEE" dataDxfId="26"/>
    <tableColumn id="4" xr3:uid="{2DCABDFB-AED7-8140-BD94-127EDAB63526}" name="PO" dataDxfId="25"/>
    <tableColumn id="5" xr3:uid="{0D2BAEC7-9472-8148-9CD2-300747EA186D}" name="DATE"/>
    <tableColumn id="6" xr3:uid="{0BEE7DD4-3712-FB4D-BC8A-278EC09E5752}" name="PAY ID"/>
    <tableColumn id="7" xr3:uid="{068F8190-F2D7-304F-946A-4B0748185FA6}" name="ACTUAL" dataDxfId="24"/>
    <tableColumn id="8" xr3:uid="{C339A87D-A8D1-2748-99AD-FB271A1A3E8D}" name="LINE DESCRIPTION" dataDxfId="23"/>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C2AFEEE-D0A6-DE4E-970F-C3335514F939}" name="2499-008_table" displayName="_2499_008_table" ref="W40:AD49" totalsRowShown="0" tableBorderDxfId="22">
  <autoFilter ref="W40:AD49" xr:uid="{4D6D6425-C385-6E43-AE33-4189C7CA529D}"/>
  <tableColumns count="8">
    <tableColumn id="1" xr3:uid="{2872259E-8BD5-DA4E-B178-09B5F4EF8568}" name="HHEADER" dataDxfId="21"/>
    <tableColumn id="2" xr3:uid="{2C4DB262-7BB1-A04F-91DF-5F5A8A3FE0FF}" name="LINE" dataDxfId="20"/>
    <tableColumn id="3" xr3:uid="{6D112F73-F1A9-CA46-86F9-C92F83EB45E3}" name="PAYEE" dataDxfId="19"/>
    <tableColumn id="4" xr3:uid="{97147919-2362-DB4C-8850-2554E73989F9}" name="PO" dataDxfId="18"/>
    <tableColumn id="5" xr3:uid="{44705972-B845-7348-8323-23E2473EA755}" name="DATE"/>
    <tableColumn id="6" xr3:uid="{C5A83B1F-D8D7-364A-86F6-FD8396470FA7}" name="PAY ID"/>
    <tableColumn id="7" xr3:uid="{5988FD78-9AA1-2E4F-88FA-0AC20D143F76}" name="ACTUAL" dataDxfId="17"/>
    <tableColumn id="8" xr3:uid="{EF488B7A-3D35-774A-B1BB-4C9985206ADF}" name="LINE DESCRIPTION" dataDxfId="1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4E7B68-10D3-A84E-84D2-7B99277272F8}">
  <sheetPr codeName="Sheet4"/>
  <dimension ref="A2:C44"/>
  <sheetViews>
    <sheetView workbookViewId="0"/>
    <sheetView workbookViewId="1"/>
  </sheetViews>
  <sheetFormatPr baseColWidth="10" defaultRowHeight="16"/>
  <cols>
    <col min="1" max="1" width="3.83203125" style="111" customWidth="1"/>
    <col min="2" max="2" width="10.83203125" style="112"/>
  </cols>
  <sheetData>
    <row r="2" spans="1:2" ht="24">
      <c r="B2" s="113" t="s">
        <v>268</v>
      </c>
    </row>
    <row r="3" spans="1:2">
      <c r="A3" s="111" t="s">
        <v>270</v>
      </c>
      <c r="B3" s="112" t="s">
        <v>267</v>
      </c>
    </row>
    <row r="5" spans="1:2" ht="24">
      <c r="B5" s="113" t="s">
        <v>269</v>
      </c>
    </row>
    <row r="6" spans="1:2">
      <c r="A6" s="111" t="s">
        <v>270</v>
      </c>
      <c r="B6" s="112" t="s">
        <v>271</v>
      </c>
    </row>
    <row r="7" spans="1:2">
      <c r="A7" s="111" t="s">
        <v>270</v>
      </c>
      <c r="B7" s="112" t="s">
        <v>272</v>
      </c>
    </row>
    <row r="11" spans="1:2" ht="24">
      <c r="B11" s="113" t="s">
        <v>266</v>
      </c>
    </row>
    <row r="12" spans="1:2">
      <c r="A12" s="111" t="s">
        <v>270</v>
      </c>
      <c r="B12" s="112" t="s">
        <v>273</v>
      </c>
    </row>
    <row r="13" spans="1:2">
      <c r="A13" s="111" t="s">
        <v>270</v>
      </c>
      <c r="B13" s="112" t="s">
        <v>281</v>
      </c>
    </row>
    <row r="14" spans="1:2">
      <c r="A14" s="111" t="s">
        <v>270</v>
      </c>
      <c r="B14" s="112" t="s">
        <v>274</v>
      </c>
    </row>
    <row r="15" spans="1:2">
      <c r="A15" s="111" t="s">
        <v>270</v>
      </c>
      <c r="B15" s="112" t="s">
        <v>275</v>
      </c>
    </row>
    <row r="16" spans="1:2">
      <c r="A16" s="111" t="s">
        <v>270</v>
      </c>
      <c r="B16" s="112" t="s">
        <v>280</v>
      </c>
    </row>
    <row r="17" spans="1:3">
      <c r="A17" s="111" t="s">
        <v>270</v>
      </c>
      <c r="B17" s="112" t="s">
        <v>276</v>
      </c>
    </row>
    <row r="18" spans="1:3" ht="20">
      <c r="B18" s="114" t="s">
        <v>277</v>
      </c>
      <c r="C18" s="114"/>
    </row>
    <row r="19" spans="1:3">
      <c r="A19" s="111" t="s">
        <v>270</v>
      </c>
      <c r="B19" s="112" t="s">
        <v>278</v>
      </c>
    </row>
    <row r="20" spans="1:3">
      <c r="A20" s="111" t="s">
        <v>270</v>
      </c>
      <c r="B20" s="112" t="s">
        <v>279</v>
      </c>
    </row>
    <row r="21" spans="1:3">
      <c r="A21" s="111" t="s">
        <v>270</v>
      </c>
      <c r="B21" s="112" t="s">
        <v>282</v>
      </c>
    </row>
    <row r="22" spans="1:3">
      <c r="A22" s="111" t="s">
        <v>270</v>
      </c>
      <c r="B22" s="112" t="s">
        <v>283</v>
      </c>
    </row>
    <row r="23" spans="1:3">
      <c r="A23" s="111" t="s">
        <v>270</v>
      </c>
      <c r="B23" s="112" t="s">
        <v>284</v>
      </c>
    </row>
    <row r="25" spans="1:3" ht="24">
      <c r="B25" s="113" t="s">
        <v>285</v>
      </c>
    </row>
    <row r="26" spans="1:3">
      <c r="A26" s="111" t="s">
        <v>270</v>
      </c>
      <c r="B26" s="112" t="s">
        <v>286</v>
      </c>
    </row>
    <row r="27" spans="1:3">
      <c r="A27" s="111" t="s">
        <v>270</v>
      </c>
      <c r="B27" s="112" t="s">
        <v>287</v>
      </c>
    </row>
    <row r="28" spans="1:3">
      <c r="A28" s="111" t="s">
        <v>270</v>
      </c>
      <c r="B28" s="112" t="s">
        <v>288</v>
      </c>
    </row>
    <row r="29" spans="1:3">
      <c r="A29" s="111" t="s">
        <v>270</v>
      </c>
      <c r="B29" s="112" t="s">
        <v>289</v>
      </c>
    </row>
    <row r="30" spans="1:3">
      <c r="A30" s="111" t="s">
        <v>270</v>
      </c>
      <c r="B30" s="112" t="s">
        <v>291</v>
      </c>
    </row>
    <row r="31" spans="1:3">
      <c r="A31" s="111" t="s">
        <v>270</v>
      </c>
      <c r="B31" s="112" t="s">
        <v>292</v>
      </c>
    </row>
    <row r="32" spans="1:3">
      <c r="A32" s="111" t="s">
        <v>270</v>
      </c>
      <c r="B32" s="112" t="s">
        <v>290</v>
      </c>
    </row>
    <row r="34" spans="1:2" ht="24">
      <c r="B34" s="113" t="s">
        <v>293</v>
      </c>
    </row>
    <row r="35" spans="1:2">
      <c r="A35" s="111" t="s">
        <v>270</v>
      </c>
      <c r="B35" s="112" t="s">
        <v>294</v>
      </c>
    </row>
    <row r="36" spans="1:2">
      <c r="A36" s="111" t="s">
        <v>270</v>
      </c>
      <c r="B36" s="112" t="s">
        <v>295</v>
      </c>
    </row>
    <row r="37" spans="1:2">
      <c r="A37" s="111" t="s">
        <v>270</v>
      </c>
      <c r="B37" s="112" t="s">
        <v>296</v>
      </c>
    </row>
    <row r="38" spans="1:2">
      <c r="A38" s="111" t="s">
        <v>270</v>
      </c>
      <c r="B38" s="112" t="s">
        <v>297</v>
      </c>
    </row>
    <row r="39" spans="1:2">
      <c r="A39" s="111" t="s">
        <v>270</v>
      </c>
      <c r="B39" s="112" t="s">
        <v>298</v>
      </c>
    </row>
    <row r="40" spans="1:2">
      <c r="A40" s="111" t="s">
        <v>270</v>
      </c>
      <c r="B40" s="112" t="s">
        <v>299</v>
      </c>
    </row>
    <row r="41" spans="1:2">
      <c r="A41" s="111" t="s">
        <v>270</v>
      </c>
      <c r="B41" s="112" t="s">
        <v>300</v>
      </c>
    </row>
    <row r="43" spans="1:2">
      <c r="A43" s="111" t="s">
        <v>270</v>
      </c>
      <c r="B43" s="112" t="s">
        <v>301</v>
      </c>
    </row>
    <row r="44" spans="1:2">
      <c r="A44" s="111" t="s">
        <v>270</v>
      </c>
      <c r="B44" s="112" t="s">
        <v>302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930CB5-3938-FA45-BD48-1C834A0F12F1}">
  <sheetPr codeName="Sheet1"/>
  <dimension ref="A1:C375"/>
  <sheetViews>
    <sheetView topLeftCell="A343" zoomScale="110" zoomScaleNormal="110" workbookViewId="0">
      <selection activeCell="A364" sqref="A364"/>
    </sheetView>
    <sheetView topLeftCell="A328" workbookViewId="1">
      <selection activeCell="A363" sqref="A363"/>
    </sheetView>
  </sheetViews>
  <sheetFormatPr baseColWidth="10" defaultRowHeight="16"/>
  <cols>
    <col min="2" max="2" width="36.33203125" customWidth="1"/>
  </cols>
  <sheetData>
    <row r="1" spans="1:3">
      <c r="A1" s="258" t="s">
        <v>22</v>
      </c>
      <c r="B1" s="259" t="s">
        <v>23</v>
      </c>
      <c r="C1" s="260"/>
    </row>
    <row r="2" spans="1:3">
      <c r="A2" s="261">
        <v>1</v>
      </c>
      <c r="B2" s="262" t="s">
        <v>24</v>
      </c>
      <c r="C2" s="260"/>
    </row>
    <row r="3" spans="1:3">
      <c r="A3" s="261">
        <v>2</v>
      </c>
      <c r="B3" s="262" t="s">
        <v>25</v>
      </c>
      <c r="C3" s="260"/>
    </row>
    <row r="4" spans="1:3">
      <c r="A4" s="261">
        <v>3</v>
      </c>
      <c r="B4" s="262" t="s">
        <v>26</v>
      </c>
      <c r="C4" s="260"/>
    </row>
    <row r="5" spans="1:3">
      <c r="A5" s="261">
        <v>4</v>
      </c>
      <c r="B5" s="262" t="s">
        <v>27</v>
      </c>
      <c r="C5" s="260"/>
    </row>
    <row r="6" spans="1:3">
      <c r="A6" s="261">
        <v>5</v>
      </c>
      <c r="B6" s="262" t="s">
        <v>28</v>
      </c>
      <c r="C6" s="260"/>
    </row>
    <row r="7" spans="1:3">
      <c r="A7" s="261">
        <v>6</v>
      </c>
      <c r="B7" s="262" t="s">
        <v>29</v>
      </c>
      <c r="C7" s="260"/>
    </row>
    <row r="8" spans="1:3">
      <c r="A8" s="261">
        <v>7</v>
      </c>
      <c r="B8" s="262" t="s">
        <v>30</v>
      </c>
      <c r="C8" s="260"/>
    </row>
    <row r="9" spans="1:3">
      <c r="A9" s="261">
        <v>8</v>
      </c>
      <c r="B9" s="262" t="s">
        <v>31</v>
      </c>
      <c r="C9" s="260"/>
    </row>
    <row r="10" spans="1:3">
      <c r="A10" s="261">
        <v>9</v>
      </c>
      <c r="B10" s="262" t="s">
        <v>32</v>
      </c>
      <c r="C10" s="260"/>
    </row>
    <row r="11" spans="1:3">
      <c r="A11" s="261">
        <v>10</v>
      </c>
      <c r="B11" s="262" t="s">
        <v>33</v>
      </c>
      <c r="C11" s="260"/>
    </row>
    <row r="12" spans="1:3">
      <c r="A12" s="261">
        <v>11</v>
      </c>
      <c r="B12" s="262" t="s">
        <v>34</v>
      </c>
      <c r="C12" s="260"/>
    </row>
    <row r="13" spans="1:3">
      <c r="A13" s="261">
        <v>12</v>
      </c>
      <c r="B13" s="262" t="s">
        <v>35</v>
      </c>
      <c r="C13" s="260"/>
    </row>
    <row r="14" spans="1:3">
      <c r="A14" s="261">
        <v>13</v>
      </c>
      <c r="B14" s="262" t="s">
        <v>36</v>
      </c>
      <c r="C14" s="260"/>
    </row>
    <row r="15" spans="1:3">
      <c r="A15" s="261">
        <v>14</v>
      </c>
      <c r="B15" s="262" t="s">
        <v>37</v>
      </c>
      <c r="C15" s="260"/>
    </row>
    <row r="16" spans="1:3">
      <c r="A16" s="261">
        <v>15</v>
      </c>
      <c r="B16" s="262" t="s">
        <v>38</v>
      </c>
      <c r="C16" s="260"/>
    </row>
    <row r="17" spans="1:3">
      <c r="A17" s="261">
        <v>16</v>
      </c>
      <c r="B17" s="262" t="s">
        <v>39</v>
      </c>
      <c r="C17" s="260"/>
    </row>
    <row r="18" spans="1:3">
      <c r="A18" s="261">
        <v>17</v>
      </c>
      <c r="B18" s="262" t="s">
        <v>40</v>
      </c>
      <c r="C18" s="260"/>
    </row>
    <row r="19" spans="1:3">
      <c r="A19" s="261">
        <v>18</v>
      </c>
      <c r="B19" s="262" t="s">
        <v>41</v>
      </c>
      <c r="C19" s="260"/>
    </row>
    <row r="20" spans="1:3">
      <c r="A20" s="261">
        <v>19</v>
      </c>
      <c r="B20" s="262" t="s">
        <v>42</v>
      </c>
      <c r="C20" s="260"/>
    </row>
    <row r="21" spans="1:3">
      <c r="A21" s="261">
        <v>20</v>
      </c>
      <c r="B21" s="262" t="s">
        <v>43</v>
      </c>
      <c r="C21" s="260"/>
    </row>
    <row r="22" spans="1:3">
      <c r="A22" s="261">
        <v>21</v>
      </c>
      <c r="B22" s="262" t="s">
        <v>44</v>
      </c>
      <c r="C22" s="260"/>
    </row>
    <row r="23" spans="1:3">
      <c r="A23" s="261">
        <v>22</v>
      </c>
      <c r="B23" s="262" t="s">
        <v>45</v>
      </c>
      <c r="C23" s="260"/>
    </row>
    <row r="24" spans="1:3">
      <c r="A24" s="261">
        <v>23</v>
      </c>
      <c r="B24" s="262" t="s">
        <v>46</v>
      </c>
      <c r="C24" s="260"/>
    </row>
    <row r="25" spans="1:3">
      <c r="A25" s="261">
        <v>24</v>
      </c>
      <c r="B25" s="262" t="s">
        <v>47</v>
      </c>
      <c r="C25" s="260"/>
    </row>
    <row r="26" spans="1:3">
      <c r="A26" s="261">
        <v>25</v>
      </c>
      <c r="B26" s="262" t="s">
        <v>48</v>
      </c>
      <c r="C26" s="260"/>
    </row>
    <row r="27" spans="1:3">
      <c r="A27" s="261">
        <v>26</v>
      </c>
      <c r="B27" s="262" t="s">
        <v>49</v>
      </c>
      <c r="C27" s="260"/>
    </row>
    <row r="28" spans="1:3">
      <c r="A28" s="261">
        <v>27</v>
      </c>
      <c r="B28" s="262" t="s">
        <v>50</v>
      </c>
      <c r="C28" s="260"/>
    </row>
    <row r="29" spans="1:3">
      <c r="A29" s="261">
        <v>28</v>
      </c>
      <c r="B29" s="262" t="s">
        <v>51</v>
      </c>
      <c r="C29" s="260"/>
    </row>
    <row r="30" spans="1:3">
      <c r="A30" s="261">
        <v>29</v>
      </c>
      <c r="B30" s="262" t="s">
        <v>52</v>
      </c>
      <c r="C30" s="260"/>
    </row>
    <row r="31" spans="1:3">
      <c r="A31" s="261">
        <v>30</v>
      </c>
      <c r="B31" s="262" t="s">
        <v>53</v>
      </c>
      <c r="C31" s="260"/>
    </row>
    <row r="32" spans="1:3">
      <c r="A32" s="261">
        <v>31</v>
      </c>
      <c r="B32" s="262" t="s">
        <v>54</v>
      </c>
      <c r="C32" s="260"/>
    </row>
    <row r="33" spans="1:3">
      <c r="A33" s="261">
        <v>32</v>
      </c>
      <c r="B33" s="262" t="s">
        <v>55</v>
      </c>
      <c r="C33" s="260"/>
    </row>
    <row r="34" spans="1:3">
      <c r="A34" s="261">
        <v>33</v>
      </c>
      <c r="B34" s="262" t="s">
        <v>56</v>
      </c>
      <c r="C34" s="260"/>
    </row>
    <row r="35" spans="1:3">
      <c r="A35" s="261">
        <v>34</v>
      </c>
      <c r="B35" s="262" t="s">
        <v>57</v>
      </c>
      <c r="C35" s="260"/>
    </row>
    <row r="36" spans="1:3">
      <c r="A36" s="261">
        <v>35</v>
      </c>
      <c r="B36" s="262" t="s">
        <v>58</v>
      </c>
      <c r="C36" s="260"/>
    </row>
    <row r="37" spans="1:3">
      <c r="A37" s="261">
        <v>36</v>
      </c>
      <c r="B37" s="262" t="s">
        <v>59</v>
      </c>
      <c r="C37" s="260"/>
    </row>
    <row r="38" spans="1:3">
      <c r="A38" s="261">
        <v>37</v>
      </c>
      <c r="B38" s="262" t="s">
        <v>60</v>
      </c>
      <c r="C38" s="260"/>
    </row>
    <row r="39" spans="1:3">
      <c r="A39" s="261">
        <v>38</v>
      </c>
      <c r="B39" s="262" t="s">
        <v>61</v>
      </c>
      <c r="C39" s="260"/>
    </row>
    <row r="40" spans="1:3">
      <c r="A40" s="261">
        <v>39</v>
      </c>
      <c r="B40" s="262" t="s">
        <v>62</v>
      </c>
      <c r="C40" s="260"/>
    </row>
    <row r="41" spans="1:3">
      <c r="A41" s="261">
        <v>40</v>
      </c>
      <c r="B41" s="262" t="s">
        <v>63</v>
      </c>
      <c r="C41" s="260"/>
    </row>
    <row r="42" spans="1:3">
      <c r="A42" s="261">
        <v>41</v>
      </c>
      <c r="B42" s="262" t="s">
        <v>64</v>
      </c>
      <c r="C42" s="260"/>
    </row>
    <row r="43" spans="1:3">
      <c r="A43" s="261">
        <v>42</v>
      </c>
      <c r="B43" s="262" t="s">
        <v>65</v>
      </c>
      <c r="C43" s="260"/>
    </row>
    <row r="44" spans="1:3">
      <c r="A44" s="261">
        <v>43</v>
      </c>
      <c r="B44" s="262" t="s">
        <v>66</v>
      </c>
      <c r="C44" s="260"/>
    </row>
    <row r="45" spans="1:3">
      <c r="A45" s="261">
        <v>44</v>
      </c>
      <c r="B45" s="262" t="s">
        <v>67</v>
      </c>
      <c r="C45" s="260"/>
    </row>
    <row r="46" spans="1:3">
      <c r="A46" s="261">
        <v>45</v>
      </c>
      <c r="B46" s="262" t="s">
        <v>68</v>
      </c>
      <c r="C46" s="260"/>
    </row>
    <row r="47" spans="1:3">
      <c r="A47" s="261">
        <v>46</v>
      </c>
      <c r="B47" s="262" t="s">
        <v>68</v>
      </c>
      <c r="C47" s="260"/>
    </row>
    <row r="48" spans="1:3">
      <c r="A48" s="261">
        <v>47</v>
      </c>
      <c r="B48" s="262" t="s">
        <v>69</v>
      </c>
      <c r="C48" s="260"/>
    </row>
    <row r="49" spans="1:3">
      <c r="A49" s="261">
        <v>48</v>
      </c>
      <c r="B49" s="262" t="s">
        <v>70</v>
      </c>
      <c r="C49" s="260"/>
    </row>
    <row r="50" spans="1:3">
      <c r="A50" s="261">
        <v>49</v>
      </c>
      <c r="B50" s="262" t="s">
        <v>70</v>
      </c>
      <c r="C50" s="260"/>
    </row>
    <row r="51" spans="1:3">
      <c r="A51" s="261">
        <v>50</v>
      </c>
      <c r="B51" s="262"/>
      <c r="C51" s="260"/>
    </row>
    <row r="52" spans="1:3">
      <c r="A52" s="261">
        <v>51</v>
      </c>
      <c r="B52" s="262" t="s">
        <v>24</v>
      </c>
      <c r="C52" s="260"/>
    </row>
    <row r="53" spans="1:3">
      <c r="A53" s="261">
        <v>52</v>
      </c>
      <c r="B53" s="262" t="s">
        <v>25</v>
      </c>
      <c r="C53" s="260"/>
    </row>
    <row r="54" spans="1:3">
      <c r="A54" s="261">
        <v>53</v>
      </c>
      <c r="B54" s="262" t="s">
        <v>26</v>
      </c>
      <c r="C54" s="260"/>
    </row>
    <row r="55" spans="1:3">
      <c r="A55" s="261">
        <v>54</v>
      </c>
      <c r="B55" s="262" t="s">
        <v>27</v>
      </c>
      <c r="C55" s="260"/>
    </row>
    <row r="56" spans="1:3">
      <c r="A56" s="261">
        <v>55</v>
      </c>
      <c r="B56" s="262" t="s">
        <v>28</v>
      </c>
      <c r="C56" s="260"/>
    </row>
    <row r="57" spans="1:3">
      <c r="A57" s="261">
        <v>56</v>
      </c>
      <c r="B57" s="262" t="s">
        <v>29</v>
      </c>
      <c r="C57" s="260"/>
    </row>
    <row r="58" spans="1:3">
      <c r="A58" s="261">
        <v>57</v>
      </c>
      <c r="B58" s="262" t="s">
        <v>30</v>
      </c>
      <c r="C58" s="260"/>
    </row>
    <row r="59" spans="1:3">
      <c r="A59" s="261">
        <v>58</v>
      </c>
      <c r="B59" s="262" t="s">
        <v>31</v>
      </c>
      <c r="C59" s="260"/>
    </row>
    <row r="60" spans="1:3">
      <c r="A60" s="261">
        <v>59</v>
      </c>
      <c r="B60" s="262" t="s">
        <v>71</v>
      </c>
      <c r="C60" s="260"/>
    </row>
    <row r="61" spans="1:3">
      <c r="A61" s="261">
        <v>60</v>
      </c>
      <c r="B61" s="262" t="s">
        <v>33</v>
      </c>
      <c r="C61" s="260"/>
    </row>
    <row r="62" spans="1:3">
      <c r="A62" s="261">
        <v>61</v>
      </c>
      <c r="B62" s="262" t="s">
        <v>34</v>
      </c>
      <c r="C62" s="260"/>
    </row>
    <row r="63" spans="1:3">
      <c r="A63" s="261">
        <v>62</v>
      </c>
      <c r="B63" s="262" t="s">
        <v>35</v>
      </c>
      <c r="C63" s="260"/>
    </row>
    <row r="64" spans="1:3">
      <c r="A64" s="261">
        <v>63</v>
      </c>
      <c r="B64" s="262" t="s">
        <v>36</v>
      </c>
      <c r="C64" s="260"/>
    </row>
    <row r="65" spans="1:3">
      <c r="A65" s="261">
        <v>64</v>
      </c>
      <c r="B65" s="262" t="s">
        <v>72</v>
      </c>
      <c r="C65" s="260"/>
    </row>
    <row r="66" spans="1:3">
      <c r="A66" s="261">
        <v>65</v>
      </c>
      <c r="B66" s="262" t="s">
        <v>38</v>
      </c>
      <c r="C66" s="260"/>
    </row>
    <row r="67" spans="1:3">
      <c r="A67" s="261">
        <v>66</v>
      </c>
      <c r="B67" s="262" t="s">
        <v>39</v>
      </c>
      <c r="C67" s="260"/>
    </row>
    <row r="68" spans="1:3">
      <c r="A68" s="261">
        <v>67</v>
      </c>
      <c r="B68" s="262" t="s">
        <v>40</v>
      </c>
      <c r="C68" s="260"/>
    </row>
    <row r="69" spans="1:3">
      <c r="A69" s="261">
        <v>68</v>
      </c>
      <c r="B69" s="262" t="s">
        <v>41</v>
      </c>
      <c r="C69" s="260"/>
    </row>
    <row r="70" spans="1:3">
      <c r="A70" s="261">
        <v>69</v>
      </c>
      <c r="B70" s="262" t="s">
        <v>73</v>
      </c>
      <c r="C70" s="260"/>
    </row>
    <row r="71" spans="1:3">
      <c r="A71" s="261">
        <v>70</v>
      </c>
      <c r="B71" s="262" t="s">
        <v>74</v>
      </c>
      <c r="C71" s="260"/>
    </row>
    <row r="72" spans="1:3">
      <c r="A72" s="261">
        <v>71</v>
      </c>
      <c r="B72" s="262" t="s">
        <v>44</v>
      </c>
      <c r="C72" s="260"/>
    </row>
    <row r="73" spans="1:3">
      <c r="A73" s="261">
        <v>72</v>
      </c>
      <c r="B73" s="262" t="s">
        <v>45</v>
      </c>
      <c r="C73" s="260"/>
    </row>
    <row r="74" spans="1:3">
      <c r="A74" s="261">
        <v>73</v>
      </c>
      <c r="B74" s="262" t="s">
        <v>75</v>
      </c>
      <c r="C74" s="260"/>
    </row>
    <row r="75" spans="1:3">
      <c r="A75" s="261">
        <v>74</v>
      </c>
      <c r="B75" s="262" t="s">
        <v>76</v>
      </c>
      <c r="C75" s="260"/>
    </row>
    <row r="76" spans="1:3">
      <c r="A76" s="261">
        <v>75</v>
      </c>
      <c r="B76" s="262" t="s">
        <v>48</v>
      </c>
      <c r="C76" s="260"/>
    </row>
    <row r="77" spans="1:3">
      <c r="A77" s="261">
        <v>76</v>
      </c>
      <c r="B77" s="262" t="s">
        <v>49</v>
      </c>
      <c r="C77" s="260"/>
    </row>
    <row r="78" spans="1:3">
      <c r="A78" s="261">
        <v>77</v>
      </c>
      <c r="B78" s="262" t="s">
        <v>50</v>
      </c>
      <c r="C78" s="260"/>
    </row>
    <row r="79" spans="1:3">
      <c r="A79" s="261">
        <v>78</v>
      </c>
      <c r="B79" s="262" t="s">
        <v>51</v>
      </c>
      <c r="C79" s="260"/>
    </row>
    <row r="80" spans="1:3">
      <c r="A80" s="261">
        <v>79</v>
      </c>
      <c r="B80" s="262" t="s">
        <v>77</v>
      </c>
      <c r="C80" s="260"/>
    </row>
    <row r="81" spans="1:3">
      <c r="A81" s="261">
        <v>80</v>
      </c>
      <c r="B81" s="262" t="s">
        <v>53</v>
      </c>
      <c r="C81" s="260"/>
    </row>
    <row r="82" spans="1:3">
      <c r="A82" s="261">
        <v>81</v>
      </c>
      <c r="B82" s="262" t="s">
        <v>54</v>
      </c>
      <c r="C82" s="260"/>
    </row>
    <row r="83" spans="1:3">
      <c r="A83" s="261">
        <v>82</v>
      </c>
      <c r="B83" s="262" t="s">
        <v>78</v>
      </c>
      <c r="C83" s="260"/>
    </row>
    <row r="84" spans="1:3">
      <c r="A84" s="261">
        <v>83</v>
      </c>
      <c r="B84" s="262" t="s">
        <v>56</v>
      </c>
      <c r="C84" s="260"/>
    </row>
    <row r="85" spans="1:3">
      <c r="A85" s="261">
        <v>84</v>
      </c>
      <c r="B85" s="262" t="s">
        <v>52</v>
      </c>
      <c r="C85" s="260"/>
    </row>
    <row r="86" spans="1:3">
      <c r="A86" s="261">
        <v>85</v>
      </c>
      <c r="B86" s="262" t="s">
        <v>58</v>
      </c>
      <c r="C86" s="260"/>
    </row>
    <row r="87" spans="1:3">
      <c r="A87" s="261">
        <v>86</v>
      </c>
      <c r="B87" s="262" t="s">
        <v>59</v>
      </c>
      <c r="C87" s="260"/>
    </row>
    <row r="88" spans="1:3">
      <c r="A88" s="261">
        <v>87</v>
      </c>
      <c r="B88" s="262" t="s">
        <v>60</v>
      </c>
      <c r="C88" s="260"/>
    </row>
    <row r="89" spans="1:3">
      <c r="A89" s="261">
        <v>88</v>
      </c>
      <c r="B89" s="262" t="s">
        <v>61</v>
      </c>
      <c r="C89" s="260"/>
    </row>
    <row r="90" spans="1:3">
      <c r="A90" s="261">
        <v>89</v>
      </c>
      <c r="B90" s="262" t="s">
        <v>62</v>
      </c>
      <c r="C90" s="260"/>
    </row>
    <row r="91" spans="1:3">
      <c r="A91" s="261">
        <v>90</v>
      </c>
      <c r="B91" s="262" t="s">
        <v>63</v>
      </c>
      <c r="C91" s="260"/>
    </row>
    <row r="92" spans="1:3">
      <c r="A92" s="261">
        <v>91</v>
      </c>
      <c r="B92" s="262" t="s">
        <v>79</v>
      </c>
      <c r="C92" s="260"/>
    </row>
    <row r="93" spans="1:3">
      <c r="A93" s="261">
        <v>92</v>
      </c>
      <c r="B93" s="262" t="s">
        <v>64</v>
      </c>
      <c r="C93" s="260"/>
    </row>
    <row r="94" spans="1:3">
      <c r="A94" s="261">
        <v>93</v>
      </c>
      <c r="B94" s="262" t="s">
        <v>65</v>
      </c>
      <c r="C94" s="260"/>
    </row>
    <row r="95" spans="1:3">
      <c r="A95" s="261">
        <v>94</v>
      </c>
      <c r="B95" s="262" t="s">
        <v>80</v>
      </c>
      <c r="C95" s="260"/>
    </row>
    <row r="96" spans="1:3">
      <c r="A96" s="261">
        <v>95</v>
      </c>
      <c r="B96" s="262" t="s">
        <v>68</v>
      </c>
      <c r="C96" s="260"/>
    </row>
    <row r="97" spans="1:3">
      <c r="A97" s="261">
        <v>96</v>
      </c>
      <c r="B97" s="262" t="s">
        <v>68</v>
      </c>
      <c r="C97" s="260"/>
    </row>
    <row r="98" spans="1:3">
      <c r="A98" s="261">
        <v>97</v>
      </c>
      <c r="B98" s="262" t="s">
        <v>69</v>
      </c>
      <c r="C98" s="260"/>
    </row>
    <row r="99" spans="1:3">
      <c r="A99" s="261">
        <v>98</v>
      </c>
      <c r="B99" s="262" t="s">
        <v>70</v>
      </c>
      <c r="C99" s="260"/>
    </row>
    <row r="100" spans="1:3">
      <c r="A100" s="261">
        <v>99</v>
      </c>
      <c r="B100" s="262" t="s">
        <v>70</v>
      </c>
      <c r="C100" s="260"/>
    </row>
    <row r="101" spans="1:3">
      <c r="A101" s="261">
        <v>100</v>
      </c>
      <c r="B101" s="262" t="s">
        <v>81</v>
      </c>
      <c r="C101" s="260"/>
    </row>
    <row r="102" spans="1:3">
      <c r="A102" s="263" t="s">
        <v>82</v>
      </c>
      <c r="B102" s="264" t="s">
        <v>83</v>
      </c>
      <c r="C102" s="260"/>
    </row>
    <row r="103" spans="1:3">
      <c r="A103" s="261">
        <v>101</v>
      </c>
      <c r="B103" s="262" t="s">
        <v>84</v>
      </c>
      <c r="C103" s="260"/>
    </row>
    <row r="104" spans="1:3">
      <c r="A104" s="261">
        <v>102</v>
      </c>
      <c r="B104" s="262" t="s">
        <v>349</v>
      </c>
      <c r="C104" s="260"/>
    </row>
    <row r="105" spans="1:3">
      <c r="A105" s="261">
        <v>103</v>
      </c>
      <c r="B105" s="262" t="s">
        <v>85</v>
      </c>
      <c r="C105" s="260"/>
    </row>
    <row r="106" spans="1:3">
      <c r="A106" s="261">
        <v>104</v>
      </c>
      <c r="B106" s="262" t="s">
        <v>86</v>
      </c>
      <c r="C106" s="260"/>
    </row>
    <row r="107" spans="1:3">
      <c r="A107" s="261">
        <v>105</v>
      </c>
      <c r="B107" s="262" t="s">
        <v>87</v>
      </c>
      <c r="C107" s="260"/>
    </row>
    <row r="108" spans="1:3">
      <c r="A108" s="261">
        <v>106</v>
      </c>
      <c r="B108" s="262" t="s">
        <v>88</v>
      </c>
      <c r="C108" s="260"/>
    </row>
    <row r="109" spans="1:3">
      <c r="A109" s="261">
        <v>107</v>
      </c>
      <c r="B109" s="262" t="s">
        <v>89</v>
      </c>
      <c r="C109" s="260"/>
    </row>
    <row r="110" spans="1:3">
      <c r="A110" s="261">
        <v>108</v>
      </c>
      <c r="B110" s="262" t="s">
        <v>90</v>
      </c>
      <c r="C110" s="260"/>
    </row>
    <row r="111" spans="1:3">
      <c r="A111" s="261">
        <v>109</v>
      </c>
      <c r="B111" s="262" t="s">
        <v>91</v>
      </c>
      <c r="C111" s="260"/>
    </row>
    <row r="112" spans="1:3">
      <c r="A112" s="261">
        <v>110</v>
      </c>
      <c r="B112" s="262" t="s">
        <v>92</v>
      </c>
      <c r="C112" s="260"/>
    </row>
    <row r="113" spans="1:3">
      <c r="A113" s="261">
        <v>111</v>
      </c>
      <c r="B113" s="262" t="s">
        <v>93</v>
      </c>
      <c r="C113" s="260"/>
    </row>
    <row r="114" spans="1:3">
      <c r="A114" s="261">
        <v>112</v>
      </c>
      <c r="B114" s="262" t="s">
        <v>94</v>
      </c>
      <c r="C114" s="260"/>
    </row>
    <row r="115" spans="1:3">
      <c r="A115" s="261">
        <v>113</v>
      </c>
      <c r="B115" s="262" t="s">
        <v>95</v>
      </c>
      <c r="C115" s="260"/>
    </row>
    <row r="116" spans="1:3">
      <c r="A116" s="263" t="s">
        <v>96</v>
      </c>
      <c r="B116" s="259" t="s">
        <v>97</v>
      </c>
      <c r="C116" s="260"/>
    </row>
    <row r="117" spans="1:3">
      <c r="A117" s="261">
        <v>114</v>
      </c>
      <c r="B117" s="262" t="s">
        <v>98</v>
      </c>
      <c r="C117" s="260"/>
    </row>
    <row r="118" spans="1:3">
      <c r="A118" s="261">
        <v>115</v>
      </c>
      <c r="B118" s="262" t="s">
        <v>99</v>
      </c>
      <c r="C118" s="260"/>
    </row>
    <row r="119" spans="1:3">
      <c r="A119" s="261">
        <v>116</v>
      </c>
      <c r="B119" s="262" t="s">
        <v>100</v>
      </c>
      <c r="C119" s="260"/>
    </row>
    <row r="120" spans="1:3">
      <c r="A120" s="261">
        <v>117</v>
      </c>
      <c r="B120" s="262" t="s">
        <v>101</v>
      </c>
      <c r="C120" s="260"/>
    </row>
    <row r="121" spans="1:3">
      <c r="A121" s="261">
        <v>118</v>
      </c>
      <c r="B121" s="262" t="s">
        <v>102</v>
      </c>
      <c r="C121" s="260"/>
    </row>
    <row r="122" spans="1:3">
      <c r="A122" s="261">
        <v>119</v>
      </c>
      <c r="B122" s="262" t="s">
        <v>103</v>
      </c>
      <c r="C122" s="260"/>
    </row>
    <row r="123" spans="1:3">
      <c r="A123" s="261">
        <v>120</v>
      </c>
      <c r="B123" s="262" t="s">
        <v>104</v>
      </c>
      <c r="C123" s="260"/>
    </row>
    <row r="124" spans="1:3">
      <c r="A124" s="261">
        <v>121</v>
      </c>
      <c r="B124" s="262" t="s">
        <v>105</v>
      </c>
      <c r="C124" s="260"/>
    </row>
    <row r="125" spans="1:3">
      <c r="A125" s="261">
        <v>122</v>
      </c>
      <c r="B125" s="262" t="s">
        <v>106</v>
      </c>
      <c r="C125" s="260"/>
    </row>
    <row r="126" spans="1:3">
      <c r="A126" s="261">
        <v>123</v>
      </c>
      <c r="B126" s="262" t="s">
        <v>107</v>
      </c>
      <c r="C126" s="260"/>
    </row>
    <row r="127" spans="1:3">
      <c r="A127" s="261">
        <v>124</v>
      </c>
      <c r="B127" s="262" t="s">
        <v>108</v>
      </c>
      <c r="C127" s="260"/>
    </row>
    <row r="128" spans="1:3">
      <c r="A128" s="261">
        <v>125</v>
      </c>
      <c r="B128" s="262" t="s">
        <v>109</v>
      </c>
      <c r="C128" s="260"/>
    </row>
    <row r="129" spans="1:3">
      <c r="A129" s="261">
        <v>126</v>
      </c>
      <c r="B129" s="262" t="s">
        <v>110</v>
      </c>
      <c r="C129" s="260"/>
    </row>
    <row r="130" spans="1:3">
      <c r="A130" s="261">
        <v>127</v>
      </c>
      <c r="B130" s="262" t="s">
        <v>111</v>
      </c>
      <c r="C130" s="260"/>
    </row>
    <row r="131" spans="1:3">
      <c r="A131" s="261">
        <v>128</v>
      </c>
      <c r="B131" s="262" t="s">
        <v>350</v>
      </c>
      <c r="C131" s="260"/>
    </row>
    <row r="132" spans="1:3">
      <c r="A132" s="261">
        <v>129</v>
      </c>
      <c r="B132" s="262" t="s">
        <v>112</v>
      </c>
      <c r="C132" s="260"/>
    </row>
    <row r="133" spans="1:3">
      <c r="A133" s="261">
        <v>130</v>
      </c>
      <c r="B133" s="262" t="s">
        <v>113</v>
      </c>
      <c r="C133" s="260"/>
    </row>
    <row r="134" spans="1:3">
      <c r="A134" s="261">
        <v>131</v>
      </c>
      <c r="B134" s="262" t="s">
        <v>114</v>
      </c>
      <c r="C134" s="260"/>
    </row>
    <row r="135" spans="1:3">
      <c r="A135" s="261">
        <v>132</v>
      </c>
      <c r="B135" s="262" t="s">
        <v>115</v>
      </c>
      <c r="C135" s="260"/>
    </row>
    <row r="136" spans="1:3">
      <c r="A136" s="261">
        <v>133</v>
      </c>
      <c r="B136" s="262" t="s">
        <v>351</v>
      </c>
      <c r="C136" s="260"/>
    </row>
    <row r="137" spans="1:3">
      <c r="A137" s="261">
        <v>134</v>
      </c>
      <c r="B137" s="262" t="s">
        <v>116</v>
      </c>
      <c r="C137" s="260"/>
    </row>
    <row r="138" spans="1:3">
      <c r="A138" s="261">
        <v>135</v>
      </c>
      <c r="B138" s="262" t="s">
        <v>117</v>
      </c>
      <c r="C138" s="260"/>
    </row>
    <row r="139" spans="1:3">
      <c r="A139" s="261">
        <v>136</v>
      </c>
      <c r="B139" s="262" t="s">
        <v>118</v>
      </c>
      <c r="C139" s="260"/>
    </row>
    <row r="140" spans="1:3">
      <c r="A140" s="261">
        <v>137</v>
      </c>
      <c r="B140" s="262" t="s">
        <v>119</v>
      </c>
      <c r="C140" s="260"/>
    </row>
    <row r="141" spans="1:3">
      <c r="A141" s="261">
        <v>138</v>
      </c>
      <c r="B141" s="262" t="s">
        <v>120</v>
      </c>
      <c r="C141" s="260"/>
    </row>
    <row r="142" spans="1:3">
      <c r="A142" s="261">
        <v>139</v>
      </c>
      <c r="B142" s="262" t="s">
        <v>65</v>
      </c>
      <c r="C142" s="260"/>
    </row>
    <row r="143" spans="1:3">
      <c r="A143" s="263" t="s">
        <v>121</v>
      </c>
      <c r="B143" s="259" t="s">
        <v>122</v>
      </c>
      <c r="C143" s="260"/>
    </row>
    <row r="144" spans="1:3">
      <c r="A144" s="261">
        <v>140</v>
      </c>
      <c r="B144" s="262" t="s">
        <v>123</v>
      </c>
      <c r="C144" s="260"/>
    </row>
    <row r="145" spans="1:3">
      <c r="A145" s="261">
        <v>141</v>
      </c>
      <c r="B145" s="262" t="s">
        <v>124</v>
      </c>
      <c r="C145" s="260"/>
    </row>
    <row r="146" spans="1:3">
      <c r="A146" s="261">
        <v>142</v>
      </c>
      <c r="B146" s="262" t="s">
        <v>125</v>
      </c>
      <c r="C146" s="260"/>
    </row>
    <row r="147" spans="1:3">
      <c r="A147" s="261">
        <v>143</v>
      </c>
      <c r="B147" s="262" t="s">
        <v>125</v>
      </c>
      <c r="C147" s="260"/>
    </row>
    <row r="148" spans="1:3">
      <c r="A148" s="261">
        <v>144</v>
      </c>
      <c r="B148" s="262" t="s">
        <v>125</v>
      </c>
      <c r="C148" s="260"/>
    </row>
    <row r="149" spans="1:3">
      <c r="A149" s="261">
        <v>145</v>
      </c>
      <c r="B149" s="262" t="s">
        <v>126</v>
      </c>
      <c r="C149" s="260"/>
    </row>
    <row r="150" spans="1:3">
      <c r="A150" s="261">
        <v>146</v>
      </c>
      <c r="B150" s="262" t="s">
        <v>126</v>
      </c>
      <c r="C150" s="260"/>
    </row>
    <row r="151" spans="1:3">
      <c r="A151" s="261">
        <v>147</v>
      </c>
      <c r="B151" s="262" t="s">
        <v>127</v>
      </c>
      <c r="C151" s="260"/>
    </row>
    <row r="152" spans="1:3">
      <c r="A152" s="261">
        <v>148</v>
      </c>
      <c r="B152" s="262" t="s">
        <v>128</v>
      </c>
      <c r="C152" s="260"/>
    </row>
    <row r="153" spans="1:3">
      <c r="A153" s="261">
        <v>149</v>
      </c>
      <c r="B153" s="262" t="s">
        <v>129</v>
      </c>
      <c r="C153" s="260"/>
    </row>
    <row r="154" spans="1:3">
      <c r="A154" s="261">
        <v>150</v>
      </c>
      <c r="B154" s="262"/>
      <c r="C154" s="260"/>
    </row>
    <row r="155" spans="1:3">
      <c r="A155" s="263" t="s">
        <v>130</v>
      </c>
      <c r="B155" s="264" t="s">
        <v>131</v>
      </c>
      <c r="C155" s="260"/>
    </row>
    <row r="156" spans="1:3">
      <c r="A156" s="261">
        <v>151</v>
      </c>
      <c r="B156" s="262" t="s">
        <v>132</v>
      </c>
      <c r="C156" s="260"/>
    </row>
    <row r="157" spans="1:3">
      <c r="A157" s="261">
        <v>152</v>
      </c>
      <c r="B157" s="262" t="s">
        <v>133</v>
      </c>
      <c r="C157" s="260"/>
    </row>
    <row r="158" spans="1:3">
      <c r="A158" s="261">
        <v>153</v>
      </c>
      <c r="B158" s="262" t="s">
        <v>134</v>
      </c>
      <c r="C158" s="260"/>
    </row>
    <row r="159" spans="1:3">
      <c r="A159" s="261">
        <v>154</v>
      </c>
      <c r="B159" s="262" t="s">
        <v>135</v>
      </c>
      <c r="C159" s="260"/>
    </row>
    <row r="160" spans="1:3">
      <c r="A160" s="261">
        <v>155</v>
      </c>
      <c r="B160" s="262" t="s">
        <v>136</v>
      </c>
      <c r="C160" s="260"/>
    </row>
    <row r="161" spans="1:3">
      <c r="A161" s="261">
        <v>156</v>
      </c>
      <c r="B161" s="262" t="s">
        <v>137</v>
      </c>
      <c r="C161" s="260"/>
    </row>
    <row r="162" spans="1:3">
      <c r="A162" s="261">
        <v>157</v>
      </c>
      <c r="B162" s="262" t="s">
        <v>138</v>
      </c>
      <c r="C162" s="260"/>
    </row>
    <row r="163" spans="1:3">
      <c r="A163" s="261">
        <v>158</v>
      </c>
      <c r="B163" s="262" t="s">
        <v>139</v>
      </c>
      <c r="C163" s="260"/>
    </row>
    <row r="164" spans="1:3">
      <c r="A164" s="261">
        <v>159</v>
      </c>
      <c r="B164" s="262" t="s">
        <v>140</v>
      </c>
      <c r="C164" s="260"/>
    </row>
    <row r="165" spans="1:3">
      <c r="A165" s="261">
        <v>160</v>
      </c>
      <c r="B165" s="262" t="s">
        <v>141</v>
      </c>
      <c r="C165" s="260"/>
    </row>
    <row r="166" spans="1:3">
      <c r="A166" s="261">
        <v>161</v>
      </c>
      <c r="B166" s="262" t="s">
        <v>142</v>
      </c>
      <c r="C166" s="260"/>
    </row>
    <row r="167" spans="1:3">
      <c r="A167" s="261">
        <v>162</v>
      </c>
      <c r="B167" s="262" t="s">
        <v>143</v>
      </c>
      <c r="C167" s="260"/>
    </row>
    <row r="168" spans="1:3">
      <c r="A168" s="261">
        <v>163</v>
      </c>
      <c r="B168" s="262"/>
      <c r="C168" s="260"/>
    </row>
    <row r="169" spans="1:3">
      <c r="A169" s="261">
        <v>164</v>
      </c>
      <c r="B169" s="262"/>
      <c r="C169" s="260"/>
    </row>
    <row r="170" spans="1:3">
      <c r="A170" s="261">
        <v>165</v>
      </c>
      <c r="B170" s="262"/>
      <c r="C170" s="260"/>
    </row>
    <row r="171" spans="1:3">
      <c r="A171" s="261">
        <v>166</v>
      </c>
      <c r="B171" s="262"/>
      <c r="C171" s="260"/>
    </row>
    <row r="172" spans="1:3">
      <c r="A172" s="261">
        <v>167</v>
      </c>
      <c r="B172" s="262"/>
      <c r="C172" s="260"/>
    </row>
    <row r="173" spans="1:3">
      <c r="A173" s="263" t="s">
        <v>144</v>
      </c>
      <c r="B173" s="264" t="s">
        <v>145</v>
      </c>
      <c r="C173" s="260"/>
    </row>
    <row r="174" spans="1:3">
      <c r="A174" s="261">
        <v>168</v>
      </c>
      <c r="B174" s="262" t="s">
        <v>146</v>
      </c>
      <c r="C174" s="260"/>
    </row>
    <row r="175" spans="1:3">
      <c r="A175" s="261">
        <v>169</v>
      </c>
      <c r="B175" s="262" t="s">
        <v>147</v>
      </c>
      <c r="C175" s="260"/>
    </row>
    <row r="176" spans="1:3">
      <c r="A176" s="261">
        <v>170</v>
      </c>
      <c r="B176" s="262" t="s">
        <v>148</v>
      </c>
      <c r="C176" s="260"/>
    </row>
    <row r="177" spans="1:3">
      <c r="A177" s="261">
        <v>171</v>
      </c>
      <c r="B177" s="262" t="s">
        <v>149</v>
      </c>
      <c r="C177" s="260"/>
    </row>
    <row r="178" spans="1:3">
      <c r="A178" s="261">
        <v>172</v>
      </c>
      <c r="B178" s="262" t="s">
        <v>150</v>
      </c>
      <c r="C178" s="260"/>
    </row>
    <row r="179" spans="1:3">
      <c r="A179" s="261">
        <v>173</v>
      </c>
      <c r="B179" s="262" t="s">
        <v>151</v>
      </c>
      <c r="C179" s="260"/>
    </row>
    <row r="180" spans="1:3">
      <c r="A180" s="261">
        <v>174</v>
      </c>
      <c r="B180" s="262" t="s">
        <v>151</v>
      </c>
      <c r="C180" s="260"/>
    </row>
    <row r="181" spans="1:3">
      <c r="A181" s="261">
        <v>175</v>
      </c>
      <c r="B181" s="262" t="s">
        <v>152</v>
      </c>
      <c r="C181" s="260"/>
    </row>
    <row r="182" spans="1:3">
      <c r="A182" s="261">
        <v>176</v>
      </c>
      <c r="B182" s="262" t="s">
        <v>153</v>
      </c>
      <c r="C182" s="260"/>
    </row>
    <row r="183" spans="1:3">
      <c r="A183" s="261">
        <v>177</v>
      </c>
      <c r="B183" s="262" t="s">
        <v>154</v>
      </c>
      <c r="C183" s="260"/>
    </row>
    <row r="184" spans="1:3">
      <c r="A184" s="261">
        <v>178</v>
      </c>
      <c r="B184" s="262" t="s">
        <v>155</v>
      </c>
      <c r="C184" s="260"/>
    </row>
    <row r="185" spans="1:3">
      <c r="A185" s="261">
        <v>179</v>
      </c>
      <c r="B185" s="262" t="s">
        <v>156</v>
      </c>
      <c r="C185" s="260"/>
    </row>
    <row r="186" spans="1:3">
      <c r="A186" s="261">
        <v>180</v>
      </c>
      <c r="B186" s="262" t="s">
        <v>157</v>
      </c>
      <c r="C186" s="260"/>
    </row>
    <row r="187" spans="1:3">
      <c r="A187" s="263" t="s">
        <v>158</v>
      </c>
      <c r="B187" s="259" t="s">
        <v>159</v>
      </c>
      <c r="C187" s="260"/>
    </row>
    <row r="188" spans="1:3">
      <c r="A188" s="261">
        <v>181</v>
      </c>
      <c r="B188" s="262" t="s">
        <v>160</v>
      </c>
      <c r="C188" s="260"/>
    </row>
    <row r="189" spans="1:3">
      <c r="A189" s="261">
        <v>182</v>
      </c>
      <c r="B189" s="262" t="s">
        <v>161</v>
      </c>
      <c r="C189" s="260"/>
    </row>
    <row r="190" spans="1:3">
      <c r="A190" s="261">
        <v>183</v>
      </c>
      <c r="B190" s="262" t="s">
        <v>162</v>
      </c>
      <c r="C190" s="260"/>
    </row>
    <row r="191" spans="1:3">
      <c r="A191" s="261">
        <v>184</v>
      </c>
      <c r="B191" s="262" t="s">
        <v>163</v>
      </c>
      <c r="C191" s="260"/>
    </row>
    <row r="192" spans="1:3">
      <c r="A192" s="261">
        <v>185</v>
      </c>
      <c r="B192" s="262" t="s">
        <v>164</v>
      </c>
      <c r="C192" s="260"/>
    </row>
    <row r="193" spans="1:3">
      <c r="A193" s="261">
        <v>186</v>
      </c>
      <c r="B193" s="262" t="s">
        <v>165</v>
      </c>
      <c r="C193" s="260"/>
    </row>
    <row r="194" spans="1:3">
      <c r="A194" s="261">
        <v>187</v>
      </c>
      <c r="B194" s="262" t="s">
        <v>166</v>
      </c>
      <c r="C194" s="260"/>
    </row>
    <row r="195" spans="1:3">
      <c r="A195" s="261">
        <v>188</v>
      </c>
      <c r="B195" s="262" t="s">
        <v>167</v>
      </c>
      <c r="C195" s="260"/>
    </row>
    <row r="196" spans="1:3">
      <c r="A196" s="261">
        <v>189</v>
      </c>
      <c r="B196" s="262" t="s">
        <v>168</v>
      </c>
      <c r="C196" s="260"/>
    </row>
    <row r="197" spans="1:3">
      <c r="A197" s="261">
        <v>190</v>
      </c>
      <c r="B197" s="262" t="s">
        <v>169</v>
      </c>
      <c r="C197" s="260"/>
    </row>
    <row r="198" spans="1:3">
      <c r="A198" s="261">
        <v>191</v>
      </c>
      <c r="B198" s="262" t="s">
        <v>170</v>
      </c>
      <c r="C198" s="260"/>
    </row>
    <row r="199" spans="1:3">
      <c r="A199" s="261">
        <v>192</v>
      </c>
      <c r="B199" s="262" t="s">
        <v>171</v>
      </c>
      <c r="C199" s="260"/>
    </row>
    <row r="200" spans="1:3">
      <c r="A200" s="263" t="s">
        <v>172</v>
      </c>
      <c r="B200" s="264" t="s">
        <v>173</v>
      </c>
      <c r="C200" s="260"/>
    </row>
    <row r="201" spans="1:3">
      <c r="A201" s="261">
        <v>193</v>
      </c>
      <c r="B201" s="262" t="s">
        <v>174</v>
      </c>
      <c r="C201" s="260"/>
    </row>
    <row r="202" spans="1:3">
      <c r="A202" s="261">
        <v>194</v>
      </c>
      <c r="B202" s="262" t="s">
        <v>175</v>
      </c>
      <c r="C202" s="260"/>
    </row>
    <row r="203" spans="1:3">
      <c r="A203" s="261">
        <v>195</v>
      </c>
      <c r="B203" s="262" t="s">
        <v>176</v>
      </c>
      <c r="C203" s="260"/>
    </row>
    <row r="204" spans="1:3">
      <c r="A204" s="261">
        <v>196</v>
      </c>
      <c r="B204" s="262" t="s">
        <v>177</v>
      </c>
      <c r="C204" s="260"/>
    </row>
    <row r="205" spans="1:3">
      <c r="A205" s="261">
        <v>197</v>
      </c>
      <c r="B205" s="262" t="s">
        <v>178</v>
      </c>
      <c r="C205" s="260"/>
    </row>
    <row r="206" spans="1:3">
      <c r="A206" s="261">
        <v>198</v>
      </c>
      <c r="B206" s="262" t="s">
        <v>179</v>
      </c>
      <c r="C206" s="260"/>
    </row>
    <row r="207" spans="1:3">
      <c r="A207" s="261">
        <v>199</v>
      </c>
      <c r="B207" s="262" t="s">
        <v>180</v>
      </c>
      <c r="C207" s="260"/>
    </row>
    <row r="208" spans="1:3">
      <c r="A208" s="261">
        <v>200</v>
      </c>
      <c r="B208" s="262" t="s">
        <v>181</v>
      </c>
      <c r="C208" s="260"/>
    </row>
    <row r="209" spans="1:3">
      <c r="A209" s="261">
        <v>201</v>
      </c>
      <c r="B209" s="262" t="s">
        <v>182</v>
      </c>
      <c r="C209" s="260"/>
    </row>
    <row r="210" spans="1:3">
      <c r="A210" s="261">
        <v>202</v>
      </c>
      <c r="B210" s="262" t="s">
        <v>183</v>
      </c>
      <c r="C210" s="260"/>
    </row>
    <row r="211" spans="1:3">
      <c r="A211" s="261">
        <v>203</v>
      </c>
      <c r="B211" s="262" t="s">
        <v>184</v>
      </c>
      <c r="C211" s="260"/>
    </row>
    <row r="212" spans="1:3">
      <c r="A212" s="261">
        <v>204</v>
      </c>
      <c r="B212" s="262" t="s">
        <v>185</v>
      </c>
      <c r="C212" s="260"/>
    </row>
    <row r="213" spans="1:3">
      <c r="A213" s="261">
        <v>205</v>
      </c>
      <c r="B213" s="262" t="s">
        <v>186</v>
      </c>
      <c r="C213" s="260"/>
    </row>
    <row r="214" spans="1:3">
      <c r="A214" s="261">
        <v>206</v>
      </c>
      <c r="B214" s="262" t="s">
        <v>187</v>
      </c>
      <c r="C214" s="260"/>
    </row>
    <row r="215" spans="1:3">
      <c r="A215" s="261">
        <v>207</v>
      </c>
      <c r="B215" s="262" t="s">
        <v>188</v>
      </c>
      <c r="C215" s="260"/>
    </row>
    <row r="216" spans="1:3">
      <c r="A216" s="261">
        <v>208</v>
      </c>
      <c r="B216" s="262" t="s">
        <v>189</v>
      </c>
      <c r="C216" s="260"/>
    </row>
    <row r="217" spans="1:3">
      <c r="A217" s="261">
        <v>209</v>
      </c>
      <c r="B217" s="262" t="s">
        <v>190</v>
      </c>
      <c r="C217" s="260"/>
    </row>
    <row r="218" spans="1:3">
      <c r="A218" s="261">
        <v>210</v>
      </c>
      <c r="B218" s="262" t="s">
        <v>191</v>
      </c>
      <c r="C218" s="260"/>
    </row>
    <row r="219" spans="1:3">
      <c r="A219" s="265" t="s">
        <v>192</v>
      </c>
      <c r="B219" s="264" t="s">
        <v>193</v>
      </c>
      <c r="C219" s="260"/>
    </row>
    <row r="220" spans="1:3">
      <c r="A220" s="266">
        <v>211</v>
      </c>
      <c r="B220" s="262" t="s">
        <v>194</v>
      </c>
      <c r="C220" s="260"/>
    </row>
    <row r="221" spans="1:3">
      <c r="A221" s="266">
        <v>212</v>
      </c>
      <c r="B221" s="262" t="s">
        <v>195</v>
      </c>
      <c r="C221" s="260"/>
    </row>
    <row r="222" spans="1:3">
      <c r="A222" s="266">
        <v>213</v>
      </c>
      <c r="B222" s="262" t="s">
        <v>196</v>
      </c>
      <c r="C222" s="260"/>
    </row>
    <row r="223" spans="1:3">
      <c r="A223" s="266">
        <v>214</v>
      </c>
      <c r="B223" s="262" t="s">
        <v>197</v>
      </c>
      <c r="C223" s="260"/>
    </row>
    <row r="224" spans="1:3">
      <c r="A224" s="266">
        <v>215</v>
      </c>
      <c r="B224" s="262" t="s">
        <v>198</v>
      </c>
      <c r="C224" s="260"/>
    </row>
    <row r="225" spans="1:3">
      <c r="A225" s="266">
        <v>216</v>
      </c>
      <c r="B225" s="262" t="s">
        <v>199</v>
      </c>
      <c r="C225" s="260"/>
    </row>
    <row r="226" spans="1:3">
      <c r="A226" s="267" t="s">
        <v>200</v>
      </c>
      <c r="B226" s="264" t="s">
        <v>201</v>
      </c>
      <c r="C226" s="260"/>
    </row>
    <row r="227" spans="1:3">
      <c r="A227" s="266">
        <v>217</v>
      </c>
      <c r="B227" s="262" t="s">
        <v>202</v>
      </c>
      <c r="C227" s="260"/>
    </row>
    <row r="228" spans="1:3">
      <c r="A228" s="266">
        <v>218</v>
      </c>
      <c r="B228" s="262" t="s">
        <v>203</v>
      </c>
      <c r="C228" s="260"/>
    </row>
    <row r="229" spans="1:3">
      <c r="A229" s="266">
        <v>219</v>
      </c>
      <c r="B229" s="262" t="s">
        <v>204</v>
      </c>
      <c r="C229" s="260"/>
    </row>
    <row r="230" spans="1:3">
      <c r="A230" s="266">
        <v>220</v>
      </c>
      <c r="B230" s="262" t="s">
        <v>205</v>
      </c>
      <c r="C230" s="260"/>
    </row>
    <row r="231" spans="1:3">
      <c r="A231" s="266">
        <v>221</v>
      </c>
      <c r="B231" s="262" t="s">
        <v>206</v>
      </c>
      <c r="C231" s="260"/>
    </row>
    <row r="232" spans="1:3">
      <c r="A232" s="266">
        <v>222</v>
      </c>
      <c r="B232" s="262" t="s">
        <v>207</v>
      </c>
      <c r="C232" s="260"/>
    </row>
    <row r="233" spans="1:3">
      <c r="A233" s="266">
        <v>223</v>
      </c>
      <c r="B233" s="262" t="s">
        <v>208</v>
      </c>
      <c r="C233" s="260"/>
    </row>
    <row r="234" spans="1:3">
      <c r="A234" s="266">
        <v>224</v>
      </c>
      <c r="B234" s="262" t="s">
        <v>209</v>
      </c>
      <c r="C234" s="260"/>
    </row>
    <row r="235" spans="1:3">
      <c r="A235" s="266">
        <v>225</v>
      </c>
      <c r="B235" s="262" t="s">
        <v>210</v>
      </c>
      <c r="C235" s="260"/>
    </row>
    <row r="236" spans="1:3">
      <c r="A236" s="266">
        <v>226</v>
      </c>
      <c r="B236" s="262"/>
      <c r="C236" s="260"/>
    </row>
    <row r="237" spans="1:3">
      <c r="A237" s="267" t="s">
        <v>211</v>
      </c>
      <c r="B237" s="264" t="s">
        <v>212</v>
      </c>
      <c r="C237" s="260"/>
    </row>
    <row r="238" spans="1:3">
      <c r="A238" s="266">
        <v>227</v>
      </c>
      <c r="B238" s="262" t="s">
        <v>213</v>
      </c>
      <c r="C238" s="260"/>
    </row>
    <row r="239" spans="1:3">
      <c r="A239" s="266">
        <v>228</v>
      </c>
      <c r="B239" s="262" t="s">
        <v>214</v>
      </c>
      <c r="C239" s="260"/>
    </row>
    <row r="240" spans="1:3">
      <c r="A240" s="266">
        <v>229</v>
      </c>
      <c r="B240" s="262" t="s">
        <v>215</v>
      </c>
      <c r="C240" s="260"/>
    </row>
    <row r="241" spans="1:3">
      <c r="A241" s="266">
        <v>230</v>
      </c>
      <c r="B241" s="262" t="s">
        <v>216</v>
      </c>
      <c r="C241" s="260"/>
    </row>
    <row r="242" spans="1:3">
      <c r="A242" s="266">
        <v>231</v>
      </c>
      <c r="B242" s="262" t="s">
        <v>217</v>
      </c>
      <c r="C242" s="260"/>
    </row>
    <row r="243" spans="1:3">
      <c r="A243" s="266">
        <v>232</v>
      </c>
      <c r="B243" s="262" t="s">
        <v>67</v>
      </c>
      <c r="C243" s="260"/>
    </row>
    <row r="244" spans="1:3">
      <c r="A244" s="266">
        <v>233</v>
      </c>
      <c r="B244" s="262"/>
      <c r="C244" s="260"/>
    </row>
    <row r="245" spans="1:3">
      <c r="A245" s="267" t="s">
        <v>218</v>
      </c>
      <c r="B245" s="264" t="s">
        <v>219</v>
      </c>
      <c r="C245" s="260"/>
    </row>
    <row r="246" spans="1:3">
      <c r="A246" s="261">
        <v>236</v>
      </c>
      <c r="B246" s="262" t="s">
        <v>220</v>
      </c>
      <c r="C246" s="260"/>
    </row>
    <row r="247" spans="1:3">
      <c r="A247" s="261">
        <v>237</v>
      </c>
      <c r="B247" s="262" t="s">
        <v>220</v>
      </c>
      <c r="C247" s="260"/>
    </row>
    <row r="248" spans="1:3">
      <c r="A248" s="261">
        <v>238</v>
      </c>
      <c r="B248" s="262" t="s">
        <v>220</v>
      </c>
      <c r="C248" s="260"/>
    </row>
    <row r="249" spans="1:3">
      <c r="A249" s="261">
        <v>239</v>
      </c>
      <c r="B249" s="262" t="s">
        <v>220</v>
      </c>
      <c r="C249" s="260"/>
    </row>
    <row r="250" spans="1:3">
      <c r="A250" s="261">
        <v>240</v>
      </c>
      <c r="B250" s="262" t="s">
        <v>220</v>
      </c>
      <c r="C250" s="260"/>
    </row>
    <row r="251" spans="1:3">
      <c r="A251" s="261">
        <v>241</v>
      </c>
      <c r="B251" s="262" t="s">
        <v>220</v>
      </c>
      <c r="C251" s="260"/>
    </row>
    <row r="252" spans="1:3">
      <c r="A252" s="261">
        <v>242</v>
      </c>
      <c r="B252" s="262" t="s">
        <v>220</v>
      </c>
      <c r="C252" s="260"/>
    </row>
    <row r="253" spans="1:3">
      <c r="A253" s="261">
        <v>243</v>
      </c>
      <c r="B253" s="262" t="s">
        <v>220</v>
      </c>
      <c r="C253" s="260"/>
    </row>
    <row r="254" spans="1:3">
      <c r="A254" s="261">
        <v>244</v>
      </c>
      <c r="B254" s="262" t="s">
        <v>220</v>
      </c>
      <c r="C254" s="260"/>
    </row>
    <row r="255" spans="1:3">
      <c r="A255" s="261">
        <v>245</v>
      </c>
      <c r="B255" s="262" t="s">
        <v>220</v>
      </c>
      <c r="C255" s="260"/>
    </row>
    <row r="256" spans="1:3">
      <c r="A256" s="261">
        <v>246</v>
      </c>
      <c r="B256" s="262"/>
      <c r="C256" s="260"/>
    </row>
    <row r="257" spans="1:3">
      <c r="A257" s="261">
        <v>247</v>
      </c>
      <c r="B257" s="262"/>
      <c r="C257" s="260"/>
    </row>
    <row r="258" spans="1:3">
      <c r="A258" s="261">
        <v>248</v>
      </c>
      <c r="B258" s="262"/>
      <c r="C258" s="260"/>
    </row>
    <row r="259" spans="1:3">
      <c r="A259" s="261">
        <v>249</v>
      </c>
      <c r="B259" s="262" t="s">
        <v>221</v>
      </c>
      <c r="C259" s="260"/>
    </row>
    <row r="260" spans="1:3">
      <c r="A260" s="261">
        <v>250</v>
      </c>
      <c r="B260" s="262" t="s">
        <v>222</v>
      </c>
      <c r="C260" s="260"/>
    </row>
    <row r="261" spans="1:3">
      <c r="A261" s="261">
        <v>251</v>
      </c>
      <c r="B261" s="262" t="s">
        <v>223</v>
      </c>
      <c r="C261" s="260"/>
    </row>
    <row r="262" spans="1:3">
      <c r="A262" s="261">
        <v>252</v>
      </c>
      <c r="B262" s="262" t="s">
        <v>224</v>
      </c>
      <c r="C262" s="260"/>
    </row>
    <row r="263" spans="1:3">
      <c r="A263" s="261">
        <v>253</v>
      </c>
      <c r="B263" s="262" t="s">
        <v>225</v>
      </c>
      <c r="C263" s="260"/>
    </row>
    <row r="264" spans="1:3">
      <c r="A264" s="261">
        <v>254</v>
      </c>
      <c r="B264" s="262" t="s">
        <v>221</v>
      </c>
      <c r="C264" s="260"/>
    </row>
    <row r="265" spans="1:3">
      <c r="A265" s="261">
        <v>255</v>
      </c>
      <c r="B265" s="262"/>
      <c r="C265" s="260"/>
    </row>
    <row r="266" spans="1:3">
      <c r="A266" s="261">
        <v>256</v>
      </c>
      <c r="B266" s="262"/>
      <c r="C266" s="260"/>
    </row>
    <row r="267" spans="1:3">
      <c r="A267" s="261">
        <v>257</v>
      </c>
      <c r="B267" s="262"/>
      <c r="C267" s="260"/>
    </row>
    <row r="268" spans="1:3">
      <c r="A268" s="261">
        <v>258</v>
      </c>
      <c r="B268" s="262" t="s">
        <v>226</v>
      </c>
      <c r="C268" s="260"/>
    </row>
    <row r="269" spans="1:3">
      <c r="A269" s="261">
        <v>259</v>
      </c>
      <c r="B269" s="262"/>
      <c r="C269" s="260"/>
    </row>
    <row r="270" spans="1:3">
      <c r="A270" s="261">
        <v>260</v>
      </c>
      <c r="B270" s="262"/>
      <c r="C270" s="260"/>
    </row>
    <row r="271" spans="1:3">
      <c r="A271" s="261">
        <v>261</v>
      </c>
      <c r="B271" s="262" t="s">
        <v>227</v>
      </c>
      <c r="C271" s="260"/>
    </row>
    <row r="272" spans="1:3">
      <c r="A272" s="261">
        <v>262</v>
      </c>
      <c r="B272" s="262" t="s">
        <v>228</v>
      </c>
      <c r="C272" s="260"/>
    </row>
    <row r="273" spans="1:3">
      <c r="A273" s="261">
        <v>263</v>
      </c>
      <c r="B273" s="262" t="s">
        <v>228</v>
      </c>
      <c r="C273" s="260"/>
    </row>
    <row r="274" spans="1:3">
      <c r="A274" s="261">
        <v>264</v>
      </c>
      <c r="B274" s="262"/>
      <c r="C274" s="260"/>
    </row>
    <row r="275" spans="1:3">
      <c r="A275" s="261">
        <v>265</v>
      </c>
      <c r="B275" s="262" t="s">
        <v>229</v>
      </c>
      <c r="C275" s="260"/>
    </row>
    <row r="276" spans="1:3">
      <c r="A276" s="261">
        <v>266</v>
      </c>
      <c r="B276" s="262" t="s">
        <v>229</v>
      </c>
      <c r="C276" s="260"/>
    </row>
    <row r="277" spans="1:3">
      <c r="A277" s="261">
        <v>267</v>
      </c>
      <c r="B277" s="262"/>
      <c r="C277" s="260"/>
    </row>
    <row r="278" spans="1:3">
      <c r="A278" s="261">
        <v>268</v>
      </c>
      <c r="B278" s="262" t="s">
        <v>230</v>
      </c>
      <c r="C278" s="260"/>
    </row>
    <row r="279" spans="1:3">
      <c r="A279" s="261">
        <v>269</v>
      </c>
      <c r="B279" s="262" t="s">
        <v>231</v>
      </c>
      <c r="C279" s="260"/>
    </row>
    <row r="280" spans="1:3">
      <c r="A280" s="261">
        <v>270</v>
      </c>
      <c r="B280" s="262" t="s">
        <v>232</v>
      </c>
      <c r="C280" s="260"/>
    </row>
    <row r="281" spans="1:3">
      <c r="A281" s="267" t="s">
        <v>233</v>
      </c>
      <c r="B281" s="264" t="s">
        <v>234</v>
      </c>
      <c r="C281" s="260"/>
    </row>
    <row r="282" spans="1:3">
      <c r="A282" s="261">
        <v>271</v>
      </c>
      <c r="B282" s="262" t="s">
        <v>235</v>
      </c>
      <c r="C282" s="260"/>
    </row>
    <row r="283" spans="1:3">
      <c r="A283" s="261">
        <v>272</v>
      </c>
      <c r="B283" s="262" t="s">
        <v>236</v>
      </c>
      <c r="C283" s="260"/>
    </row>
    <row r="284" spans="1:3">
      <c r="A284" s="261">
        <v>273</v>
      </c>
      <c r="B284" s="262" t="s">
        <v>237</v>
      </c>
      <c r="C284" s="260"/>
    </row>
    <row r="285" spans="1:3">
      <c r="A285" s="261">
        <v>274</v>
      </c>
      <c r="B285" s="262" t="s">
        <v>234</v>
      </c>
      <c r="C285" s="260"/>
    </row>
    <row r="286" spans="1:3">
      <c r="A286" s="261">
        <v>275</v>
      </c>
      <c r="B286" s="262" t="s">
        <v>234</v>
      </c>
      <c r="C286" s="260"/>
    </row>
    <row r="287" spans="1:3">
      <c r="A287" s="261">
        <v>276</v>
      </c>
      <c r="B287" s="268"/>
      <c r="C287" s="260"/>
    </row>
    <row r="288" spans="1:3">
      <c r="A288" s="267" t="s">
        <v>238</v>
      </c>
      <c r="B288" s="264"/>
      <c r="C288" s="260"/>
    </row>
    <row r="289" spans="1:3">
      <c r="A289" s="261">
        <v>277</v>
      </c>
      <c r="B289" s="262"/>
      <c r="C289" s="269"/>
    </row>
    <row r="290" spans="1:3">
      <c r="A290" s="261">
        <v>278</v>
      </c>
      <c r="B290" s="262"/>
      <c r="C290" s="269"/>
    </row>
    <row r="291" spans="1:3">
      <c r="A291" s="261">
        <v>279</v>
      </c>
      <c r="B291" s="262"/>
      <c r="C291" s="269"/>
    </row>
    <row r="292" spans="1:3">
      <c r="A292" s="261">
        <v>280</v>
      </c>
      <c r="B292" s="262"/>
      <c r="C292" s="269"/>
    </row>
    <row r="293" spans="1:3">
      <c r="A293" s="261">
        <v>281</v>
      </c>
      <c r="B293" s="262"/>
      <c r="C293" s="269"/>
    </row>
    <row r="294" spans="1:3">
      <c r="A294" s="263" t="s">
        <v>239</v>
      </c>
      <c r="B294" s="264"/>
      <c r="C294" s="260"/>
    </row>
    <row r="295" spans="1:3">
      <c r="A295" s="261">
        <v>282</v>
      </c>
      <c r="B295" s="262"/>
      <c r="C295" s="260"/>
    </row>
    <row r="296" spans="1:3">
      <c r="A296" s="261">
        <v>283</v>
      </c>
      <c r="B296" s="262"/>
      <c r="C296" s="260"/>
    </row>
    <row r="297" spans="1:3">
      <c r="A297" s="261">
        <v>284</v>
      </c>
      <c r="B297" s="262"/>
      <c r="C297" s="260"/>
    </row>
    <row r="298" spans="1:3">
      <c r="A298" s="261">
        <v>285</v>
      </c>
      <c r="B298" s="262"/>
      <c r="C298" s="260"/>
    </row>
    <row r="299" spans="1:3">
      <c r="A299" s="261">
        <v>286</v>
      </c>
      <c r="B299" s="262"/>
      <c r="C299" s="260"/>
    </row>
    <row r="300" spans="1:3">
      <c r="A300" s="261">
        <v>287</v>
      </c>
      <c r="B300" s="262"/>
      <c r="C300" s="260"/>
    </row>
    <row r="301" spans="1:3">
      <c r="A301" s="261">
        <v>288</v>
      </c>
      <c r="B301" s="262"/>
      <c r="C301" s="260"/>
    </row>
    <row r="302" spans="1:3">
      <c r="A302" s="261">
        <v>289</v>
      </c>
      <c r="B302" s="262"/>
      <c r="C302" s="260"/>
    </row>
    <row r="303" spans="1:3">
      <c r="A303" s="261">
        <v>290</v>
      </c>
      <c r="B303" s="262"/>
      <c r="C303" s="260"/>
    </row>
    <row r="304" spans="1:3">
      <c r="A304" s="261">
        <v>291</v>
      </c>
      <c r="B304" s="262"/>
      <c r="C304" s="260"/>
    </row>
    <row r="305" spans="1:3">
      <c r="A305" s="261">
        <v>292</v>
      </c>
      <c r="B305" s="262"/>
      <c r="C305" s="260"/>
    </row>
    <row r="306" spans="1:3">
      <c r="A306" s="261">
        <v>293</v>
      </c>
      <c r="B306" s="262"/>
      <c r="C306" s="260"/>
    </row>
    <row r="307" spans="1:3">
      <c r="A307" s="261">
        <v>294</v>
      </c>
      <c r="B307" s="262"/>
      <c r="C307" s="260"/>
    </row>
    <row r="308" spans="1:3">
      <c r="A308" s="261">
        <v>295</v>
      </c>
      <c r="B308" s="262"/>
      <c r="C308" s="260"/>
    </row>
    <row r="309" spans="1:3">
      <c r="A309" s="261">
        <v>296</v>
      </c>
      <c r="B309" s="262"/>
      <c r="C309" s="260"/>
    </row>
    <row r="310" spans="1:3">
      <c r="A310" s="261">
        <v>297</v>
      </c>
      <c r="B310" s="262"/>
      <c r="C310" s="260"/>
    </row>
    <row r="311" spans="1:3">
      <c r="A311" s="261">
        <v>298</v>
      </c>
      <c r="B311" s="262"/>
      <c r="C311" s="260"/>
    </row>
    <row r="312" spans="1:3">
      <c r="A312" s="261">
        <v>299</v>
      </c>
      <c r="B312" s="262"/>
      <c r="C312" s="260"/>
    </row>
    <row r="313" spans="1:3">
      <c r="A313" s="261">
        <v>300</v>
      </c>
      <c r="B313" s="262"/>
      <c r="C313" s="260"/>
    </row>
    <row r="314" spans="1:3">
      <c r="A314" s="261">
        <v>301</v>
      </c>
      <c r="B314" s="262"/>
      <c r="C314" s="260"/>
    </row>
    <row r="315" spans="1:3">
      <c r="A315" s="261">
        <v>302</v>
      </c>
      <c r="B315" s="262"/>
      <c r="C315" s="260"/>
    </row>
    <row r="316" spans="1:3">
      <c r="A316" s="261">
        <v>303</v>
      </c>
      <c r="B316" s="262"/>
      <c r="C316" s="260"/>
    </row>
    <row r="317" spans="1:3">
      <c r="A317" s="261">
        <v>304</v>
      </c>
      <c r="B317" s="262"/>
      <c r="C317" s="260"/>
    </row>
    <row r="318" spans="1:3">
      <c r="A318" s="261">
        <v>305</v>
      </c>
      <c r="B318" s="262"/>
      <c r="C318" s="260"/>
    </row>
    <row r="319" spans="1:3">
      <c r="A319" s="261">
        <v>306</v>
      </c>
      <c r="B319" s="262"/>
      <c r="C319" s="260"/>
    </row>
    <row r="320" spans="1:3">
      <c r="A320" s="261">
        <v>307</v>
      </c>
      <c r="B320" s="262"/>
      <c r="C320" s="260"/>
    </row>
    <row r="321" spans="1:3">
      <c r="A321" s="261">
        <v>308</v>
      </c>
      <c r="B321" s="262"/>
      <c r="C321" s="260"/>
    </row>
    <row r="322" spans="1:3">
      <c r="A322" s="261">
        <v>309</v>
      </c>
      <c r="B322" s="262"/>
      <c r="C322" s="260"/>
    </row>
    <row r="323" spans="1:3">
      <c r="A323" s="261">
        <v>310</v>
      </c>
      <c r="B323" s="262" t="s">
        <v>240</v>
      </c>
      <c r="C323" s="260"/>
    </row>
    <row r="324" spans="1:3">
      <c r="A324" s="261">
        <v>311</v>
      </c>
      <c r="B324" s="262"/>
      <c r="C324" s="260"/>
    </row>
    <row r="325" spans="1:3">
      <c r="A325" s="261">
        <v>312</v>
      </c>
      <c r="B325" s="262"/>
      <c r="C325" s="260"/>
    </row>
    <row r="326" spans="1:3">
      <c r="A326" s="261">
        <v>313</v>
      </c>
      <c r="B326" s="262"/>
      <c r="C326" s="260"/>
    </row>
    <row r="327" spans="1:3">
      <c r="A327" s="261">
        <v>314</v>
      </c>
      <c r="B327" s="262"/>
      <c r="C327" s="260"/>
    </row>
    <row r="328" spans="1:3">
      <c r="A328" s="261">
        <v>315</v>
      </c>
      <c r="B328" s="262"/>
      <c r="C328" s="260"/>
    </row>
    <row r="329" spans="1:3">
      <c r="A329" s="261">
        <v>316</v>
      </c>
      <c r="B329" s="262"/>
      <c r="C329" s="260"/>
    </row>
    <row r="330" spans="1:3">
      <c r="A330" s="261">
        <v>317</v>
      </c>
      <c r="B330" s="262"/>
      <c r="C330" s="260"/>
    </row>
    <row r="331" spans="1:3">
      <c r="A331" s="261">
        <v>318</v>
      </c>
      <c r="B331" s="262" t="s">
        <v>241</v>
      </c>
      <c r="C331" s="260"/>
    </row>
    <row r="332" spans="1:3">
      <c r="A332" s="261">
        <v>319</v>
      </c>
      <c r="B332" s="262"/>
      <c r="C332" s="260"/>
    </row>
    <row r="333" spans="1:3">
      <c r="A333" s="261">
        <v>320</v>
      </c>
      <c r="B333" s="262"/>
      <c r="C333" s="260"/>
    </row>
    <row r="334" spans="1:3">
      <c r="A334" s="261">
        <v>321</v>
      </c>
      <c r="B334" s="262"/>
      <c r="C334" s="260"/>
    </row>
    <row r="335" spans="1:3">
      <c r="A335" s="261">
        <v>322</v>
      </c>
      <c r="B335" s="262"/>
      <c r="C335" s="260"/>
    </row>
    <row r="336" spans="1:3">
      <c r="A336" s="261">
        <v>323</v>
      </c>
      <c r="B336" s="262"/>
      <c r="C336" s="260"/>
    </row>
    <row r="337" spans="1:3">
      <c r="A337" s="261">
        <v>324</v>
      </c>
      <c r="B337" s="262"/>
      <c r="C337" s="260"/>
    </row>
    <row r="338" spans="1:3">
      <c r="A338" s="261">
        <v>325</v>
      </c>
      <c r="B338" s="262"/>
      <c r="C338" s="260"/>
    </row>
    <row r="339" spans="1:3">
      <c r="A339" s="261">
        <v>326</v>
      </c>
      <c r="B339" s="262"/>
      <c r="C339" s="260"/>
    </row>
    <row r="340" spans="1:3">
      <c r="A340" s="261">
        <v>327</v>
      </c>
      <c r="B340" s="262"/>
      <c r="C340" s="260"/>
    </row>
    <row r="341" spans="1:3">
      <c r="A341" s="261">
        <v>328</v>
      </c>
      <c r="B341" s="262"/>
      <c r="C341" s="260"/>
    </row>
    <row r="342" spans="1:3">
      <c r="A342" s="261">
        <v>329</v>
      </c>
      <c r="B342" s="262"/>
      <c r="C342" s="260"/>
    </row>
    <row r="343" spans="1:3">
      <c r="A343" s="270" t="s">
        <v>352</v>
      </c>
      <c r="B343" s="271" t="s">
        <v>353</v>
      </c>
      <c r="C343" s="260"/>
    </row>
    <row r="344" spans="1:3">
      <c r="A344" s="270" t="s">
        <v>354</v>
      </c>
      <c r="B344" s="271" t="s">
        <v>355</v>
      </c>
      <c r="C344" s="260"/>
    </row>
    <row r="345" spans="1:3">
      <c r="A345" s="270" t="s">
        <v>356</v>
      </c>
      <c r="B345" s="271" t="s">
        <v>357</v>
      </c>
      <c r="C345" s="260"/>
    </row>
    <row r="346" spans="1:3">
      <c r="A346" s="270" t="s">
        <v>358</v>
      </c>
      <c r="B346" s="271" t="s">
        <v>359</v>
      </c>
      <c r="C346" s="260"/>
    </row>
    <row r="347" spans="1:3">
      <c r="A347" s="270" t="s">
        <v>360</v>
      </c>
      <c r="B347" s="271" t="s">
        <v>361</v>
      </c>
      <c r="C347" s="260"/>
    </row>
    <row r="348" spans="1:3">
      <c r="A348" s="270" t="s">
        <v>362</v>
      </c>
      <c r="B348" s="271" t="s">
        <v>363</v>
      </c>
      <c r="C348" s="260"/>
    </row>
    <row r="349" spans="1:3">
      <c r="A349" s="270" t="s">
        <v>364</v>
      </c>
      <c r="B349" s="271" t="s">
        <v>365</v>
      </c>
      <c r="C349" s="260"/>
    </row>
    <row r="350" spans="1:3">
      <c r="A350" s="270" t="s">
        <v>366</v>
      </c>
      <c r="B350" s="271" t="s">
        <v>367</v>
      </c>
      <c r="C350" s="260"/>
    </row>
    <row r="351" spans="1:3">
      <c r="A351" s="270" t="s">
        <v>368</v>
      </c>
      <c r="B351" s="271" t="s">
        <v>369</v>
      </c>
      <c r="C351" s="260"/>
    </row>
    <row r="352" spans="1:3">
      <c r="A352" s="270" t="s">
        <v>370</v>
      </c>
      <c r="B352" s="271" t="s">
        <v>371</v>
      </c>
      <c r="C352" s="260"/>
    </row>
    <row r="353" spans="1:3">
      <c r="A353" s="270" t="s">
        <v>372</v>
      </c>
      <c r="B353" s="271" t="s">
        <v>373</v>
      </c>
      <c r="C353" s="260"/>
    </row>
    <row r="354" spans="1:3">
      <c r="A354" s="270" t="s">
        <v>374</v>
      </c>
      <c r="B354" s="271" t="s">
        <v>375</v>
      </c>
      <c r="C354" s="260"/>
    </row>
    <row r="355" spans="1:3">
      <c r="A355" s="270" t="s">
        <v>376</v>
      </c>
      <c r="B355" s="271" t="s">
        <v>377</v>
      </c>
      <c r="C355" s="260"/>
    </row>
    <row r="356" spans="1:3">
      <c r="A356" s="270" t="s">
        <v>378</v>
      </c>
      <c r="B356" s="271" t="s">
        <v>379</v>
      </c>
      <c r="C356" s="260"/>
    </row>
    <row r="357" spans="1:3">
      <c r="A357" s="270" t="s">
        <v>380</v>
      </c>
      <c r="B357" s="271" t="s">
        <v>381</v>
      </c>
      <c r="C357" s="260"/>
    </row>
    <row r="358" spans="1:3">
      <c r="A358" s="270" t="s">
        <v>382</v>
      </c>
      <c r="B358" s="271" t="s">
        <v>240</v>
      </c>
      <c r="C358" s="260"/>
    </row>
    <row r="359" spans="1:3">
      <c r="A359" s="270" t="s">
        <v>383</v>
      </c>
      <c r="B359" s="271" t="s">
        <v>379</v>
      </c>
      <c r="C359" s="260"/>
    </row>
    <row r="360" spans="1:3">
      <c r="A360" s="270" t="s">
        <v>384</v>
      </c>
      <c r="B360" s="271"/>
      <c r="C360" s="260"/>
    </row>
    <row r="361" spans="1:3">
      <c r="A361" s="270" t="s">
        <v>385</v>
      </c>
      <c r="B361" s="271" t="s">
        <v>386</v>
      </c>
      <c r="C361" s="260"/>
    </row>
    <row r="362" spans="1:3">
      <c r="A362" s="270" t="s">
        <v>387</v>
      </c>
      <c r="B362" s="271" t="s">
        <v>388</v>
      </c>
      <c r="C362" s="260"/>
    </row>
    <row r="363" spans="1:3">
      <c r="A363" s="261" t="s">
        <v>344</v>
      </c>
      <c r="B363" s="18" t="s">
        <v>389</v>
      </c>
      <c r="C363" s="260"/>
    </row>
    <row r="364" spans="1:3">
      <c r="A364" s="272" t="s">
        <v>390</v>
      </c>
      <c r="B364" s="273" t="s">
        <v>391</v>
      </c>
      <c r="C364" s="260"/>
    </row>
    <row r="365" spans="1:3">
      <c r="A365" s="272"/>
      <c r="B365" s="273"/>
      <c r="C365" s="260"/>
    </row>
    <row r="366" spans="1:3">
      <c r="A366" s="272"/>
      <c r="B366" s="273"/>
      <c r="C366" s="260"/>
    </row>
    <row r="367" spans="1:3">
      <c r="A367" s="272"/>
      <c r="B367" s="273"/>
      <c r="C367" s="260"/>
    </row>
    <row r="368" spans="1:3">
      <c r="A368" s="272"/>
      <c r="B368" s="273"/>
      <c r="C368" s="260"/>
    </row>
    <row r="369" spans="1:3">
      <c r="A369" s="272"/>
      <c r="B369" s="273"/>
      <c r="C369" s="260"/>
    </row>
    <row r="370" spans="1:3">
      <c r="A370" s="272"/>
      <c r="B370" s="273"/>
      <c r="C370" s="260"/>
    </row>
    <row r="371" spans="1:3">
      <c r="A371" s="272"/>
      <c r="B371" s="273"/>
      <c r="C371" s="260"/>
    </row>
    <row r="372" spans="1:3">
      <c r="A372" s="272"/>
      <c r="B372" s="273"/>
      <c r="C372" s="260"/>
    </row>
    <row r="373" spans="1:3">
      <c r="A373" s="272"/>
      <c r="B373" s="273"/>
      <c r="C373" s="260"/>
    </row>
    <row r="374" spans="1:3">
      <c r="A374" s="272"/>
      <c r="B374" s="273"/>
      <c r="C374" s="260"/>
    </row>
    <row r="375" spans="1:3">
      <c r="A375" s="274"/>
      <c r="B375" s="274"/>
      <c r="C375" s="260"/>
    </row>
  </sheetData>
  <pageMargins left="0.7" right="0.7" top="0.75" bottom="0.75" header="0.3" footer="0.3"/>
  <pageSetup orientation="portrait" horizontalDpi="0" verticalDpi="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0D7F2-C212-DE4D-A5CD-F873F65C62B3}">
  <sheetPr codeName="Sheet3"/>
  <dimension ref="B1:H124"/>
  <sheetViews>
    <sheetView topLeftCell="B11" workbookViewId="0">
      <selection activeCell="F15" sqref="F15:F17"/>
    </sheetView>
    <sheetView workbookViewId="1">
      <selection activeCell="F19" sqref="F19"/>
    </sheetView>
  </sheetViews>
  <sheetFormatPr baseColWidth="10" defaultRowHeight="16"/>
  <cols>
    <col min="1" max="1" width="1.83203125" customWidth="1"/>
    <col min="2" max="2" width="16.83203125" customWidth="1"/>
    <col min="3" max="3" width="13.6640625" customWidth="1"/>
    <col min="4" max="4" width="19.6640625" customWidth="1"/>
    <col min="6" max="6" width="22.33203125" customWidth="1"/>
  </cols>
  <sheetData>
    <row r="1" spans="2:7" ht="17" thickBot="1">
      <c r="B1" s="21" t="s">
        <v>244</v>
      </c>
      <c r="C1" s="21"/>
      <c r="D1" s="22"/>
    </row>
    <row r="2" spans="2:7" ht="17" thickBot="1">
      <c r="B2" s="23" t="s">
        <v>245</v>
      </c>
      <c r="C2" s="26"/>
      <c r="D2" s="20"/>
    </row>
    <row r="3" spans="2:7" ht="17" thickBot="1">
      <c r="B3" s="23" t="s">
        <v>246</v>
      </c>
      <c r="C3" s="26"/>
      <c r="D3" s="20"/>
    </row>
    <row r="5" spans="2:7">
      <c r="B5" s="21" t="s">
        <v>247</v>
      </c>
      <c r="C5" s="21"/>
      <c r="D5" s="22"/>
    </row>
    <row r="6" spans="2:7">
      <c r="B6" s="24" t="s">
        <v>249</v>
      </c>
      <c r="C6" s="24"/>
      <c r="D6" s="22"/>
    </row>
    <row r="7" spans="2:7" ht="17" thickBot="1">
      <c r="B7" s="27" t="s">
        <v>250</v>
      </c>
      <c r="C7" s="27"/>
    </row>
    <row r="8" spans="2:7" ht="17" thickBot="1">
      <c r="B8" s="25">
        <v>2403</v>
      </c>
      <c r="C8" s="27"/>
    </row>
    <row r="9" spans="2:7" ht="17" thickBot="1">
      <c r="B9" s="24" t="s">
        <v>251</v>
      </c>
      <c r="C9" s="24"/>
      <c r="D9" s="22"/>
    </row>
    <row r="10" spans="2:7" ht="17" thickBot="1">
      <c r="B10" s="19"/>
      <c r="C10" s="28">
        <v>1</v>
      </c>
      <c r="D10" s="28">
        <v>100</v>
      </c>
    </row>
    <row r="11" spans="2:7" ht="17" thickBot="1">
      <c r="B11" s="24" t="s">
        <v>252</v>
      </c>
      <c r="C11" s="29"/>
      <c r="D11" s="29"/>
    </row>
    <row r="12" spans="2:7" ht="17" thickBot="1">
      <c r="B12" s="19"/>
      <c r="C12" s="28" t="s">
        <v>253</v>
      </c>
      <c r="D12" s="28" t="s">
        <v>254</v>
      </c>
    </row>
    <row r="13" spans="2:7" ht="17" thickBot="1"/>
    <row r="14" spans="2:7" ht="17" thickBot="1">
      <c r="B14" s="201" t="s">
        <v>255</v>
      </c>
      <c r="C14" s="202"/>
      <c r="D14" s="203"/>
      <c r="F14" s="34" t="s">
        <v>248</v>
      </c>
      <c r="G14" s="19"/>
    </row>
    <row r="15" spans="2:7" ht="17" thickBot="1">
      <c r="B15" s="30">
        <v>2499</v>
      </c>
      <c r="F15" s="33" t="str" cm="1">
        <f t="array" ref="F15:F17">Prefix &amp; "-" &amp; TEXT(_xlfn.SEQUENCE(C17 - B17 + 1, 1, B17, 1), "000")</f>
        <v>2499-006</v>
      </c>
    </row>
    <row r="16" spans="2:7" ht="17" thickBot="1">
      <c r="B16" s="204" t="s">
        <v>256</v>
      </c>
      <c r="C16" s="205"/>
      <c r="D16" s="206"/>
      <c r="F16" s="35" t="str">
        <v>2499-007</v>
      </c>
    </row>
    <row r="17" spans="2:8" ht="17" thickBot="1">
      <c r="B17" s="31">
        <v>6</v>
      </c>
      <c r="C17" s="32">
        <v>8</v>
      </c>
      <c r="F17" s="36" t="str">
        <v>2499-008</v>
      </c>
    </row>
    <row r="18" spans="2:8">
      <c r="F18" s="36"/>
    </row>
    <row r="19" spans="2:8">
      <c r="F19" s="36"/>
      <c r="H19" s="19" t="s">
        <v>257</v>
      </c>
    </row>
    <row r="20" spans="2:8">
      <c r="F20" s="36"/>
    </row>
    <row r="21" spans="2:8">
      <c r="F21" s="36"/>
    </row>
    <row r="22" spans="2:8">
      <c r="F22" s="36"/>
    </row>
    <row r="23" spans="2:8">
      <c r="F23" s="36"/>
    </row>
    <row r="24" spans="2:8">
      <c r="F24" s="36"/>
    </row>
    <row r="25" spans="2:8">
      <c r="F25" s="36"/>
    </row>
    <row r="26" spans="2:8">
      <c r="F26" s="36"/>
    </row>
    <row r="27" spans="2:8">
      <c r="F27" s="36"/>
    </row>
    <row r="28" spans="2:8">
      <c r="F28" s="36"/>
    </row>
    <row r="29" spans="2:8">
      <c r="F29" s="36"/>
    </row>
    <row r="30" spans="2:8">
      <c r="F30" s="36"/>
    </row>
    <row r="31" spans="2:8">
      <c r="F31" s="36"/>
    </row>
    <row r="32" spans="2:8">
      <c r="F32" s="36"/>
    </row>
    <row r="33" spans="6:6">
      <c r="F33" s="36"/>
    </row>
    <row r="34" spans="6:6">
      <c r="F34" s="36"/>
    </row>
    <row r="35" spans="6:6">
      <c r="F35" s="36"/>
    </row>
    <row r="36" spans="6:6">
      <c r="F36" s="36"/>
    </row>
    <row r="37" spans="6:6">
      <c r="F37" s="36"/>
    </row>
    <row r="38" spans="6:6">
      <c r="F38" s="36"/>
    </row>
    <row r="39" spans="6:6">
      <c r="F39" s="36"/>
    </row>
    <row r="40" spans="6:6">
      <c r="F40" s="36"/>
    </row>
    <row r="41" spans="6:6">
      <c r="F41" s="36"/>
    </row>
    <row r="42" spans="6:6">
      <c r="F42" s="36"/>
    </row>
    <row r="43" spans="6:6">
      <c r="F43" s="36"/>
    </row>
    <row r="44" spans="6:6">
      <c r="F44" s="36"/>
    </row>
    <row r="45" spans="6:6">
      <c r="F45" s="36"/>
    </row>
    <row r="46" spans="6:6">
      <c r="F46" s="36"/>
    </row>
    <row r="47" spans="6:6">
      <c r="F47" s="36"/>
    </row>
    <row r="48" spans="6:6">
      <c r="F48" s="36"/>
    </row>
    <row r="49" spans="6:6">
      <c r="F49" s="36"/>
    </row>
    <row r="50" spans="6:6">
      <c r="F50" s="36"/>
    </row>
    <row r="51" spans="6:6">
      <c r="F51" s="36"/>
    </row>
    <row r="52" spans="6:6">
      <c r="F52" s="36"/>
    </row>
    <row r="53" spans="6:6">
      <c r="F53" s="36"/>
    </row>
    <row r="54" spans="6:6">
      <c r="F54" s="36"/>
    </row>
    <row r="55" spans="6:6">
      <c r="F55" s="36"/>
    </row>
    <row r="56" spans="6:6">
      <c r="F56" s="36"/>
    </row>
    <row r="57" spans="6:6">
      <c r="F57" s="36"/>
    </row>
    <row r="58" spans="6:6">
      <c r="F58" s="36"/>
    </row>
    <row r="59" spans="6:6">
      <c r="F59" s="36"/>
    </row>
    <row r="60" spans="6:6">
      <c r="F60" s="36"/>
    </row>
    <row r="61" spans="6:6">
      <c r="F61" s="36"/>
    </row>
    <row r="62" spans="6:6">
      <c r="F62" s="36"/>
    </row>
    <row r="63" spans="6:6">
      <c r="F63" s="36"/>
    </row>
    <row r="64" spans="6:6">
      <c r="F64" s="36"/>
    </row>
    <row r="65" spans="6:6">
      <c r="F65" s="36"/>
    </row>
    <row r="66" spans="6:6">
      <c r="F66" s="36"/>
    </row>
    <row r="67" spans="6:6">
      <c r="F67" s="36"/>
    </row>
    <row r="68" spans="6:6">
      <c r="F68" s="36"/>
    </row>
    <row r="69" spans="6:6">
      <c r="F69" s="36"/>
    </row>
    <row r="70" spans="6:6">
      <c r="F70" s="36"/>
    </row>
    <row r="71" spans="6:6">
      <c r="F71" s="36"/>
    </row>
    <row r="72" spans="6:6">
      <c r="F72" s="36"/>
    </row>
    <row r="73" spans="6:6">
      <c r="F73" s="36"/>
    </row>
    <row r="74" spans="6:6">
      <c r="F74" s="36"/>
    </row>
    <row r="75" spans="6:6">
      <c r="F75" s="36"/>
    </row>
    <row r="76" spans="6:6">
      <c r="F76" s="36"/>
    </row>
    <row r="77" spans="6:6">
      <c r="F77" s="36"/>
    </row>
    <row r="78" spans="6:6">
      <c r="F78" s="36"/>
    </row>
    <row r="79" spans="6:6">
      <c r="F79" s="36"/>
    </row>
    <row r="80" spans="6:6">
      <c r="F80" s="36"/>
    </row>
    <row r="81" spans="6:6">
      <c r="F81" s="36"/>
    </row>
    <row r="82" spans="6:6">
      <c r="F82" s="36"/>
    </row>
    <row r="83" spans="6:6">
      <c r="F83" s="36"/>
    </row>
    <row r="84" spans="6:6">
      <c r="F84" s="36"/>
    </row>
    <row r="85" spans="6:6">
      <c r="F85" s="36"/>
    </row>
    <row r="86" spans="6:6">
      <c r="F86" s="36"/>
    </row>
    <row r="87" spans="6:6">
      <c r="F87" s="36"/>
    </row>
    <row r="88" spans="6:6">
      <c r="F88" s="36"/>
    </row>
    <row r="89" spans="6:6">
      <c r="F89" s="36"/>
    </row>
    <row r="90" spans="6:6">
      <c r="F90" s="36"/>
    </row>
    <row r="91" spans="6:6">
      <c r="F91" s="36"/>
    </row>
    <row r="92" spans="6:6">
      <c r="F92" s="36"/>
    </row>
    <row r="93" spans="6:6">
      <c r="F93" s="36"/>
    </row>
    <row r="94" spans="6:6">
      <c r="F94" s="36"/>
    </row>
    <row r="95" spans="6:6">
      <c r="F95" s="36"/>
    </row>
    <row r="96" spans="6:6">
      <c r="F96" s="36"/>
    </row>
    <row r="97" spans="6:6">
      <c r="F97" s="36"/>
    </row>
    <row r="98" spans="6:6">
      <c r="F98" s="36"/>
    </row>
    <row r="99" spans="6:6">
      <c r="F99" s="36"/>
    </row>
    <row r="100" spans="6:6">
      <c r="F100" s="36"/>
    </row>
    <row r="101" spans="6:6">
      <c r="F101" s="36"/>
    </row>
    <row r="102" spans="6:6">
      <c r="F102" s="36"/>
    </row>
    <row r="103" spans="6:6">
      <c r="F103" s="36"/>
    </row>
    <row r="104" spans="6:6">
      <c r="F104" s="36"/>
    </row>
    <row r="105" spans="6:6">
      <c r="F105" s="36"/>
    </row>
    <row r="106" spans="6:6">
      <c r="F106" s="36"/>
    </row>
    <row r="107" spans="6:6">
      <c r="F107" s="36"/>
    </row>
    <row r="108" spans="6:6">
      <c r="F108" s="36"/>
    </row>
    <row r="109" spans="6:6">
      <c r="F109" s="36"/>
    </row>
    <row r="110" spans="6:6">
      <c r="F110" s="36"/>
    </row>
    <row r="111" spans="6:6">
      <c r="F111" s="36"/>
    </row>
    <row r="112" spans="6:6">
      <c r="F112" s="36"/>
    </row>
    <row r="113" spans="6:6">
      <c r="F113" s="36"/>
    </row>
    <row r="114" spans="6:6">
      <c r="F114" s="36"/>
    </row>
    <row r="115" spans="6:6">
      <c r="F115" s="36"/>
    </row>
    <row r="116" spans="6:6">
      <c r="F116" s="36"/>
    </row>
    <row r="117" spans="6:6">
      <c r="F117" s="36"/>
    </row>
    <row r="118" spans="6:6">
      <c r="F118" s="36"/>
    </row>
    <row r="119" spans="6:6">
      <c r="F119" s="36"/>
    </row>
    <row r="120" spans="6:6">
      <c r="F120" s="36"/>
    </row>
    <row r="121" spans="6:6">
      <c r="F121" s="36"/>
    </row>
    <row r="122" spans="6:6">
      <c r="F122" s="36"/>
    </row>
    <row r="123" spans="6:6">
      <c r="F123" s="36"/>
    </row>
    <row r="124" spans="6:6" ht="17" thickBot="1">
      <c r="F124" s="37"/>
    </row>
  </sheetData>
  <mergeCells count="2">
    <mergeCell ref="B14:D14"/>
    <mergeCell ref="B16:D16"/>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5122" r:id="rId3" name="Button 2">
              <controlPr defaultSize="0" print="0" autoFill="0" autoPict="0" macro="[0]!GeneratePOSheets" altText="Generate POs_x000a_">
                <anchor moveWithCells="1" sizeWithCells="1">
                  <from>
                    <xdr:col>7</xdr:col>
                    <xdr:colOff>381000</xdr:colOff>
                    <xdr:row>13</xdr:row>
                    <xdr:rowOff>114300</xdr:rowOff>
                  </from>
                  <to>
                    <xdr:col>9</xdr:col>
                    <xdr:colOff>254000</xdr:colOff>
                    <xdr:row>15</xdr:row>
                    <xdr:rowOff>63500</xdr:rowOff>
                  </to>
                </anchor>
              </controlPr>
            </control>
          </mc:Choice>
        </mc:AlternateContent>
        <mc:AlternateContent xmlns:mc="http://schemas.openxmlformats.org/markup-compatibility/2006">
          <mc:Choice Requires="x14">
            <control shapeId="5123" r:id="rId4" name="Button 3">
              <controlPr defaultSize="0" print="0" autoFill="0" autoPict="0" macro="[0]!DeletePOSheets">
                <anchor moveWithCells="1" sizeWithCells="1">
                  <from>
                    <xdr:col>7</xdr:col>
                    <xdr:colOff>635000</xdr:colOff>
                    <xdr:row>20</xdr:row>
                    <xdr:rowOff>165100</xdr:rowOff>
                  </from>
                  <to>
                    <xdr:col>9</xdr:col>
                    <xdr:colOff>508000</xdr:colOff>
                    <xdr:row>22</xdr:row>
                    <xdr:rowOff>139700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CFA28-89B5-0B47-A4B8-071A592096E2}">
  <sheetPr codeName="Sheet12"/>
  <dimension ref="A1:N44"/>
  <sheetViews>
    <sheetView tabSelected="1" zoomScale="86" workbookViewId="0">
      <pane xSplit="9" ySplit="3" topLeftCell="J4" activePane="bottomRight" state="frozen"/>
      <selection pane="topRight" activeCell="J1" sqref="J1"/>
      <selection pane="bottomLeft" activeCell="A3" sqref="A3"/>
      <selection pane="bottomRight" activeCell="O1" sqref="O1:XFD1048576"/>
    </sheetView>
    <sheetView tabSelected="1" zoomScaleNormal="100" workbookViewId="1">
      <pane ySplit="1" topLeftCell="A2" activePane="bottomLeft" state="frozen"/>
      <selection pane="bottomLeft" activeCell="C31" sqref="C31"/>
    </sheetView>
  </sheetViews>
  <sheetFormatPr baseColWidth="10" defaultRowHeight="16"/>
  <cols>
    <col min="1" max="1" width="1.83203125" style="310" customWidth="1"/>
    <col min="2" max="2" width="11" style="298" customWidth="1"/>
    <col min="3" max="3" width="28.1640625" style="284" customWidth="1"/>
    <col min="4" max="4" width="10.83203125" style="284"/>
    <col min="5" max="5" width="10.83203125" style="284" customWidth="1"/>
    <col min="6" max="6" width="15.33203125" style="284" customWidth="1"/>
    <col min="7" max="7" width="26.6640625" style="282" customWidth="1"/>
    <col min="8" max="8" width="41.5" style="284" customWidth="1"/>
    <col min="9" max="9" width="20.33203125" style="299" customWidth="1"/>
    <col min="10" max="10" width="4.33203125" customWidth="1"/>
  </cols>
  <sheetData>
    <row r="1" spans="1:14" ht="25" thickBot="1">
      <c r="B1" s="279" t="s">
        <v>21</v>
      </c>
      <c r="C1" s="280">
        <f ca="1">SUM(INDEX(PO_Log, 2, 7):INDEX(PO_Log, ROWS(PO_Log)-1, 7))</f>
        <v>16000</v>
      </c>
      <c r="D1" s="285"/>
      <c r="E1" s="285"/>
      <c r="F1" s="312"/>
      <c r="G1" s="283"/>
      <c r="H1" s="285"/>
      <c r="I1" s="285"/>
    </row>
    <row r="2" spans="1:14" ht="29" customHeight="1">
      <c r="B2" s="286"/>
      <c r="C2" s="286"/>
      <c r="D2" s="286"/>
      <c r="E2" s="286"/>
      <c r="F2" s="286"/>
      <c r="G2" s="286"/>
      <c r="H2" s="286"/>
      <c r="I2" s="286"/>
    </row>
    <row r="3" spans="1:14" hidden="1">
      <c r="B3" s="285"/>
      <c r="C3" s="287"/>
      <c r="D3" s="287"/>
      <c r="E3" s="288"/>
      <c r="F3" s="287"/>
      <c r="G3" s="289"/>
      <c r="H3" s="287"/>
      <c r="I3" s="290"/>
    </row>
    <row r="4" spans="1:14" ht="23">
      <c r="B4" s="275" t="s">
        <v>15</v>
      </c>
      <c r="C4" s="275"/>
      <c r="D4" s="275"/>
      <c r="E4" s="275"/>
      <c r="F4" s="275"/>
      <c r="G4" s="275"/>
      <c r="H4" s="275"/>
      <c r="I4" s="275"/>
    </row>
    <row r="5" spans="1:14" ht="17" thickBot="1">
      <c r="B5" s="291"/>
      <c r="C5" s="291"/>
      <c r="D5" s="301"/>
      <c r="E5" s="302"/>
      <c r="F5" s="291"/>
      <c r="G5" s="303"/>
      <c r="H5" s="291"/>
      <c r="I5" s="9"/>
    </row>
    <row r="6" spans="1:14" ht="17" thickBot="1">
      <c r="B6" s="304" t="s">
        <v>4</v>
      </c>
      <c r="C6" s="300" t="s">
        <v>16</v>
      </c>
      <c r="D6" s="305" t="s">
        <v>17</v>
      </c>
      <c r="E6" s="306" t="s">
        <v>12</v>
      </c>
      <c r="F6" s="305" t="s">
        <v>18</v>
      </c>
      <c r="G6" s="307" t="s">
        <v>242</v>
      </c>
      <c r="H6" s="308" t="s">
        <v>19</v>
      </c>
      <c r="I6" s="309" t="s">
        <v>20</v>
      </c>
    </row>
    <row r="7" spans="1:14">
      <c r="A7" s="311" t="str" cm="1">
        <f t="array" aca="1" ref="A7:H44" ca="1">_xlfn.LET(
    _xlpm.poList, PO_Index[PO],
    _xlpm.rowCounts, PO_Index[RowCount],
    _xlpm.firstPO, _xlfn.TAKE(
        INDIRECT("'" &amp; INDEX(_xlpm.poList, 1) &amp; "'!_" &amp; SUBSTITUTE(INDEX(_xlpm.poList, 1), "-", "_") &amp; "_table"),
        INDEX(_xlpm.rowCounts, 1)
    ),
    _xlfn.REDUCE(
        _xlpm.firstPO, _xlfn.SEQUENCE(ROWS(_xlpm.poList)-1, ,2),
        _xlfn.LAMBDA(_xlpm.a,_xlpm.i,
            _xlfn.VSTACK(_xlpm.a, _xlfn.TAKE(
                INDIRECT("'" &amp; INDEX(_xlpm.poList, _xlpm.i) &amp; "'!_" &amp; SUBSTITUTE(INDEX(_xlpm.poList, _xlpm.i), "-", "_") &amp; "_table"),
                INDEX(_xlpm.rowCounts, _xlpm.i)
            ))
        )
    )
)</f>
        <v>#A</v>
      </c>
      <c r="B7" s="292">
        <f ca="1"/>
        <v>5</v>
      </c>
      <c r="C7" s="293" t="str">
        <f ca="1"/>
        <v>Gandolf</v>
      </c>
      <c r="D7" s="293" t="str">
        <f ca="1"/>
        <v>2499-001</v>
      </c>
      <c r="E7" s="293">
        <f ca="1"/>
        <v>45849</v>
      </c>
      <c r="F7" s="293" t="str">
        <f ca="1"/>
        <v>CC 2456</v>
      </c>
      <c r="G7" s="294">
        <f ca="1"/>
        <v>100</v>
      </c>
      <c r="H7" s="293" t="str">
        <f ca="1"/>
        <v>1st AC</v>
      </c>
      <c r="I7" s="295"/>
    </row>
    <row r="8" spans="1:14">
      <c r="A8" s="310" t="str">
        <f ca="1"/>
        <v>#B</v>
      </c>
      <c r="B8" s="296">
        <f ca="1"/>
        <v>6</v>
      </c>
      <c r="C8" s="254" t="str">
        <f ca="1"/>
        <v>Gandolf</v>
      </c>
      <c r="D8" s="254" t="str">
        <f ca="1"/>
        <v>2499-001</v>
      </c>
      <c r="E8" s="254">
        <f ca="1"/>
        <v>45849</v>
      </c>
      <c r="F8" s="254" t="str">
        <f ca="1"/>
        <v>CC 2456</v>
      </c>
      <c r="G8" s="281">
        <f ca="1"/>
        <v>100</v>
      </c>
      <c r="H8" s="254" t="str">
        <f ca="1"/>
        <v>2nd AC</v>
      </c>
      <c r="I8" s="297"/>
    </row>
    <row r="9" spans="1:14">
      <c r="A9" s="310" t="str">
        <f ca="1"/>
        <v>#C</v>
      </c>
      <c r="B9" s="296">
        <f ca="1"/>
        <v>112</v>
      </c>
      <c r="C9" s="254" t="str">
        <f ca="1"/>
        <v>Gandolf</v>
      </c>
      <c r="D9" s="254" t="str">
        <f ca="1"/>
        <v>2499-001</v>
      </c>
      <c r="E9" s="254">
        <f ca="1"/>
        <v>45849</v>
      </c>
      <c r="F9" s="254" t="str">
        <f ca="1"/>
        <v>CC 2456</v>
      </c>
      <c r="G9" s="281">
        <f ca="1"/>
        <v>100</v>
      </c>
      <c r="H9" s="254" t="str">
        <f ca="1"/>
        <v>Pre Pro Meals</v>
      </c>
      <c r="I9" s="297"/>
    </row>
    <row r="10" spans="1:14">
      <c r="A10" s="310" t="str">
        <f ca="1"/>
        <v>#D</v>
      </c>
      <c r="B10" s="296">
        <f ca="1"/>
        <v>204</v>
      </c>
      <c r="C10" s="254" t="str">
        <f ca="1"/>
        <v>Gandolf</v>
      </c>
      <c r="D10" s="254" t="str">
        <f ca="1"/>
        <v>2499-001</v>
      </c>
      <c r="E10" s="254">
        <f ca="1"/>
        <v>45849</v>
      </c>
      <c r="F10" s="254" t="str">
        <f ca="1"/>
        <v>CC 2456</v>
      </c>
      <c r="G10" s="281">
        <f ca="1"/>
        <v>500</v>
      </c>
      <c r="H10" s="254" t="str">
        <f ca="1"/>
        <v>Production Supplies</v>
      </c>
      <c r="I10" s="297"/>
    </row>
    <row r="11" spans="1:14">
      <c r="A11" s="310" t="str">
        <f ca="1"/>
        <v>#E</v>
      </c>
      <c r="B11" s="296">
        <f ca="1"/>
        <v>205</v>
      </c>
      <c r="C11" s="254" t="str">
        <f ca="1"/>
        <v>Gandolf</v>
      </c>
      <c r="D11" s="254" t="str">
        <f ca="1"/>
        <v>2499-001</v>
      </c>
      <c r="E11" s="254">
        <f ca="1"/>
        <v>45849</v>
      </c>
      <c r="F11" s="254" t="str">
        <f ca="1"/>
        <v>CC 2456</v>
      </c>
      <c r="G11" s="281">
        <f ca="1"/>
        <v>50</v>
      </c>
      <c r="H11" s="254" t="str">
        <f ca="1"/>
        <v>Location Supplies</v>
      </c>
      <c r="I11" s="297"/>
    </row>
    <row r="12" spans="1:14">
      <c r="A12" s="310" t="str">
        <f ca="1"/>
        <v>#F</v>
      </c>
      <c r="B12" s="296" t="str">
        <f ca="1"/>
        <v>PC</v>
      </c>
      <c r="C12" s="254" t="str">
        <f ca="1"/>
        <v>Gandolf</v>
      </c>
      <c r="D12" s="254" t="str">
        <f ca="1"/>
        <v>2499-001</v>
      </c>
      <c r="E12" s="254">
        <f ca="1"/>
        <v>45848</v>
      </c>
      <c r="F12" s="254" t="str">
        <f ca="1"/>
        <v>CHK 101</v>
      </c>
      <c r="G12" s="281">
        <f ca="1"/>
        <v>1000</v>
      </c>
      <c r="H12" s="254" t="e">
        <f ca="1"/>
        <v>#N/A</v>
      </c>
      <c r="I12" s="297"/>
    </row>
    <row r="13" spans="1:14">
      <c r="A13" s="310" t="str">
        <f ca="1"/>
        <v>#G</v>
      </c>
      <c r="B13" s="296" t="str">
        <f ca="1"/>
        <v>PC</v>
      </c>
      <c r="C13" s="254" t="str">
        <f ca="1"/>
        <v>Gandolf</v>
      </c>
      <c r="D13" s="254" t="str">
        <f ca="1"/>
        <v>2499-001</v>
      </c>
      <c r="E13" s="254">
        <f ca="1"/>
        <v>45849</v>
      </c>
      <c r="F13" s="254" t="str">
        <f ca="1"/>
        <v>CASH</v>
      </c>
      <c r="G13" s="281">
        <f ca="1"/>
        <v>1000</v>
      </c>
      <c r="H13" s="254" t="e">
        <f ca="1"/>
        <v>#N/A</v>
      </c>
      <c r="I13" s="297"/>
    </row>
    <row r="14" spans="1:14">
      <c r="A14" s="310" t="str">
        <f ca="1"/>
        <v>#A</v>
      </c>
      <c r="B14" s="296">
        <f ca="1"/>
        <v>1</v>
      </c>
      <c r="C14" s="254" t="str">
        <f ca="1"/>
        <v>Vendor</v>
      </c>
      <c r="D14" s="254" t="str">
        <f ca="1"/>
        <v>2499-002</v>
      </c>
      <c r="E14" s="254">
        <f ca="1"/>
        <v>45849</v>
      </c>
      <c r="F14" s="254" t="str">
        <f ca="1"/>
        <v>CASH</v>
      </c>
      <c r="G14" s="281">
        <f ca="1"/>
        <v>1000</v>
      </c>
      <c r="H14" s="254" t="str">
        <f ca="1"/>
        <v>Line Producer</v>
      </c>
      <c r="I14" s="297"/>
    </row>
    <row r="15" spans="1:14">
      <c r="A15" s="310" t="str">
        <f ca="1"/>
        <v>#B</v>
      </c>
      <c r="B15" s="296">
        <f ca="1"/>
        <v>5</v>
      </c>
      <c r="C15" s="254" t="str">
        <f ca="1"/>
        <v>Vendor</v>
      </c>
      <c r="D15" s="254" t="str">
        <f ca="1"/>
        <v>2499-002</v>
      </c>
      <c r="E15" s="254">
        <f ca="1"/>
        <v>45849</v>
      </c>
      <c r="F15" s="254" t="str">
        <f ca="1"/>
        <v>CC 2456</v>
      </c>
      <c r="G15" s="281">
        <f ca="1"/>
        <v>100</v>
      </c>
      <c r="H15" s="254" t="str">
        <f ca="1"/>
        <v>1st AC</v>
      </c>
      <c r="I15" s="297"/>
    </row>
    <row r="16" spans="1:14">
      <c r="A16" s="310" t="str">
        <f ca="1"/>
        <v>#C</v>
      </c>
      <c r="B16" s="296">
        <f ca="1"/>
        <v>6</v>
      </c>
      <c r="C16" s="254" t="str">
        <f ca="1"/>
        <v>Vendor</v>
      </c>
      <c r="D16" s="254" t="str">
        <f ca="1"/>
        <v>2499-002</v>
      </c>
      <c r="E16" s="254">
        <f ca="1"/>
        <v>45849</v>
      </c>
      <c r="F16" s="254" t="str">
        <f ca="1"/>
        <v>CC 2456</v>
      </c>
      <c r="G16" s="281">
        <f ca="1"/>
        <v>100</v>
      </c>
      <c r="H16" s="254" t="str">
        <f ca="1"/>
        <v>2nd AC</v>
      </c>
      <c r="I16" s="297"/>
      <c r="K16" s="276"/>
      <c r="L16" s="276"/>
      <c r="M16" s="276"/>
      <c r="N16" s="276"/>
    </row>
    <row r="17" spans="1:14" ht="16" customHeight="1">
      <c r="A17" s="310" t="str">
        <f ca="1"/>
        <v>#D</v>
      </c>
      <c r="B17" s="296">
        <f ca="1"/>
        <v>112</v>
      </c>
      <c r="C17" s="254" t="str">
        <f ca="1"/>
        <v>Vendor</v>
      </c>
      <c r="D17" s="254" t="str">
        <f ca="1"/>
        <v>2499-002</v>
      </c>
      <c r="E17" s="254">
        <f ca="1"/>
        <v>45848</v>
      </c>
      <c r="F17" s="254" t="str">
        <f ca="1"/>
        <v>CHK 101</v>
      </c>
      <c r="G17" s="281">
        <f ca="1"/>
        <v>1000</v>
      </c>
      <c r="H17" s="254" t="str">
        <f ca="1"/>
        <v>Pre Pro Meals</v>
      </c>
      <c r="I17" s="297"/>
      <c r="K17" s="276"/>
      <c r="L17" s="276"/>
      <c r="M17" s="277"/>
      <c r="N17" s="276"/>
    </row>
    <row r="18" spans="1:14" ht="17" customHeight="1">
      <c r="A18" s="310" t="str">
        <f ca="1"/>
        <v>#E</v>
      </c>
      <c r="B18" s="296">
        <f ca="1"/>
        <v>115</v>
      </c>
      <c r="C18" s="254" t="str">
        <f ca="1"/>
        <v>Vendor</v>
      </c>
      <c r="D18" s="254" t="str">
        <f ca="1"/>
        <v>2499-002</v>
      </c>
      <c r="E18" s="254">
        <f ca="1"/>
        <v>45849</v>
      </c>
      <c r="F18" s="254" t="str">
        <f ca="1"/>
        <v>CC 2456</v>
      </c>
      <c r="G18" s="281">
        <f ca="1"/>
        <v>100</v>
      </c>
      <c r="H18" s="254" t="str">
        <f ca="1"/>
        <v>Permit Fees</v>
      </c>
      <c r="I18" s="297"/>
      <c r="K18" s="278"/>
      <c r="L18" s="277"/>
      <c r="M18" s="277"/>
      <c r="N18" s="276"/>
    </row>
    <row r="19" spans="1:14">
      <c r="A19" s="310" t="str">
        <f ca="1"/>
        <v>#F</v>
      </c>
      <c r="B19" s="296">
        <f ca="1"/>
        <v>204</v>
      </c>
      <c r="C19" s="254" t="str">
        <f ca="1"/>
        <v>Vendor</v>
      </c>
      <c r="D19" s="254" t="str">
        <f ca="1"/>
        <v>2499-002</v>
      </c>
      <c r="E19" s="254">
        <f ca="1"/>
        <v>45849</v>
      </c>
      <c r="F19" s="254" t="str">
        <f ca="1"/>
        <v>CC 2456</v>
      </c>
      <c r="G19" s="281">
        <f ca="1"/>
        <v>300</v>
      </c>
      <c r="H19" s="254" t="str">
        <f ca="1"/>
        <v>Production Supplies</v>
      </c>
      <c r="I19" s="297"/>
      <c r="K19" s="276"/>
      <c r="L19" s="276"/>
      <c r="M19" s="276"/>
      <c r="N19" s="276"/>
    </row>
    <row r="20" spans="1:14">
      <c r="A20" s="310" t="str">
        <f ca="1"/>
        <v>#G</v>
      </c>
      <c r="B20" s="296">
        <f ca="1"/>
        <v>205</v>
      </c>
      <c r="C20" s="254" t="str">
        <f ca="1"/>
        <v>Vendor</v>
      </c>
      <c r="D20" s="254" t="str">
        <f ca="1"/>
        <v>2499-002</v>
      </c>
      <c r="E20" s="254">
        <f ca="1"/>
        <v>45849</v>
      </c>
      <c r="F20" s="254" t="str">
        <f ca="1"/>
        <v>CC 2456</v>
      </c>
      <c r="G20" s="281">
        <f ca="1"/>
        <v>50</v>
      </c>
      <c r="H20" s="254" t="str">
        <f ca="1"/>
        <v>Location Supplies</v>
      </c>
      <c r="I20" s="297"/>
    </row>
    <row r="21" spans="1:14">
      <c r="A21" s="310" t="str">
        <f ca="1"/>
        <v>#H</v>
      </c>
      <c r="B21" s="296" t="str">
        <f ca="1"/>
        <v>A</v>
      </c>
      <c r="C21" s="254" t="str">
        <f ca="1"/>
        <v>Vendor</v>
      </c>
      <c r="D21" s="254" t="str">
        <f ca="1"/>
        <v>2499-002</v>
      </c>
      <c r="E21" s="254">
        <f ca="1"/>
        <v>0</v>
      </c>
      <c r="F21" s="254">
        <f ca="1"/>
        <v>0</v>
      </c>
      <c r="G21" s="281" t="str">
        <f ca="1"/>
        <v/>
      </c>
      <c r="H21" s="254" t="str">
        <f ca="1"/>
        <v>PRE-PRO &amp; WRAP CREW</v>
      </c>
      <c r="I21" s="297"/>
    </row>
    <row r="22" spans="1:14">
      <c r="A22" s="310" t="str">
        <f ca="1"/>
        <v>#A</v>
      </c>
      <c r="B22" s="296">
        <f ca="1"/>
        <v>1</v>
      </c>
      <c r="C22" s="254" t="str">
        <f ca="1"/>
        <v>Vendor</v>
      </c>
      <c r="D22" s="254" t="str">
        <f ca="1"/>
        <v>2499-003</v>
      </c>
      <c r="E22" s="254">
        <f ca="1"/>
        <v>45849</v>
      </c>
      <c r="F22" s="254" t="str">
        <f ca="1"/>
        <v>CASH</v>
      </c>
      <c r="G22" s="281">
        <f ca="1"/>
        <v>1000</v>
      </c>
      <c r="H22" s="254" t="str">
        <f ca="1"/>
        <v>Line Producer</v>
      </c>
      <c r="I22" s="297"/>
    </row>
    <row r="23" spans="1:14">
      <c r="A23" s="310" t="str">
        <f ca="1"/>
        <v>#B</v>
      </c>
      <c r="B23" s="296">
        <f ca="1"/>
        <v>5</v>
      </c>
      <c r="C23" s="254" t="str">
        <f ca="1"/>
        <v>Vendor</v>
      </c>
      <c r="D23" s="254" t="str">
        <f ca="1"/>
        <v>2499-003</v>
      </c>
      <c r="E23" s="254">
        <f ca="1"/>
        <v>45849</v>
      </c>
      <c r="F23" s="254" t="str">
        <f ca="1"/>
        <v>CC 2456</v>
      </c>
      <c r="G23" s="281">
        <f ca="1"/>
        <v>100</v>
      </c>
      <c r="H23" s="254" t="str">
        <f ca="1"/>
        <v>1st AC</v>
      </c>
      <c r="I23" s="297"/>
    </row>
    <row r="24" spans="1:14">
      <c r="A24" s="310" t="str">
        <f ca="1"/>
        <v>#C</v>
      </c>
      <c r="B24" s="296">
        <f ca="1"/>
        <v>6</v>
      </c>
      <c r="C24" s="254" t="str">
        <f ca="1"/>
        <v>Vendor</v>
      </c>
      <c r="D24" s="254" t="str">
        <f ca="1"/>
        <v>2499-003</v>
      </c>
      <c r="E24" s="254">
        <f ca="1"/>
        <v>45849</v>
      </c>
      <c r="F24" s="254" t="str">
        <f ca="1"/>
        <v>CC 2456</v>
      </c>
      <c r="G24" s="281">
        <f ca="1"/>
        <v>100</v>
      </c>
      <c r="H24" s="254" t="str">
        <f ca="1"/>
        <v>2nd AC</v>
      </c>
      <c r="I24" s="297"/>
    </row>
    <row r="25" spans="1:14">
      <c r="A25" s="310" t="str">
        <f ca="1"/>
        <v>#D</v>
      </c>
      <c r="B25" s="296">
        <f ca="1"/>
        <v>112</v>
      </c>
      <c r="C25" s="254" t="str">
        <f ca="1"/>
        <v>Vendor</v>
      </c>
      <c r="D25" s="254" t="str">
        <f ca="1"/>
        <v>2499-003</v>
      </c>
      <c r="E25" s="254">
        <f ca="1"/>
        <v>45848</v>
      </c>
      <c r="F25" s="254" t="str">
        <f ca="1"/>
        <v>CHK 101</v>
      </c>
      <c r="G25" s="281">
        <f ca="1"/>
        <v>1000</v>
      </c>
      <c r="H25" s="254" t="str">
        <f ca="1"/>
        <v>Pre Pro Meals</v>
      </c>
      <c r="I25" s="297"/>
    </row>
    <row r="26" spans="1:14">
      <c r="A26" s="310" t="str">
        <f ca="1"/>
        <v>#E</v>
      </c>
      <c r="B26" s="296">
        <f ca="1"/>
        <v>204</v>
      </c>
      <c r="C26" s="254" t="str">
        <f ca="1"/>
        <v>Vendor</v>
      </c>
      <c r="D26" s="254" t="str">
        <f ca="1"/>
        <v>2499-003</v>
      </c>
      <c r="E26" s="254">
        <f ca="1"/>
        <v>45849</v>
      </c>
      <c r="F26" s="254" t="str">
        <f ca="1"/>
        <v>CC 2456</v>
      </c>
      <c r="G26" s="281">
        <f ca="1"/>
        <v>400</v>
      </c>
      <c r="H26" s="254" t="str">
        <f ca="1"/>
        <v>Production Supplies</v>
      </c>
      <c r="I26" s="297"/>
    </row>
    <row r="27" spans="1:14">
      <c r="A27" s="310" t="str">
        <f ca="1"/>
        <v>#F</v>
      </c>
      <c r="B27" s="296">
        <f ca="1"/>
        <v>205</v>
      </c>
      <c r="C27" s="254" t="str">
        <f ca="1"/>
        <v>Vendor</v>
      </c>
      <c r="D27" s="254" t="str">
        <f ca="1"/>
        <v>2499-003</v>
      </c>
      <c r="E27" s="254">
        <f ca="1"/>
        <v>45849</v>
      </c>
      <c r="F27" s="254" t="str">
        <f ca="1"/>
        <v>CC 2456</v>
      </c>
      <c r="G27" s="281">
        <f ca="1"/>
        <v>50</v>
      </c>
      <c r="H27" s="254" t="str">
        <f ca="1"/>
        <v>Location Supplies</v>
      </c>
      <c r="I27" s="297"/>
    </row>
    <row r="28" spans="1:14">
      <c r="A28" s="310" t="str">
        <f ca="1"/>
        <v>#G</v>
      </c>
      <c r="B28" s="296">
        <f ca="1"/>
        <v>207</v>
      </c>
      <c r="C28" s="254" t="str">
        <f ca="1"/>
        <v>Vendor</v>
      </c>
      <c r="D28" s="254" t="str">
        <f ca="1"/>
        <v>2499-003</v>
      </c>
      <c r="E28" s="254">
        <f ca="1"/>
        <v>45849</v>
      </c>
      <c r="F28" s="254" t="str">
        <f ca="1"/>
        <v>CC 2456</v>
      </c>
      <c r="G28" s="281">
        <f ca="1"/>
        <v>100</v>
      </c>
      <c r="H28" s="254" t="str">
        <f ca="1"/>
        <v>DIT Equipment</v>
      </c>
      <c r="I28" s="297"/>
    </row>
    <row r="29" spans="1:14">
      <c r="A29" s="310" t="str">
        <f ca="1"/>
        <v>#H</v>
      </c>
      <c r="B29" s="296">
        <f ca="1"/>
        <v>209</v>
      </c>
      <c r="C29" s="254" t="str">
        <f ca="1"/>
        <v>Vendor</v>
      </c>
      <c r="D29" s="254" t="str">
        <f ca="1"/>
        <v>2499-003</v>
      </c>
      <c r="E29" s="254">
        <f ca="1"/>
        <v>0</v>
      </c>
      <c r="F29" s="254">
        <f ca="1"/>
        <v>0</v>
      </c>
      <c r="G29" s="281" t="str">
        <f ca="1"/>
        <v/>
      </c>
      <c r="H29" s="254" t="str">
        <f ca="1"/>
        <v>Package Truck</v>
      </c>
      <c r="I29" s="297"/>
    </row>
    <row r="30" spans="1:14">
      <c r="A30" s="310" t="str">
        <f ca="1"/>
        <v>#A</v>
      </c>
      <c r="B30" s="296">
        <f ca="1"/>
        <v>1</v>
      </c>
      <c r="C30" s="254" t="str">
        <f ca="1"/>
        <v>Vendor</v>
      </c>
      <c r="D30" s="254" t="str">
        <f ca="1"/>
        <v>2499-004</v>
      </c>
      <c r="E30" s="254">
        <f ca="1"/>
        <v>45849</v>
      </c>
      <c r="F30" s="254" t="str">
        <f ca="1"/>
        <v>CASH</v>
      </c>
      <c r="G30" s="281">
        <f ca="1"/>
        <v>1000</v>
      </c>
      <c r="H30" s="254" t="str">
        <f ca="1"/>
        <v>Line Producer</v>
      </c>
      <c r="I30" s="297"/>
    </row>
    <row r="31" spans="1:14">
      <c r="A31" s="310" t="str">
        <f ca="1"/>
        <v>#B</v>
      </c>
      <c r="B31" s="296">
        <f ca="1"/>
        <v>5</v>
      </c>
      <c r="C31" s="254" t="str">
        <f ca="1"/>
        <v>Vendor</v>
      </c>
      <c r="D31" s="254" t="str">
        <f ca="1"/>
        <v>2499-004</v>
      </c>
      <c r="E31" s="254">
        <f ca="1"/>
        <v>45849</v>
      </c>
      <c r="F31" s="254" t="str">
        <f ca="1"/>
        <v>CC 2456</v>
      </c>
      <c r="G31" s="281">
        <f ca="1"/>
        <v>100</v>
      </c>
      <c r="H31" s="254" t="str">
        <f ca="1"/>
        <v>1st AC</v>
      </c>
      <c r="I31" s="297"/>
    </row>
    <row r="32" spans="1:14">
      <c r="A32" s="310" t="str">
        <f ca="1"/>
        <v>#C</v>
      </c>
      <c r="B32" s="296">
        <f ca="1"/>
        <v>6</v>
      </c>
      <c r="C32" s="254" t="str">
        <f ca="1"/>
        <v>Vendor</v>
      </c>
      <c r="D32" s="254" t="str">
        <f ca="1"/>
        <v>2499-004</v>
      </c>
      <c r="E32" s="254">
        <f ca="1"/>
        <v>45849</v>
      </c>
      <c r="F32" s="254" t="str">
        <f ca="1"/>
        <v>CC 2456</v>
      </c>
      <c r="G32" s="281">
        <f ca="1"/>
        <v>100</v>
      </c>
      <c r="H32" s="254" t="str">
        <f ca="1"/>
        <v>2nd AC</v>
      </c>
      <c r="I32" s="297"/>
    </row>
    <row r="33" spans="1:9">
      <c r="A33" s="310" t="str">
        <f ca="1"/>
        <v>#D</v>
      </c>
      <c r="B33" s="296">
        <f ca="1"/>
        <v>112</v>
      </c>
      <c r="C33" s="254" t="str">
        <f ca="1"/>
        <v>Vendor</v>
      </c>
      <c r="D33" s="254" t="str">
        <f ca="1"/>
        <v>2499-004</v>
      </c>
      <c r="E33" s="254">
        <f ca="1"/>
        <v>45848</v>
      </c>
      <c r="F33" s="254" t="str">
        <f ca="1"/>
        <v>CHK 101</v>
      </c>
      <c r="G33" s="281">
        <f ca="1"/>
        <v>1000</v>
      </c>
      <c r="H33" s="254" t="str">
        <f ca="1"/>
        <v>Pre Pro Meals</v>
      </c>
      <c r="I33" s="297"/>
    </row>
    <row r="34" spans="1:9">
      <c r="A34" s="310" t="str">
        <f ca="1"/>
        <v>#E</v>
      </c>
      <c r="B34" s="296">
        <f ca="1"/>
        <v>204</v>
      </c>
      <c r="C34" s="254" t="str">
        <f ca="1"/>
        <v>Vendor</v>
      </c>
      <c r="D34" s="254" t="str">
        <f ca="1"/>
        <v>2499-004</v>
      </c>
      <c r="E34" s="254">
        <f ca="1"/>
        <v>45849</v>
      </c>
      <c r="F34" s="254" t="str">
        <f ca="1"/>
        <v>CC 2456</v>
      </c>
      <c r="G34" s="281">
        <f ca="1"/>
        <v>400</v>
      </c>
      <c r="H34" s="254" t="str">
        <f ca="1"/>
        <v>Production Supplies</v>
      </c>
      <c r="I34" s="297"/>
    </row>
    <row r="35" spans="1:9">
      <c r="A35" s="310" t="str">
        <f ca="1"/>
        <v>#F</v>
      </c>
      <c r="B35" s="296">
        <f ca="1"/>
        <v>205</v>
      </c>
      <c r="C35" s="254" t="str">
        <f ca="1"/>
        <v>Vendor</v>
      </c>
      <c r="D35" s="254" t="str">
        <f ca="1"/>
        <v>2499-004</v>
      </c>
      <c r="E35" s="254">
        <f ca="1"/>
        <v>45849</v>
      </c>
      <c r="F35" s="254" t="str">
        <f ca="1"/>
        <v>CC 2456</v>
      </c>
      <c r="G35" s="281">
        <f ca="1"/>
        <v>50</v>
      </c>
      <c r="H35" s="254" t="str">
        <f ca="1"/>
        <v>Location Supplies</v>
      </c>
      <c r="I35" s="297"/>
    </row>
    <row r="36" spans="1:9">
      <c r="A36" s="310" t="str">
        <f ca="1"/>
        <v>#G</v>
      </c>
      <c r="B36" s="296">
        <f ca="1"/>
        <v>207</v>
      </c>
      <c r="C36" s="254" t="str">
        <f ca="1"/>
        <v>Vendor</v>
      </c>
      <c r="D36" s="254" t="str">
        <f ca="1"/>
        <v>2499-004</v>
      </c>
      <c r="E36" s="254">
        <f ca="1"/>
        <v>45849</v>
      </c>
      <c r="F36" s="254" t="str">
        <f ca="1"/>
        <v>CC 2456</v>
      </c>
      <c r="G36" s="281">
        <f ca="1"/>
        <v>100</v>
      </c>
      <c r="H36" s="254" t="str">
        <f ca="1"/>
        <v>DIT Equipment</v>
      </c>
      <c r="I36" s="297"/>
    </row>
    <row r="37" spans="1:9">
      <c r="A37" s="310" t="str">
        <f ca="1"/>
        <v>#H</v>
      </c>
      <c r="B37" s="296">
        <f ca="1"/>
        <v>208</v>
      </c>
      <c r="C37" s="254" t="str">
        <f ca="1"/>
        <v>Vendor</v>
      </c>
      <c r="D37" s="254" t="str">
        <f ca="1"/>
        <v>2499-004</v>
      </c>
      <c r="E37" s="254">
        <f ca="1"/>
        <v>0</v>
      </c>
      <c r="F37" s="254">
        <f ca="1"/>
        <v>0</v>
      </c>
      <c r="G37" s="281" t="str">
        <f ca="1"/>
        <v/>
      </c>
      <c r="H37" s="254" t="str">
        <f ca="1"/>
        <v>Stills Equipment</v>
      </c>
      <c r="I37" s="297"/>
    </row>
    <row r="38" spans="1:9">
      <c r="A38" s="310" t="str">
        <f ca="1"/>
        <v>#A</v>
      </c>
      <c r="B38" s="296">
        <f ca="1"/>
        <v>112</v>
      </c>
      <c r="C38" s="254" t="str">
        <f ca="1"/>
        <v>Bartlett Fabrication</v>
      </c>
      <c r="D38" s="254" t="str">
        <f ca="1"/>
        <v>2499-005</v>
      </c>
      <c r="E38" s="254">
        <f ca="1"/>
        <v>45846</v>
      </c>
      <c r="F38" s="254" t="str">
        <f ca="1"/>
        <v>PC</v>
      </c>
      <c r="G38" s="281">
        <f ca="1"/>
        <v>1000</v>
      </c>
      <c r="H38" s="254" t="str">
        <f ca="1"/>
        <v>Pre Pro Meals</v>
      </c>
      <c r="I38" s="297"/>
    </row>
    <row r="39" spans="1:9">
      <c r="A39" s="310" t="str">
        <f ca="1"/>
        <v>#B</v>
      </c>
      <c r="B39" s="296">
        <f ca="1"/>
        <v>113</v>
      </c>
      <c r="C39" s="254" t="str">
        <f ca="1"/>
        <v>Bartlett Fabrication</v>
      </c>
      <c r="D39" s="254" t="str">
        <f ca="1"/>
        <v>2499-005</v>
      </c>
      <c r="E39" s="254">
        <f ca="1"/>
        <v>45846</v>
      </c>
      <c r="F39" s="254" t="str">
        <f ca="1"/>
        <v>PC</v>
      </c>
      <c r="G39" s="281">
        <f ca="1"/>
        <v>1000</v>
      </c>
      <c r="H39" s="254" t="str">
        <f ca="1"/>
        <v>Location Scouting Expenses</v>
      </c>
      <c r="I39" s="297"/>
    </row>
    <row r="40" spans="1:9">
      <c r="A40" s="310" t="str">
        <f ca="1"/>
        <v>#C</v>
      </c>
      <c r="B40" s="298">
        <f ca="1"/>
        <v>114</v>
      </c>
      <c r="C40" s="284" t="str">
        <f ca="1"/>
        <v>Bartlett Fabrication</v>
      </c>
      <c r="D40" s="284" t="str">
        <f ca="1"/>
        <v>2499-005</v>
      </c>
      <c r="E40" s="284">
        <f ca="1"/>
        <v>45846</v>
      </c>
      <c r="F40" s="284" t="str">
        <f ca="1"/>
        <v>PC</v>
      </c>
      <c r="G40" s="282">
        <f ca="1"/>
        <v>2000</v>
      </c>
      <c r="H40" s="284" t="str">
        <f ca="1"/>
        <v>Location Fees - House/Grocery Store</v>
      </c>
    </row>
    <row r="41" spans="1:9">
      <c r="A41" s="310" t="str">
        <f ca="1"/>
        <v>#D</v>
      </c>
      <c r="B41" s="298">
        <f ca="1"/>
        <v>116</v>
      </c>
      <c r="C41" s="284" t="str">
        <f ca="1"/>
        <v>Bartlett Fabrication</v>
      </c>
      <c r="D41" s="284" t="str">
        <f ca="1"/>
        <v>2499-005</v>
      </c>
      <c r="E41" s="284">
        <f ca="1"/>
        <v>45846</v>
      </c>
      <c r="F41" s="284" t="str">
        <f ca="1"/>
        <v>PC</v>
      </c>
      <c r="G41" s="282">
        <f ca="1"/>
        <v>1000</v>
      </c>
      <c r="H41" s="284" t="str">
        <f ca="1"/>
        <v>Basecamp</v>
      </c>
    </row>
    <row r="42" spans="1:9">
      <c r="A42" s="310" t="str">
        <f ca="1"/>
        <v>#E</v>
      </c>
      <c r="B42" s="298">
        <f ca="1"/>
        <v>117</v>
      </c>
      <c r="C42" s="284" t="str">
        <f ca="1"/>
        <v>Bartlett Fabrication</v>
      </c>
      <c r="D42" s="284" t="str">
        <f ca="1"/>
        <v>2499-005</v>
      </c>
      <c r="E42" s="284">
        <f ca="1"/>
        <v>45846</v>
      </c>
      <c r="F42" s="284" t="str">
        <f ca="1"/>
        <v>PC</v>
      </c>
      <c r="G42" s="282">
        <f ca="1"/>
        <v>1000</v>
      </c>
      <c r="H42" s="284" t="str">
        <f ca="1"/>
        <v>Crew Shuttles</v>
      </c>
    </row>
    <row r="43" spans="1:9">
      <c r="A43" s="310" t="str">
        <f ca="1"/>
        <v>#F</v>
      </c>
      <c r="B43" s="298">
        <f ca="1"/>
        <v>118</v>
      </c>
      <c r="C43" s="284" t="str">
        <f ca="1"/>
        <v>Bartlett Fabrication</v>
      </c>
      <c r="D43" s="284" t="str">
        <f ca="1"/>
        <v>2499-005</v>
      </c>
      <c r="E43" s="284">
        <f ca="1"/>
        <v>45846</v>
      </c>
      <c r="F43" s="284" t="str">
        <f ca="1"/>
        <v>PC</v>
      </c>
      <c r="G43" s="282">
        <f ca="1"/>
        <v>1000</v>
      </c>
      <c r="H43" s="284" t="str">
        <f ca="1"/>
        <v>Dressing Room Vehicles</v>
      </c>
    </row>
    <row r="44" spans="1:9">
      <c r="A44" s="310" t="str">
        <f ca="1"/>
        <v>#G</v>
      </c>
      <c r="B44" s="298">
        <f ca="1"/>
        <v>144</v>
      </c>
      <c r="C44" s="284" t="str">
        <f ca="1"/>
        <v>Bartlett Fabrication</v>
      </c>
      <c r="D44" s="284" t="str">
        <f ca="1"/>
        <v>2499-005</v>
      </c>
      <c r="E44" s="284">
        <f ca="1"/>
        <v>45847</v>
      </c>
      <c r="F44" s="284" t="str">
        <f ca="1"/>
        <v>PC</v>
      </c>
      <c r="G44" s="282">
        <f ca="1"/>
        <v>800</v>
      </c>
      <c r="H44" s="284" t="str">
        <f ca="1"/>
        <v>Wardrobe Rentals</v>
      </c>
    </row>
  </sheetData>
  <mergeCells count="1">
    <mergeCell ref="B4:I4"/>
  </mergeCells>
  <pageMargins left="0.7" right="0.7" top="0.75" bottom="0.75" header="0.3" footer="0.3"/>
  <pageSetup orientation="portrait" horizontalDpi="0"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5DC35E-F741-AC40-9956-7F353FC55EFB}">
  <sheetPr codeName="Sheet17"/>
  <dimension ref="A1:I105"/>
  <sheetViews>
    <sheetView zoomScale="86" workbookViewId="0">
      <selection activeCell="G46" sqref="G46"/>
    </sheetView>
    <sheetView workbookViewId="1"/>
  </sheetViews>
  <sheetFormatPr baseColWidth="10" defaultRowHeight="16"/>
  <cols>
    <col min="1" max="1" width="12" customWidth="1"/>
    <col min="2" max="2" width="11" customWidth="1"/>
    <col min="3" max="3" width="28.1640625" customWidth="1"/>
    <col min="5" max="5" width="10.83203125" customWidth="1"/>
    <col min="6" max="6" width="15.33203125" customWidth="1"/>
    <col min="7" max="7" width="26.6640625" customWidth="1"/>
    <col min="8" max="8" width="41.5" customWidth="1"/>
    <col min="9" max="9" width="20.33203125" customWidth="1"/>
  </cols>
  <sheetData>
    <row r="1" spans="1:9" ht="29" customHeight="1">
      <c r="B1" s="8"/>
      <c r="C1" s="8"/>
      <c r="D1" s="8"/>
      <c r="E1" s="8"/>
      <c r="F1" s="8"/>
      <c r="G1" s="8"/>
      <c r="H1" s="8"/>
      <c r="I1" s="8"/>
    </row>
    <row r="2" spans="1:9">
      <c r="B2" s="10"/>
      <c r="C2" s="10"/>
      <c r="D2" s="11"/>
      <c r="E2" s="12"/>
      <c r="F2" s="10"/>
      <c r="G2" s="13"/>
      <c r="H2" s="10"/>
      <c r="I2" s="9"/>
    </row>
    <row r="3" spans="1:9" ht="23">
      <c r="B3" s="207" t="s">
        <v>15</v>
      </c>
      <c r="C3" s="207"/>
      <c r="D3" s="207"/>
      <c r="E3" s="207"/>
      <c r="F3" s="207"/>
      <c r="G3" s="207"/>
      <c r="H3" s="207"/>
      <c r="I3" s="207"/>
    </row>
    <row r="4" spans="1:9">
      <c r="B4" s="14"/>
      <c r="C4" s="14"/>
      <c r="D4" s="15"/>
      <c r="E4" s="16"/>
      <c r="F4" s="14"/>
      <c r="G4" s="17"/>
      <c r="H4" s="14"/>
      <c r="I4" s="9"/>
    </row>
    <row r="5" spans="1:9">
      <c r="B5" s="177" t="s">
        <v>4</v>
      </c>
      <c r="C5" s="177" t="s">
        <v>16</v>
      </c>
      <c r="D5" s="177" t="s">
        <v>17</v>
      </c>
      <c r="E5" s="178" t="s">
        <v>12</v>
      </c>
      <c r="F5" s="177" t="s">
        <v>18</v>
      </c>
      <c r="G5" s="179" t="s">
        <v>242</v>
      </c>
      <c r="H5" s="180" t="s">
        <v>19</v>
      </c>
      <c r="I5" s="181" t="s">
        <v>20</v>
      </c>
    </row>
    <row r="6" spans="1:9">
      <c r="A6" s="182" t="str" cm="1">
        <f t="array" aca="1" ref="A6:H43" ca="1">_xlfn.LET(
    _xlpm.poList, PO_Index[PO],
    _xlpm.rowCounts, PO_Index[RowCount],
    _xlpm.firstPO, _xlfn.TAKE(
        INDIRECT("'" &amp; INDEX(_xlpm.poList, 1) &amp; "'!_" &amp; SUBSTITUTE(INDEX(_xlpm.poList, 1), "-", "_") &amp; "_table"),
        INDEX(_xlpm.rowCounts, 1)
    ),
    _xlfn.REDUCE(
        _xlpm.firstPO, _xlfn.SEQUENCE(ROWS(_xlpm.poList)-1, ,2),
        _xlfn.LAMBDA(_xlpm.a,_xlpm.i,
            _xlfn.VSTACK(_xlpm.a, _xlfn.TAKE(
                INDIRECT("'" &amp; INDEX(_xlpm.poList, _xlpm.i) &amp; "'!_" &amp; SUBSTITUTE(INDEX(_xlpm.poList, _xlpm.i), "-", "_") &amp; "_table"),
                INDEX(_xlpm.rowCounts, _xlpm.i)
            ))
        )
    )
)</f>
        <v>#A</v>
      </c>
      <c r="B6" s="183">
        <f ca="1"/>
        <v>5</v>
      </c>
      <c r="C6" s="183" t="str">
        <f ca="1"/>
        <v>Gandolf</v>
      </c>
      <c r="D6" s="183" t="str">
        <f ca="1"/>
        <v>2499-001</v>
      </c>
      <c r="E6" s="183">
        <f ca="1"/>
        <v>45849</v>
      </c>
      <c r="F6" s="183" t="str">
        <f ca="1"/>
        <v>CC 2456</v>
      </c>
      <c r="G6" s="183">
        <f ca="1"/>
        <v>100</v>
      </c>
      <c r="H6" s="183" t="str">
        <f ca="1"/>
        <v>1st AC</v>
      </c>
      <c r="I6" s="183"/>
    </row>
    <row r="7" spans="1:9">
      <c r="A7" t="str">
        <f ca="1"/>
        <v>#B</v>
      </c>
      <c r="B7" s="183">
        <f ca="1"/>
        <v>6</v>
      </c>
      <c r="C7" s="183" t="str">
        <f ca="1"/>
        <v>Gandolf</v>
      </c>
      <c r="D7" s="183" t="str">
        <f ca="1"/>
        <v>2499-001</v>
      </c>
      <c r="E7" s="183">
        <f ca="1"/>
        <v>45849</v>
      </c>
      <c r="F7" s="183" t="str">
        <f ca="1"/>
        <v>CC 2456</v>
      </c>
      <c r="G7" s="183">
        <f ca="1"/>
        <v>100</v>
      </c>
      <c r="H7" s="183" t="str">
        <f ca="1"/>
        <v>2nd AC</v>
      </c>
      <c r="I7" s="183"/>
    </row>
    <row r="8" spans="1:9">
      <c r="A8" t="str">
        <f ca="1"/>
        <v>#C</v>
      </c>
      <c r="B8" s="183">
        <f ca="1"/>
        <v>112</v>
      </c>
      <c r="C8" s="183" t="str">
        <f ca="1"/>
        <v>Gandolf</v>
      </c>
      <c r="D8" s="183" t="str">
        <f ca="1"/>
        <v>2499-001</v>
      </c>
      <c r="E8" s="183">
        <f ca="1"/>
        <v>45849</v>
      </c>
      <c r="F8" s="183" t="str">
        <f ca="1"/>
        <v>CC 2456</v>
      </c>
      <c r="G8" s="183">
        <f ca="1"/>
        <v>100</v>
      </c>
      <c r="H8" s="183" t="str">
        <f ca="1"/>
        <v>Pre Pro Meals</v>
      </c>
      <c r="I8" s="183"/>
    </row>
    <row r="9" spans="1:9">
      <c r="A9" t="str">
        <f ca="1"/>
        <v>#D</v>
      </c>
      <c r="B9" s="183">
        <f ca="1"/>
        <v>204</v>
      </c>
      <c r="C9" s="183" t="str">
        <f ca="1"/>
        <v>Gandolf</v>
      </c>
      <c r="D9" s="183" t="str">
        <f ca="1"/>
        <v>2499-001</v>
      </c>
      <c r="E9" s="183">
        <f ca="1"/>
        <v>45849</v>
      </c>
      <c r="F9" s="183" t="str">
        <f ca="1"/>
        <v>CC 2456</v>
      </c>
      <c r="G9" s="183">
        <f ca="1"/>
        <v>500</v>
      </c>
      <c r="H9" s="183" t="str">
        <f ca="1"/>
        <v>Production Supplies</v>
      </c>
      <c r="I9" s="183"/>
    </row>
    <row r="10" spans="1:9">
      <c r="A10" t="str">
        <f ca="1"/>
        <v>#E</v>
      </c>
      <c r="B10" s="183">
        <f ca="1"/>
        <v>205</v>
      </c>
      <c r="C10" s="183" t="str">
        <f ca="1"/>
        <v>Gandolf</v>
      </c>
      <c r="D10" s="183" t="str">
        <f ca="1"/>
        <v>2499-001</v>
      </c>
      <c r="E10" s="183">
        <f ca="1"/>
        <v>45849</v>
      </c>
      <c r="F10" s="183" t="str">
        <f ca="1"/>
        <v>CC 2456</v>
      </c>
      <c r="G10" s="183">
        <f ca="1"/>
        <v>50</v>
      </c>
      <c r="H10" s="183" t="str">
        <f ca="1"/>
        <v>Location Supplies</v>
      </c>
      <c r="I10" s="183"/>
    </row>
    <row r="11" spans="1:9">
      <c r="A11" t="str">
        <f ca="1"/>
        <v>#F</v>
      </c>
      <c r="B11" s="183" t="str">
        <f ca="1"/>
        <v>PC</v>
      </c>
      <c r="C11" s="183" t="str">
        <f ca="1"/>
        <v>Gandolf</v>
      </c>
      <c r="D11" s="183" t="str">
        <f ca="1"/>
        <v>2499-001</v>
      </c>
      <c r="E11" s="183">
        <f ca="1"/>
        <v>45848</v>
      </c>
      <c r="F11" s="183" t="str">
        <f ca="1"/>
        <v>CHK 101</v>
      </c>
      <c r="G11" s="183">
        <f ca="1"/>
        <v>1000</v>
      </c>
      <c r="H11" s="183" t="e">
        <f ca="1"/>
        <v>#N/A</v>
      </c>
      <c r="I11" s="183"/>
    </row>
    <row r="12" spans="1:9">
      <c r="A12" t="str">
        <f ca="1"/>
        <v>#G</v>
      </c>
      <c r="B12" s="183" t="str">
        <f ca="1"/>
        <v>PC</v>
      </c>
      <c r="C12" s="183" t="str">
        <f ca="1"/>
        <v>Gandolf</v>
      </c>
      <c r="D12" s="183" t="str">
        <f ca="1"/>
        <v>2499-001</v>
      </c>
      <c r="E12" s="183">
        <f ca="1"/>
        <v>45849</v>
      </c>
      <c r="F12" s="183" t="str">
        <f ca="1"/>
        <v>CASH</v>
      </c>
      <c r="G12" s="183">
        <f ca="1"/>
        <v>1000</v>
      </c>
      <c r="H12" s="183" t="e">
        <f ca="1"/>
        <v>#N/A</v>
      </c>
      <c r="I12" s="183"/>
    </row>
    <row r="13" spans="1:9">
      <c r="A13" t="str">
        <f ca="1"/>
        <v>#A</v>
      </c>
      <c r="B13" s="183">
        <f ca="1"/>
        <v>1</v>
      </c>
      <c r="C13" s="183" t="str">
        <f ca="1"/>
        <v>Vendor</v>
      </c>
      <c r="D13" s="183" t="str">
        <f ca="1"/>
        <v>2499-002</v>
      </c>
      <c r="E13" s="183">
        <f ca="1"/>
        <v>45849</v>
      </c>
      <c r="F13" s="183" t="str">
        <f ca="1"/>
        <v>CASH</v>
      </c>
      <c r="G13" s="183">
        <f ca="1"/>
        <v>1000</v>
      </c>
      <c r="H13" s="183" t="str">
        <f ca="1"/>
        <v>Line Producer</v>
      </c>
      <c r="I13" s="183"/>
    </row>
    <row r="14" spans="1:9">
      <c r="A14" t="str">
        <f ca="1"/>
        <v>#B</v>
      </c>
      <c r="B14" s="183">
        <f ca="1"/>
        <v>5</v>
      </c>
      <c r="C14" s="183" t="str">
        <f ca="1"/>
        <v>Vendor</v>
      </c>
      <c r="D14" s="183" t="str">
        <f ca="1"/>
        <v>2499-002</v>
      </c>
      <c r="E14" s="183">
        <f ca="1"/>
        <v>45849</v>
      </c>
      <c r="F14" s="183" t="str">
        <f ca="1"/>
        <v>CC 2456</v>
      </c>
      <c r="G14" s="183">
        <f ca="1"/>
        <v>100</v>
      </c>
      <c r="H14" s="183" t="str">
        <f ca="1"/>
        <v>1st AC</v>
      </c>
      <c r="I14" s="183"/>
    </row>
    <row r="15" spans="1:9">
      <c r="A15" t="str">
        <f ca="1"/>
        <v>#C</v>
      </c>
      <c r="B15" s="183">
        <f ca="1"/>
        <v>6</v>
      </c>
      <c r="C15" s="183" t="str">
        <f ca="1"/>
        <v>Vendor</v>
      </c>
      <c r="D15" s="183" t="str">
        <f ca="1"/>
        <v>2499-002</v>
      </c>
      <c r="E15" s="183">
        <f ca="1"/>
        <v>45849</v>
      </c>
      <c r="F15" s="183" t="str">
        <f ca="1"/>
        <v>CC 2456</v>
      </c>
      <c r="G15" s="183">
        <f ca="1"/>
        <v>100</v>
      </c>
      <c r="H15" s="183" t="str">
        <f ca="1"/>
        <v>2nd AC</v>
      </c>
      <c r="I15" s="183"/>
    </row>
    <row r="16" spans="1:9">
      <c r="A16" t="str">
        <f ca="1"/>
        <v>#D</v>
      </c>
      <c r="B16" s="183">
        <f ca="1"/>
        <v>112</v>
      </c>
      <c r="C16" s="183" t="str">
        <f ca="1"/>
        <v>Vendor</v>
      </c>
      <c r="D16" s="183" t="str">
        <f ca="1"/>
        <v>2499-002</v>
      </c>
      <c r="E16" s="183">
        <f ca="1"/>
        <v>45848</v>
      </c>
      <c r="F16" s="183" t="str">
        <f ca="1"/>
        <v>CHK 101</v>
      </c>
      <c r="G16" s="183">
        <f ca="1"/>
        <v>1000</v>
      </c>
      <c r="H16" s="183" t="str">
        <f ca="1"/>
        <v>Pre Pro Meals</v>
      </c>
      <c r="I16" s="183"/>
    </row>
    <row r="17" spans="1:9">
      <c r="A17" t="str">
        <f ca="1"/>
        <v>#E</v>
      </c>
      <c r="B17" s="183">
        <f ca="1"/>
        <v>115</v>
      </c>
      <c r="C17" s="183" t="str">
        <f ca="1"/>
        <v>Vendor</v>
      </c>
      <c r="D17" s="183" t="str">
        <f ca="1"/>
        <v>2499-002</v>
      </c>
      <c r="E17" s="183">
        <f ca="1"/>
        <v>45849</v>
      </c>
      <c r="F17" s="183" t="str">
        <f ca="1"/>
        <v>CC 2456</v>
      </c>
      <c r="G17" s="183">
        <f ca="1"/>
        <v>100</v>
      </c>
      <c r="H17" s="183" t="str">
        <f ca="1"/>
        <v>Permit Fees</v>
      </c>
      <c r="I17" s="183"/>
    </row>
    <row r="18" spans="1:9">
      <c r="A18" t="str">
        <f ca="1"/>
        <v>#F</v>
      </c>
      <c r="B18" s="183">
        <f ca="1"/>
        <v>204</v>
      </c>
      <c r="C18" s="183" t="str">
        <f ca="1"/>
        <v>Vendor</v>
      </c>
      <c r="D18" s="183" t="str">
        <f ca="1"/>
        <v>2499-002</v>
      </c>
      <c r="E18" s="183">
        <f ca="1"/>
        <v>45849</v>
      </c>
      <c r="F18" s="183" t="str">
        <f ca="1"/>
        <v>CC 2456</v>
      </c>
      <c r="G18" s="183">
        <f ca="1"/>
        <v>300</v>
      </c>
      <c r="H18" s="183" t="str">
        <f ca="1"/>
        <v>Production Supplies</v>
      </c>
      <c r="I18" s="183"/>
    </row>
    <row r="19" spans="1:9">
      <c r="A19" t="str">
        <f ca="1"/>
        <v>#G</v>
      </c>
      <c r="B19" s="183">
        <f ca="1"/>
        <v>205</v>
      </c>
      <c r="C19" s="183" t="str">
        <f ca="1"/>
        <v>Vendor</v>
      </c>
      <c r="D19" s="183" t="str">
        <f ca="1"/>
        <v>2499-002</v>
      </c>
      <c r="E19" s="183">
        <f ca="1"/>
        <v>45849</v>
      </c>
      <c r="F19" s="183" t="str">
        <f ca="1"/>
        <v>CC 2456</v>
      </c>
      <c r="G19" s="183">
        <f ca="1"/>
        <v>50</v>
      </c>
      <c r="H19" s="183" t="str">
        <f ca="1"/>
        <v>Location Supplies</v>
      </c>
      <c r="I19" s="183"/>
    </row>
    <row r="20" spans="1:9">
      <c r="A20" t="str">
        <f ca="1"/>
        <v>#H</v>
      </c>
      <c r="B20" s="183" t="str">
        <f ca="1"/>
        <v>A</v>
      </c>
      <c r="C20" s="183" t="str">
        <f ca="1"/>
        <v>Vendor</v>
      </c>
      <c r="D20" s="183" t="str">
        <f ca="1"/>
        <v>2499-002</v>
      </c>
      <c r="E20" s="183">
        <f ca="1"/>
        <v>0</v>
      </c>
      <c r="F20" s="183">
        <f ca="1"/>
        <v>0</v>
      </c>
      <c r="G20" s="183" t="str">
        <f ca="1"/>
        <v/>
      </c>
      <c r="H20" s="183" t="str">
        <f ca="1"/>
        <v>PRE-PRO &amp; WRAP CREW</v>
      </c>
      <c r="I20" s="183"/>
    </row>
    <row r="21" spans="1:9">
      <c r="A21" t="str">
        <f ca="1"/>
        <v>#A</v>
      </c>
      <c r="B21" s="183">
        <f ca="1"/>
        <v>1</v>
      </c>
      <c r="C21" s="183" t="str">
        <f ca="1"/>
        <v>Vendor</v>
      </c>
      <c r="D21" s="183" t="str">
        <f ca="1"/>
        <v>2499-003</v>
      </c>
      <c r="E21" s="183">
        <f ca="1"/>
        <v>45849</v>
      </c>
      <c r="F21" s="183" t="str">
        <f ca="1"/>
        <v>CASH</v>
      </c>
      <c r="G21" s="183">
        <f ca="1"/>
        <v>1000</v>
      </c>
      <c r="H21" s="183" t="str">
        <f ca="1"/>
        <v>Line Producer</v>
      </c>
      <c r="I21" s="183"/>
    </row>
    <row r="22" spans="1:9">
      <c r="A22" t="str">
        <f ca="1"/>
        <v>#B</v>
      </c>
      <c r="B22" s="183">
        <f ca="1"/>
        <v>5</v>
      </c>
      <c r="C22" s="183" t="str">
        <f ca="1"/>
        <v>Vendor</v>
      </c>
      <c r="D22" s="183" t="str">
        <f ca="1"/>
        <v>2499-003</v>
      </c>
      <c r="E22" s="183">
        <f ca="1"/>
        <v>45849</v>
      </c>
      <c r="F22" s="183" t="str">
        <f ca="1"/>
        <v>CC 2456</v>
      </c>
      <c r="G22" s="183">
        <f ca="1"/>
        <v>100</v>
      </c>
      <c r="H22" s="183" t="str">
        <f ca="1"/>
        <v>1st AC</v>
      </c>
      <c r="I22" s="183"/>
    </row>
    <row r="23" spans="1:9">
      <c r="A23" t="str">
        <f ca="1"/>
        <v>#C</v>
      </c>
      <c r="B23" s="183">
        <f ca="1"/>
        <v>6</v>
      </c>
      <c r="C23" s="183" t="str">
        <f ca="1"/>
        <v>Vendor</v>
      </c>
      <c r="D23" s="183" t="str">
        <f ca="1"/>
        <v>2499-003</v>
      </c>
      <c r="E23" s="183">
        <f ca="1"/>
        <v>45849</v>
      </c>
      <c r="F23" s="183" t="str">
        <f ca="1"/>
        <v>CC 2456</v>
      </c>
      <c r="G23" s="183">
        <f ca="1"/>
        <v>100</v>
      </c>
      <c r="H23" s="183" t="str">
        <f ca="1"/>
        <v>2nd AC</v>
      </c>
      <c r="I23" s="183"/>
    </row>
    <row r="24" spans="1:9">
      <c r="A24" t="str">
        <f ca="1"/>
        <v>#D</v>
      </c>
      <c r="B24" s="183">
        <f ca="1"/>
        <v>112</v>
      </c>
      <c r="C24" s="183" t="str">
        <f ca="1"/>
        <v>Vendor</v>
      </c>
      <c r="D24" s="183" t="str">
        <f ca="1"/>
        <v>2499-003</v>
      </c>
      <c r="E24" s="183">
        <f ca="1"/>
        <v>45848</v>
      </c>
      <c r="F24" s="183" t="str">
        <f ca="1"/>
        <v>CHK 101</v>
      </c>
      <c r="G24" s="183">
        <f ca="1"/>
        <v>1000</v>
      </c>
      <c r="H24" s="183" t="str">
        <f ca="1"/>
        <v>Pre Pro Meals</v>
      </c>
      <c r="I24" s="183"/>
    </row>
    <row r="25" spans="1:9">
      <c r="A25" t="str">
        <f ca="1"/>
        <v>#E</v>
      </c>
      <c r="B25" s="183">
        <f ca="1"/>
        <v>204</v>
      </c>
      <c r="C25" s="183" t="str">
        <f ca="1"/>
        <v>Vendor</v>
      </c>
      <c r="D25" s="183" t="str">
        <f ca="1"/>
        <v>2499-003</v>
      </c>
      <c r="E25" s="183">
        <f ca="1"/>
        <v>45849</v>
      </c>
      <c r="F25" s="183" t="str">
        <f ca="1"/>
        <v>CC 2456</v>
      </c>
      <c r="G25" s="183">
        <f ca="1"/>
        <v>400</v>
      </c>
      <c r="H25" s="183" t="str">
        <f ca="1"/>
        <v>Production Supplies</v>
      </c>
      <c r="I25" s="183"/>
    </row>
    <row r="26" spans="1:9">
      <c r="A26" t="str">
        <f ca="1"/>
        <v>#F</v>
      </c>
      <c r="B26" s="183">
        <f ca="1"/>
        <v>205</v>
      </c>
      <c r="C26" s="183" t="str">
        <f ca="1"/>
        <v>Vendor</v>
      </c>
      <c r="D26" s="183" t="str">
        <f ca="1"/>
        <v>2499-003</v>
      </c>
      <c r="E26" s="183">
        <f ca="1"/>
        <v>45849</v>
      </c>
      <c r="F26" s="183" t="str">
        <f ca="1"/>
        <v>CC 2456</v>
      </c>
      <c r="G26" s="183">
        <f ca="1"/>
        <v>50</v>
      </c>
      <c r="H26" s="183" t="str">
        <f ca="1"/>
        <v>Location Supplies</v>
      </c>
      <c r="I26" s="183"/>
    </row>
    <row r="27" spans="1:9">
      <c r="A27" t="str">
        <f ca="1"/>
        <v>#G</v>
      </c>
      <c r="B27" s="183">
        <f ca="1"/>
        <v>207</v>
      </c>
      <c r="C27" s="183" t="str">
        <f ca="1"/>
        <v>Vendor</v>
      </c>
      <c r="D27" s="183" t="str">
        <f ca="1"/>
        <v>2499-003</v>
      </c>
      <c r="E27" s="183">
        <f ca="1"/>
        <v>45849</v>
      </c>
      <c r="F27" s="183" t="str">
        <f ca="1"/>
        <v>CC 2456</v>
      </c>
      <c r="G27" s="183">
        <f ca="1"/>
        <v>100</v>
      </c>
      <c r="H27" s="183" t="str">
        <f ca="1"/>
        <v>DIT Equipment</v>
      </c>
      <c r="I27" s="183"/>
    </row>
    <row r="28" spans="1:9">
      <c r="A28" t="str">
        <f ca="1"/>
        <v>#H</v>
      </c>
      <c r="B28" s="183">
        <f ca="1"/>
        <v>209</v>
      </c>
      <c r="C28" s="183" t="str">
        <f ca="1"/>
        <v>Vendor</v>
      </c>
      <c r="D28" s="183" t="str">
        <f ca="1"/>
        <v>2499-003</v>
      </c>
      <c r="E28" s="183">
        <f ca="1"/>
        <v>0</v>
      </c>
      <c r="F28" s="183">
        <f ca="1"/>
        <v>0</v>
      </c>
      <c r="G28" s="183" t="str">
        <f ca="1"/>
        <v/>
      </c>
      <c r="H28" s="183" t="str">
        <f ca="1"/>
        <v>Package Truck</v>
      </c>
      <c r="I28" s="183"/>
    </row>
    <row r="29" spans="1:9">
      <c r="A29" t="str">
        <f ca="1"/>
        <v>#A</v>
      </c>
      <c r="B29" s="183">
        <f ca="1"/>
        <v>1</v>
      </c>
      <c r="C29" s="183" t="str">
        <f ca="1"/>
        <v>Vendor</v>
      </c>
      <c r="D29" s="183" t="str">
        <f ca="1"/>
        <v>2499-004</v>
      </c>
      <c r="E29" s="183">
        <f ca="1"/>
        <v>45849</v>
      </c>
      <c r="F29" s="183" t="str">
        <f ca="1"/>
        <v>CASH</v>
      </c>
      <c r="G29" s="183">
        <f ca="1"/>
        <v>1000</v>
      </c>
      <c r="H29" s="183" t="str">
        <f ca="1"/>
        <v>Line Producer</v>
      </c>
      <c r="I29" s="183"/>
    </row>
    <row r="30" spans="1:9">
      <c r="A30" t="str">
        <f ca="1"/>
        <v>#B</v>
      </c>
      <c r="B30" s="183">
        <f ca="1"/>
        <v>5</v>
      </c>
      <c r="C30" s="183" t="str">
        <f ca="1"/>
        <v>Vendor</v>
      </c>
      <c r="D30" s="183" t="str">
        <f ca="1"/>
        <v>2499-004</v>
      </c>
      <c r="E30" s="183">
        <f ca="1"/>
        <v>45849</v>
      </c>
      <c r="F30" s="183" t="str">
        <f ca="1"/>
        <v>CC 2456</v>
      </c>
      <c r="G30" s="183">
        <f ca="1"/>
        <v>100</v>
      </c>
      <c r="H30" s="183" t="str">
        <f ca="1"/>
        <v>1st AC</v>
      </c>
      <c r="I30" s="183"/>
    </row>
    <row r="31" spans="1:9">
      <c r="A31" t="str">
        <f ca="1"/>
        <v>#C</v>
      </c>
      <c r="B31" s="183">
        <f ca="1"/>
        <v>6</v>
      </c>
      <c r="C31" s="183" t="str">
        <f ca="1"/>
        <v>Vendor</v>
      </c>
      <c r="D31" s="183" t="str">
        <f ca="1"/>
        <v>2499-004</v>
      </c>
      <c r="E31" s="183">
        <f ca="1"/>
        <v>45849</v>
      </c>
      <c r="F31" s="183" t="str">
        <f ca="1"/>
        <v>CC 2456</v>
      </c>
      <c r="G31" s="183">
        <f ca="1"/>
        <v>100</v>
      </c>
      <c r="H31" s="183" t="str">
        <f ca="1"/>
        <v>2nd AC</v>
      </c>
      <c r="I31" s="183"/>
    </row>
    <row r="32" spans="1:9">
      <c r="A32" t="str">
        <f ca="1"/>
        <v>#D</v>
      </c>
      <c r="B32" s="183">
        <f ca="1"/>
        <v>112</v>
      </c>
      <c r="C32" s="183" t="str">
        <f ca="1"/>
        <v>Vendor</v>
      </c>
      <c r="D32" s="183" t="str">
        <f ca="1"/>
        <v>2499-004</v>
      </c>
      <c r="E32" s="183">
        <f ca="1"/>
        <v>45848</v>
      </c>
      <c r="F32" s="183" t="str">
        <f ca="1"/>
        <v>CHK 101</v>
      </c>
      <c r="G32" s="183">
        <f ca="1"/>
        <v>1000</v>
      </c>
      <c r="H32" s="183" t="str">
        <f ca="1"/>
        <v>Pre Pro Meals</v>
      </c>
      <c r="I32" s="183"/>
    </row>
    <row r="33" spans="1:9">
      <c r="A33" t="str">
        <f ca="1"/>
        <v>#E</v>
      </c>
      <c r="B33" s="183">
        <f ca="1"/>
        <v>204</v>
      </c>
      <c r="C33" s="183" t="str">
        <f ca="1"/>
        <v>Vendor</v>
      </c>
      <c r="D33" s="183" t="str">
        <f ca="1"/>
        <v>2499-004</v>
      </c>
      <c r="E33" s="183">
        <f ca="1"/>
        <v>45849</v>
      </c>
      <c r="F33" s="183" t="str">
        <f ca="1"/>
        <v>CC 2456</v>
      </c>
      <c r="G33" s="183">
        <f ca="1"/>
        <v>400</v>
      </c>
      <c r="H33" s="183" t="str">
        <f ca="1"/>
        <v>Production Supplies</v>
      </c>
      <c r="I33" s="183"/>
    </row>
    <row r="34" spans="1:9">
      <c r="A34" t="str">
        <f ca="1"/>
        <v>#F</v>
      </c>
      <c r="B34" s="183">
        <f ca="1"/>
        <v>205</v>
      </c>
      <c r="C34" s="183" t="str">
        <f ca="1"/>
        <v>Vendor</v>
      </c>
      <c r="D34" s="183" t="str">
        <f ca="1"/>
        <v>2499-004</v>
      </c>
      <c r="E34" s="183">
        <f ca="1"/>
        <v>45849</v>
      </c>
      <c r="F34" s="183" t="str">
        <f ca="1"/>
        <v>CC 2456</v>
      </c>
      <c r="G34" s="183">
        <f ca="1"/>
        <v>50</v>
      </c>
      <c r="H34" s="183" t="str">
        <f ca="1"/>
        <v>Location Supplies</v>
      </c>
      <c r="I34" s="183"/>
    </row>
    <row r="35" spans="1:9">
      <c r="A35" t="str">
        <f ca="1"/>
        <v>#G</v>
      </c>
      <c r="B35" s="183">
        <f ca="1"/>
        <v>207</v>
      </c>
      <c r="C35" s="183" t="str">
        <f ca="1"/>
        <v>Vendor</v>
      </c>
      <c r="D35" s="183" t="str">
        <f ca="1"/>
        <v>2499-004</v>
      </c>
      <c r="E35" s="183">
        <f ca="1"/>
        <v>45849</v>
      </c>
      <c r="F35" s="183" t="str">
        <f ca="1"/>
        <v>CC 2456</v>
      </c>
      <c r="G35" s="183">
        <f ca="1"/>
        <v>100</v>
      </c>
      <c r="H35" s="183" t="str">
        <f ca="1"/>
        <v>DIT Equipment</v>
      </c>
      <c r="I35" s="183"/>
    </row>
    <row r="36" spans="1:9">
      <c r="A36" t="str">
        <f ca="1"/>
        <v>#H</v>
      </c>
      <c r="B36" s="183">
        <f ca="1"/>
        <v>208</v>
      </c>
      <c r="C36" s="183" t="str">
        <f ca="1"/>
        <v>Vendor</v>
      </c>
      <c r="D36" s="183" t="str">
        <f ca="1"/>
        <v>2499-004</v>
      </c>
      <c r="E36" s="183">
        <f ca="1"/>
        <v>0</v>
      </c>
      <c r="F36" s="183">
        <f ca="1"/>
        <v>0</v>
      </c>
      <c r="G36" s="183" t="str">
        <f ca="1"/>
        <v/>
      </c>
      <c r="H36" s="183" t="str">
        <f ca="1"/>
        <v>Stills Equipment</v>
      </c>
      <c r="I36" s="183"/>
    </row>
    <row r="37" spans="1:9">
      <c r="A37" t="str">
        <f ca="1"/>
        <v>#A</v>
      </c>
      <c r="B37" s="183">
        <f ca="1"/>
        <v>112</v>
      </c>
      <c r="C37" s="183" t="str">
        <f ca="1"/>
        <v>Bartlett Fabrication</v>
      </c>
      <c r="D37" s="183" t="str">
        <f ca="1"/>
        <v>2499-005</v>
      </c>
      <c r="E37" s="183">
        <f ca="1"/>
        <v>45846</v>
      </c>
      <c r="F37" s="183" t="str">
        <f ca="1"/>
        <v>PC</v>
      </c>
      <c r="G37" s="183">
        <f ca="1"/>
        <v>1000</v>
      </c>
      <c r="H37" s="183" t="str">
        <f ca="1"/>
        <v>Pre Pro Meals</v>
      </c>
      <c r="I37" s="183"/>
    </row>
    <row r="38" spans="1:9">
      <c r="A38" t="str">
        <f ca="1"/>
        <v>#B</v>
      </c>
      <c r="B38" s="183">
        <f ca="1"/>
        <v>113</v>
      </c>
      <c r="C38" s="183" t="str">
        <f ca="1"/>
        <v>Bartlett Fabrication</v>
      </c>
      <c r="D38" s="183" t="str">
        <f ca="1"/>
        <v>2499-005</v>
      </c>
      <c r="E38" s="183">
        <f ca="1"/>
        <v>45846</v>
      </c>
      <c r="F38" s="183" t="str">
        <f ca="1"/>
        <v>PC</v>
      </c>
      <c r="G38" s="183">
        <f ca="1"/>
        <v>1000</v>
      </c>
      <c r="H38" s="183" t="str">
        <f ca="1"/>
        <v>Location Scouting Expenses</v>
      </c>
      <c r="I38" s="183"/>
    </row>
    <row r="39" spans="1:9">
      <c r="A39" t="str">
        <f ca="1"/>
        <v>#C</v>
      </c>
      <c r="B39">
        <f ca="1"/>
        <v>114</v>
      </c>
      <c r="C39" t="str">
        <f ca="1"/>
        <v>Bartlett Fabrication</v>
      </c>
      <c r="D39" t="str">
        <f ca="1"/>
        <v>2499-005</v>
      </c>
      <c r="E39">
        <f ca="1"/>
        <v>45846</v>
      </c>
      <c r="F39" t="str">
        <f ca="1"/>
        <v>PC</v>
      </c>
      <c r="G39">
        <f ca="1"/>
        <v>2000</v>
      </c>
      <c r="H39" t="str">
        <f ca="1"/>
        <v>Location Fees - House/Grocery Store</v>
      </c>
    </row>
    <row r="40" spans="1:9">
      <c r="A40" t="str">
        <f ca="1"/>
        <v>#D</v>
      </c>
      <c r="B40">
        <f ca="1"/>
        <v>116</v>
      </c>
      <c r="C40" t="str">
        <f ca="1"/>
        <v>Bartlett Fabrication</v>
      </c>
      <c r="D40" t="str">
        <f ca="1"/>
        <v>2499-005</v>
      </c>
      <c r="E40">
        <f ca="1"/>
        <v>45846</v>
      </c>
      <c r="F40" t="str">
        <f ca="1"/>
        <v>PC</v>
      </c>
      <c r="G40">
        <f ca="1"/>
        <v>1000</v>
      </c>
      <c r="H40" t="str">
        <f ca="1"/>
        <v>Basecamp</v>
      </c>
    </row>
    <row r="41" spans="1:9">
      <c r="A41" t="str">
        <f ca="1"/>
        <v>#E</v>
      </c>
      <c r="B41">
        <f ca="1"/>
        <v>117</v>
      </c>
      <c r="C41" t="str">
        <f ca="1"/>
        <v>Bartlett Fabrication</v>
      </c>
      <c r="D41" t="str">
        <f ca="1"/>
        <v>2499-005</v>
      </c>
      <c r="E41">
        <f ca="1"/>
        <v>45846</v>
      </c>
      <c r="F41" t="str">
        <f ca="1"/>
        <v>PC</v>
      </c>
      <c r="G41">
        <f ca="1"/>
        <v>1000</v>
      </c>
      <c r="H41" t="str">
        <f ca="1"/>
        <v>Crew Shuttles</v>
      </c>
    </row>
    <row r="42" spans="1:9">
      <c r="A42" t="str">
        <f ca="1"/>
        <v>#F</v>
      </c>
      <c r="B42">
        <f ca="1"/>
        <v>118</v>
      </c>
      <c r="C42" t="str">
        <f ca="1"/>
        <v>Bartlett Fabrication</v>
      </c>
      <c r="D42" t="str">
        <f ca="1"/>
        <v>2499-005</v>
      </c>
      <c r="E42">
        <f ca="1"/>
        <v>45846</v>
      </c>
      <c r="F42" t="str">
        <f ca="1"/>
        <v>PC</v>
      </c>
      <c r="G42">
        <f ca="1"/>
        <v>1000</v>
      </c>
      <c r="H42" t="str">
        <f ca="1"/>
        <v>Dressing Room Vehicles</v>
      </c>
    </row>
    <row r="43" spans="1:9">
      <c r="A43" t="str">
        <f ca="1"/>
        <v>#G</v>
      </c>
      <c r="B43">
        <f ca="1"/>
        <v>144</v>
      </c>
      <c r="C43" t="str">
        <f ca="1"/>
        <v>Bartlett Fabrication</v>
      </c>
      <c r="D43" t="str">
        <f ca="1"/>
        <v>2499-005</v>
      </c>
      <c r="E43">
        <f ca="1"/>
        <v>45847</v>
      </c>
      <c r="F43" t="str">
        <f ca="1"/>
        <v>PC</v>
      </c>
      <c r="G43">
        <f ca="1"/>
        <v>800</v>
      </c>
      <c r="H43" t="str">
        <f ca="1"/>
        <v>Wardrobe Rentals</v>
      </c>
    </row>
    <row r="46" spans="1:9">
      <c r="G46">
        <f ca="1">SUM('PO Log (2)'!$G$6:INDEX('PO Log (2)'!$G:$G, COUNTA('PO Log (2)'!$A:$A) + 5))</f>
        <v>18800</v>
      </c>
    </row>
    <row r="105" spans="6:7">
      <c r="F105" s="39" t="s">
        <v>21</v>
      </c>
      <c r="G105" s="38">
        <f ca="1">SUM('PO Log (2)'!$G$6:INDEX('PO Log (2)'!$G:$G, COUNTA('PO Log (2)'!$A:$A) + 5))</f>
        <v>18800</v>
      </c>
    </row>
  </sheetData>
  <mergeCells count="1">
    <mergeCell ref="B3:I3"/>
  </mergeCells>
  <conditionalFormatting sqref="H6:H38">
    <cfRule type="containsText" dxfId="12" priority="1" operator="containsText" text="zzzz">
      <formula>NOT(ISERROR(SEARCH("zzzz",H6)))</formula>
    </cfRule>
  </conditionalFormatting>
  <pageMargins left="0.7" right="0.7" top="0.75" bottom="0.75" header="0.3" footer="0.3"/>
  <pageSetup orientation="portrait" horizontalDpi="0" verticalDpi="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4075C-EB0E-8B4F-85C4-CA1785943305}">
  <sheetPr codeName="Sheet6">
    <pageSetUpPr fitToPage="1"/>
  </sheetPr>
  <dimension ref="A1:AX50"/>
  <sheetViews>
    <sheetView topLeftCell="C1" zoomScale="75" zoomScaleNormal="100" workbookViewId="0">
      <selection activeCell="AD22" sqref="AD22"/>
    </sheetView>
    <sheetView topLeftCell="I14" workbookViewId="1">
      <selection activeCell="Y30" sqref="Y30"/>
    </sheetView>
  </sheetViews>
  <sheetFormatPr baseColWidth="10" defaultColWidth="8.83203125" defaultRowHeight="14"/>
  <cols>
    <col min="1" max="1" width="0.83203125" style="1" customWidth="1"/>
    <col min="2" max="2" width="10.1640625" style="1" customWidth="1"/>
    <col min="3" max="3" width="14.6640625" style="1" customWidth="1"/>
    <col min="4" max="4" width="10.1640625" style="1" customWidth="1"/>
    <col min="5" max="5" width="13.5" style="1" customWidth="1"/>
    <col min="6" max="6" width="11.6640625" style="1" bestFit="1" customWidth="1"/>
    <col min="7" max="7" width="10.1640625" style="1" customWidth="1"/>
    <col min="8" max="8" width="18.83203125" style="1" customWidth="1"/>
    <col min="9" max="9" width="13.33203125" style="1" customWidth="1"/>
    <col min="10" max="11" width="5.83203125" style="1" customWidth="1"/>
    <col min="12" max="12" width="6.33203125" style="1" customWidth="1"/>
    <col min="13" max="13" width="6.1640625" style="1" customWidth="1"/>
    <col min="14" max="14" width="5.6640625" style="1" customWidth="1"/>
    <col min="15" max="15" width="5.33203125" style="1" customWidth="1"/>
    <col min="16" max="16" width="5.6640625" style="1" customWidth="1"/>
    <col min="17" max="18" width="5" style="1" customWidth="1"/>
    <col min="19" max="21" width="5.83203125" style="1" customWidth="1"/>
    <col min="22" max="22" width="6.1640625" style="1" customWidth="1"/>
    <col min="23" max="23" width="13.6640625" style="1" customWidth="1"/>
    <col min="24" max="24" width="8" style="1" customWidth="1"/>
    <col min="25" max="25" width="10.33203125" style="1" customWidth="1"/>
    <col min="26" max="26" width="11.83203125" style="1" customWidth="1"/>
    <col min="27" max="27" width="11" style="1" customWidth="1"/>
    <col min="28" max="29" width="11.83203125" style="1" customWidth="1"/>
    <col min="30" max="30" width="23.33203125" style="1" customWidth="1"/>
    <col min="31" max="31" width="8.83203125" style="1"/>
    <col min="32" max="32" width="3.33203125" style="1" customWidth="1"/>
    <col min="33" max="33" width="5.1640625" style="1" customWidth="1"/>
    <col min="34" max="37" width="8.83203125" style="1"/>
    <col min="38" max="38" width="8.83203125" style="1" customWidth="1"/>
    <col min="39" max="16384" width="8.83203125" style="1"/>
  </cols>
  <sheetData>
    <row r="1" spans="1:47" ht="45" customHeight="1">
      <c r="A1" s="41"/>
      <c r="B1" s="143" t="s">
        <v>258</v>
      </c>
      <c r="C1" s="143"/>
      <c r="D1" s="143"/>
      <c r="E1" s="143"/>
      <c r="G1" s="234"/>
      <c r="H1" s="234"/>
      <c r="I1" s="235"/>
      <c r="J1" s="185"/>
      <c r="K1" s="185"/>
      <c r="L1" s="185"/>
      <c r="M1" s="185"/>
      <c r="N1" s="185"/>
      <c r="O1" s="185"/>
      <c r="P1" s="185"/>
      <c r="Q1" s="185"/>
      <c r="R1" s="185"/>
      <c r="S1" s="185"/>
      <c r="T1" s="185"/>
      <c r="U1" s="185"/>
      <c r="V1" s="185"/>
      <c r="W1" s="185"/>
      <c r="X1" s="185"/>
      <c r="Y1" s="185"/>
      <c r="Z1" s="185"/>
      <c r="AA1" s="185"/>
      <c r="AB1" s="185"/>
      <c r="AC1" s="185"/>
      <c r="AD1" s="185"/>
      <c r="AE1" s="185"/>
      <c r="AF1" s="185"/>
      <c r="AG1" s="185"/>
      <c r="AH1" s="185"/>
      <c r="AI1" s="186" t="s">
        <v>321</v>
      </c>
      <c r="AJ1" s="185"/>
      <c r="AK1" s="185"/>
      <c r="AL1" s="185"/>
      <c r="AM1" s="185"/>
      <c r="AN1" s="185"/>
      <c r="AO1" s="185"/>
      <c r="AP1" s="185"/>
      <c r="AQ1" s="185"/>
      <c r="AR1" s="185"/>
      <c r="AS1" s="185"/>
      <c r="AT1" s="185"/>
      <c r="AU1" s="185"/>
    </row>
    <row r="2" spans="1:47" ht="12.75" customHeight="1">
      <c r="A2" s="42"/>
      <c r="B2" s="236"/>
      <c r="C2" s="237"/>
      <c r="D2" s="238"/>
      <c r="E2" s="238"/>
      <c r="F2" s="238"/>
      <c r="G2" s="238"/>
      <c r="I2" s="76"/>
      <c r="J2" s="185"/>
      <c r="K2" s="185"/>
      <c r="L2" s="185"/>
      <c r="M2" s="185"/>
      <c r="N2" s="185"/>
      <c r="O2" s="185"/>
      <c r="P2" s="185"/>
      <c r="Q2" s="185"/>
      <c r="R2" s="185"/>
      <c r="S2" s="185"/>
      <c r="T2" s="185"/>
      <c r="U2" s="185"/>
      <c r="V2" s="185"/>
      <c r="W2" s="185"/>
      <c r="X2" s="185"/>
      <c r="Y2" s="185"/>
      <c r="Z2" s="185"/>
      <c r="AA2" s="185"/>
      <c r="AB2" s="185"/>
      <c r="AC2" s="185"/>
      <c r="AD2" s="186" t="s">
        <v>323</v>
      </c>
      <c r="AE2" s="185"/>
      <c r="AF2" s="185"/>
      <c r="AG2" s="185"/>
      <c r="AH2" s="185"/>
      <c r="AI2" s="185" t="s">
        <v>322</v>
      </c>
      <c r="AJ2" s="185"/>
      <c r="AK2" s="185"/>
      <c r="AL2" s="185"/>
      <c r="AM2" s="185"/>
      <c r="AN2" s="185"/>
      <c r="AO2" s="185"/>
      <c r="AP2" s="185"/>
      <c r="AQ2" s="185"/>
      <c r="AR2" s="185"/>
      <c r="AS2" s="185"/>
      <c r="AT2" s="185"/>
      <c r="AU2" s="185"/>
    </row>
    <row r="3" spans="1:47" ht="22">
      <c r="A3" s="42"/>
      <c r="B3" s="77" t="s">
        <v>14</v>
      </c>
      <c r="C3" s="43"/>
      <c r="D3" s="44"/>
      <c r="E3" s="44"/>
      <c r="F3" s="45" t="s">
        <v>13</v>
      </c>
      <c r="G3" s="239" t="s">
        <v>243</v>
      </c>
      <c r="H3" s="239"/>
      <c r="I3" s="240"/>
      <c r="J3" s="232"/>
      <c r="K3" s="233"/>
      <c r="L3" s="233"/>
      <c r="M3" s="233"/>
      <c r="N3" s="233"/>
      <c r="O3" s="233"/>
      <c r="P3" s="233"/>
      <c r="Q3" s="233"/>
      <c r="R3" s="233"/>
      <c r="S3" s="233"/>
      <c r="T3" s="233"/>
      <c r="U3" s="233"/>
      <c r="V3" s="233"/>
      <c r="W3" s="233"/>
      <c r="X3" s="115" t="s">
        <v>308</v>
      </c>
      <c r="Y3" s="117" t="s">
        <v>309</v>
      </c>
      <c r="Z3" s="117" t="s">
        <v>310</v>
      </c>
      <c r="AA3" s="117" t="s">
        <v>311</v>
      </c>
      <c r="AD3" s="115" t="s">
        <v>319</v>
      </c>
      <c r="AM3" s="1" t="s">
        <v>324</v>
      </c>
      <c r="AR3" s="185"/>
      <c r="AS3" s="185"/>
      <c r="AT3" s="185"/>
      <c r="AU3" s="185"/>
    </row>
    <row r="4" spans="1:47" s="3" customFormat="1" ht="29" customHeight="1">
      <c r="A4" s="46"/>
      <c r="B4" s="241"/>
      <c r="C4" s="242"/>
      <c r="D4" s="242"/>
      <c r="E4" s="242"/>
      <c r="F4" s="242"/>
      <c r="G4" s="242"/>
      <c r="H4" s="47"/>
      <c r="I4" s="78"/>
      <c r="J4" s="187"/>
      <c r="K4" s="187"/>
      <c r="L4" s="187"/>
      <c r="M4" s="187"/>
      <c r="N4" s="187"/>
      <c r="O4" s="187"/>
      <c r="P4" s="187"/>
      <c r="Q4" s="187"/>
      <c r="R4" s="187"/>
      <c r="S4" s="187"/>
      <c r="T4" s="187"/>
      <c r="U4" s="187"/>
      <c r="V4" s="187"/>
      <c r="W4" s="187"/>
      <c r="X4" s="4" cm="1">
        <f t="array" ref="X4:X9">IFERROR(
INDEX(
_xlfn._xlws.FILTER(
_xlfn.UNIQUE(
LineEntryOLD2,
),_xlfn.UNIQUE(
LineEntryOLD2,
)&lt;&gt;0
),_xlfn.SEQUENCE(6,1)
),"")</f>
        <v>204</v>
      </c>
      <c r="Y4" s="4" cm="1">
        <f t="array" ref="Y4">SUMPRODUCT(--(TRIM(X4:X12)&lt;&gt;""))</f>
        <v>6</v>
      </c>
      <c r="Z4" s="4" t="str" cm="1">
        <f t="array" ref="Z4:Z6">_xlfn._xlws.SORT(INDEX(AF7:AF16, 1):INDEX(AF7:AF9, AG7), 1, TRUE)</f>
        <v>CASH</v>
      </c>
      <c r="AA4" s="4" t="str" cm="1">
        <f t="array" ref="AA4">IF(Z4="","",IFERROR(INDEX(Description, MATCH(Z4, LINEOld, 0)), "Not Found"))</f>
        <v>Not Found</v>
      </c>
      <c r="AD4" s="120" cm="1">
        <f t="array" ref="AD4:AF9">IFERROR(
    INDEX(
        _xlfn._xlws.FILTER(
            _xlfn.UNIQUE(_xlfn.HSTACK(LineEntryOLD2, DateEntryOld, PayIDEntryOld2)),
            _xlfn.BYROW(_xlfn.UNIQUE(_xlfn.HSTACK(LineEntryOLD2, DateEntryOld, PayIDEntryOld2)), _xlfn.LAMBDA(_xlpm.row, SUM(_xlpm.row)&lt;&gt;0))
        ),
        _xlfn.SEQUENCE(6,1),
        {1,2,3}
    ),
    ""
)</f>
        <v>204</v>
      </c>
      <c r="AE4" s="126">
        <v>45849</v>
      </c>
      <c r="AF4" s="120" t="str">
        <v>CC 2456</v>
      </c>
      <c r="AM4" s="148" t="s">
        <v>335</v>
      </c>
      <c r="AO4" s="3" t="str" cm="1">
        <f t="array" ref="AO4">IFERROR(
    _xlfn.WRAPCOLS(
        INDEX(
            _xlfn._xlws.FILTER(
                _xlfn.UNIQUE(_xlfn.HSTACK(LineEntryOLD2, DateEntryOld, PayIDEntryOld2)),
                _xlfn.BYROW(_xlfn.UNIQUE(_xlfn.HSTACK(LineEntryOLD2, DateEntryOld, PayIDEntryOld2)), _xlfn.LAMBDA(_xlpm.row, SUM(_xlpm.row)&lt;&gt;0))
            ),
            _xlfn.SEQUENCE(6,1),
            {1,2,3}
        ),
        3
    ),
    ""
)</f>
        <v/>
      </c>
      <c r="AQ4" s="3" t="e" cm="1" vm="1">
        <f t="array" aca="1" ref="AQ4" ca="1">IFERROR(
    _xlfn.WRAPCOLS(
        _xlfn.TOCOL(
            INDEX(
                _xlfn._xlws.FILTER(
                    _xlfn.UNIQUE(_xlfn.HSTACK(LineEntryOLD2, DateEntryOld, PayIDEntryOld2)),
                    _xlfn.BYROW(_xlfn.UNIQUE(_xlfn.HSTACK(LineEntryOLD2, DateEntryOld, PayIDEntryOld2)), _xlfn.LAMBDA(_xlpm.row, SUM(_xlpm.row)&lt;&gt;0))
                ),
                _xlfn.SEQUENCE(6,1),
                {1,2,3}
            )
        ),
        3
    ),
    ""
)</f>
        <v>#VALUE!</v>
      </c>
      <c r="AR4" s="187">
        <v>205</v>
      </c>
      <c r="AS4" s="187">
        <v>112</v>
      </c>
      <c r="AT4" s="187">
        <v>1</v>
      </c>
      <c r="AU4" s="187"/>
    </row>
    <row r="5" spans="1:47" s="4" customFormat="1" ht="16" customHeight="1">
      <c r="A5" s="48"/>
      <c r="B5" s="79" t="s">
        <v>259</v>
      </c>
      <c r="C5" s="247"/>
      <c r="D5" s="248"/>
      <c r="E5" s="243"/>
      <c r="F5" s="243"/>
      <c r="G5" s="243"/>
      <c r="H5" s="243"/>
      <c r="I5" s="80"/>
      <c r="J5" s="188"/>
      <c r="K5" s="188"/>
      <c r="L5" s="188"/>
      <c r="M5" s="188"/>
      <c r="N5" s="188"/>
      <c r="O5" s="188"/>
      <c r="P5" s="188"/>
      <c r="Q5" s="188"/>
      <c r="R5" s="188"/>
      <c r="S5" s="188"/>
      <c r="T5" s="188"/>
      <c r="U5" s="188"/>
      <c r="V5" s="188"/>
      <c r="W5" s="188"/>
      <c r="X5" s="4">
        <v>205</v>
      </c>
      <c r="Z5" s="4" t="str">
        <v>CC 2456</v>
      </c>
      <c r="AA5" s="4" t="str" cm="1">
        <f t="array" ref="AA5">IF(Z5="","",IFERROR(INDEX(Description, MATCH(Z5, LINEOld, 0)), "Not Found"))</f>
        <v>Not Found</v>
      </c>
      <c r="AD5" s="121">
        <v>205</v>
      </c>
      <c r="AE5" s="127">
        <v>45849</v>
      </c>
      <c r="AF5" s="121" t="str">
        <v>CC 2456</v>
      </c>
      <c r="AH5" t="e" cm="1">
        <f t="array" ref="AH5">_xlfn._xlws.FILTER(_xlfn.UNIQUE(_xlfn.HSTACK(LineEntryOLD2, DateEntryOld, PayIDEntryOld2)), _xlfn.UNIQUE(_xlfn.HSTACK(LineEntryOLD2, DateEntryOld, PayIDEntryOld2))&lt;&gt;0)</f>
        <v>#VALUE!</v>
      </c>
      <c r="AR5" s="188">
        <v>45849</v>
      </c>
      <c r="AS5" s="188">
        <v>45848</v>
      </c>
      <c r="AT5" s="188">
        <v>45849</v>
      </c>
      <c r="AU5" s="188"/>
    </row>
    <row r="6" spans="1:47" s="4" customFormat="1" ht="16">
      <c r="A6" s="48"/>
      <c r="B6" s="81"/>
      <c r="C6" s="249"/>
      <c r="D6" s="250"/>
      <c r="E6" s="243"/>
      <c r="F6" s="243"/>
      <c r="G6" s="243"/>
      <c r="H6" s="243"/>
      <c r="I6" s="82"/>
      <c r="J6" s="188"/>
      <c r="K6" s="188"/>
      <c r="L6" s="188"/>
      <c r="M6" s="188"/>
      <c r="N6" s="188"/>
      <c r="O6" s="188"/>
      <c r="P6" s="188"/>
      <c r="Q6" s="188"/>
      <c r="R6" s="188"/>
      <c r="S6" s="188"/>
      <c r="T6" s="188"/>
      <c r="U6" s="188"/>
      <c r="V6" s="188"/>
      <c r="W6" s="188"/>
      <c r="X6" s="4" t="str">
        <v>PC</v>
      </c>
      <c r="Z6" s="4" t="str">
        <v>CC 2456</v>
      </c>
      <c r="AA6" s="4" t="str" cm="1">
        <f t="array" ref="AA6">IF(Z6="","",IFERROR(INDEX(Description, MATCH(Z6, LINEOld, 0)), "Not Found"))</f>
        <v>Not Found</v>
      </c>
      <c r="AD6" s="121" t="str">
        <v>PC</v>
      </c>
      <c r="AE6" s="127">
        <v>45848</v>
      </c>
      <c r="AF6" s="121" t="str">
        <v>CASH</v>
      </c>
      <c r="AR6" s="188" t="s">
        <v>313</v>
      </c>
      <c r="AS6" s="188" t="s">
        <v>327</v>
      </c>
      <c r="AT6" s="188" t="s">
        <v>5</v>
      </c>
      <c r="AU6" s="188"/>
    </row>
    <row r="7" spans="1:47" s="4" customFormat="1" ht="16">
      <c r="A7" s="48"/>
      <c r="B7" s="244"/>
      <c r="C7" s="245"/>
      <c r="D7" s="246"/>
      <c r="E7" s="246"/>
      <c r="F7" s="51"/>
      <c r="G7" s="51"/>
      <c r="H7" s="51"/>
      <c r="I7" s="84"/>
      <c r="J7" s="188"/>
      <c r="K7" s="188"/>
      <c r="L7" s="188"/>
      <c r="M7" s="188"/>
      <c r="N7" s="188"/>
      <c r="O7" s="188"/>
      <c r="P7" s="188"/>
      <c r="Q7" s="188"/>
      <c r="R7" s="188"/>
      <c r="S7" s="188"/>
      <c r="T7" s="188"/>
      <c r="U7" s="188"/>
      <c r="V7" s="188"/>
      <c r="W7" s="188"/>
      <c r="X7" s="4">
        <v>1</v>
      </c>
      <c r="AA7" s="4" t="str" cm="1">
        <f t="array" ref="AA7">IF(Z7="","",IFERROR(INDEX(Description, MATCH(Z7, LINEOld, 0)), "Not Found"))</f>
        <v/>
      </c>
      <c r="AD7" s="121">
        <v>1</v>
      </c>
      <c r="AE7" s="127">
        <v>45849</v>
      </c>
      <c r="AF7" s="121" t="str">
        <v>CASH</v>
      </c>
      <c r="AR7" s="188"/>
      <c r="AS7" s="188"/>
      <c r="AT7" s="188"/>
      <c r="AU7" s="188"/>
    </row>
    <row r="8" spans="1:47" s="4" customFormat="1" ht="16">
      <c r="A8" s="48"/>
      <c r="B8" s="83"/>
      <c r="C8" s="49"/>
      <c r="D8" s="50"/>
      <c r="E8" s="50"/>
      <c r="F8" s="51"/>
      <c r="G8" s="51"/>
      <c r="H8" s="51"/>
      <c r="I8" s="84"/>
      <c r="J8" s="188"/>
      <c r="K8" s="188"/>
      <c r="L8" s="188"/>
      <c r="M8" s="188"/>
      <c r="N8" s="188"/>
      <c r="O8" s="188"/>
      <c r="P8" s="188"/>
      <c r="Q8" s="188"/>
      <c r="R8" s="188"/>
      <c r="S8" s="188"/>
      <c r="T8" s="188"/>
      <c r="U8" s="188"/>
      <c r="V8" s="188"/>
      <c r="W8" s="188"/>
      <c r="X8" s="4">
        <v>5</v>
      </c>
      <c r="AA8" s="4" t="str" cm="1">
        <f t="array" ref="AA8">IF(Z8="","",IFERROR(INDEX(Description, MATCH(Z8, LINEOld, 0)), "Not Found"))</f>
        <v/>
      </c>
      <c r="AD8" s="121">
        <v>5</v>
      </c>
      <c r="AE8" s="127">
        <v>45849</v>
      </c>
      <c r="AF8" s="121" t="str">
        <v>CC 2456</v>
      </c>
      <c r="AR8" s="188"/>
      <c r="AS8" s="188"/>
      <c r="AT8" s="188"/>
      <c r="AU8" s="188"/>
    </row>
    <row r="9" spans="1:47" s="4" customFormat="1" ht="16">
      <c r="A9" s="48"/>
      <c r="B9" s="85" t="s">
        <v>12</v>
      </c>
      <c r="C9" s="251" t="str">
        <f>IFERROR(
    IF(ISNUMBER(MATCH(Sheet_PO,#REF!, 0)),
       IF(INDEX(#REF!, MATCH(Sheet_PO,#REF!, 0)) = "", "",
          INDEX(#REF!, MATCH(Sheet_PO,#REF!, 0))),
       ""),
    "No match found")</f>
        <v/>
      </c>
      <c r="D9" s="251"/>
      <c r="E9" s="52" t="s">
        <v>11</v>
      </c>
      <c r="F9" s="252" t="str">
        <f>IF(TRIM(Job_Number)="", "", Job_Number)</f>
        <v/>
      </c>
      <c r="G9" s="252"/>
      <c r="H9" s="252"/>
      <c r="I9" s="253"/>
      <c r="J9" s="188"/>
      <c r="K9" s="188"/>
      <c r="L9" s="188"/>
      <c r="M9" s="188"/>
      <c r="N9" s="188"/>
      <c r="O9" s="188"/>
      <c r="P9" s="188"/>
      <c r="Q9" s="188"/>
      <c r="R9" s="188"/>
      <c r="S9" s="188"/>
      <c r="T9" s="188"/>
      <c r="U9" s="188"/>
      <c r="V9" s="188"/>
      <c r="W9" s="188"/>
      <c r="X9" s="4">
        <v>6</v>
      </c>
      <c r="AA9" s="4" t="str" cm="1">
        <f t="array" ref="AA9">IF(Z9="","",IFERROR(INDEX(Description, MATCH(Z9, LINEOld, 0)), "Not Found"))</f>
        <v/>
      </c>
      <c r="AD9" s="121">
        <v>6</v>
      </c>
      <c r="AE9" s="127">
        <v>45849</v>
      </c>
      <c r="AF9" s="121" t="str">
        <v>CC 2456</v>
      </c>
      <c r="AH9" s="4" t="b" cm="1">
        <f t="array" ref="AH9:AJ15">_xlfn.UNIQUE(_xlfn.HSTACK(LineEntryOLD2,DateEntryOld,PayIDEntryOld2))&lt;&gt;0</f>
        <v>1</v>
      </c>
      <c r="AI9" s="4" t="b">
        <v>1</v>
      </c>
      <c r="AJ9" s="4" t="b">
        <v>1</v>
      </c>
      <c r="AR9" s="188"/>
      <c r="AS9" s="188"/>
      <c r="AT9" s="188"/>
      <c r="AU9" s="188"/>
    </row>
    <row r="10" spans="1:47" s="4" customFormat="1" ht="14" customHeight="1">
      <c r="A10" s="48"/>
      <c r="B10" s="85" t="s">
        <v>10</v>
      </c>
      <c r="C10" s="223" t="s">
        <v>332</v>
      </c>
      <c r="D10" s="223"/>
      <c r="E10" s="52" t="s">
        <v>9</v>
      </c>
      <c r="F10" s="224" t="str">
        <f>IF(TRIM(Job_Name)="", "", Job_Name)</f>
        <v/>
      </c>
      <c r="G10" s="224"/>
      <c r="H10" s="224"/>
      <c r="I10" s="225"/>
      <c r="J10" s="188"/>
      <c r="K10" s="188"/>
      <c r="L10" s="188"/>
      <c r="M10" s="188"/>
      <c r="N10" s="188"/>
      <c r="O10" s="188"/>
      <c r="P10" s="188"/>
      <c r="Q10" s="188"/>
      <c r="R10" s="188"/>
      <c r="S10" s="188"/>
      <c r="T10" s="188"/>
      <c r="U10" s="188"/>
      <c r="V10" s="188"/>
      <c r="W10" s="187"/>
      <c r="AA10" s="4" t="str" cm="1">
        <f t="array" ref="AA10">IF(Z10="","",IFERROR(INDEX(Description, MATCH(Z10, LINEOld, 0)), "Not Found"))</f>
        <v/>
      </c>
      <c r="AH10" s="4" t="b">
        <v>1</v>
      </c>
      <c r="AI10" s="4" t="b">
        <v>1</v>
      </c>
      <c r="AJ10" s="4" t="b">
        <v>1</v>
      </c>
      <c r="AR10" s="188"/>
      <c r="AS10" s="188"/>
      <c r="AT10" s="188"/>
      <c r="AU10" s="188"/>
    </row>
    <row r="11" spans="1:47" s="4" customFormat="1" ht="17">
      <c r="A11" s="48"/>
      <c r="B11" s="86"/>
      <c r="C11" s="223"/>
      <c r="D11" s="223"/>
      <c r="E11" s="53"/>
      <c r="I11" s="87"/>
      <c r="J11" s="188"/>
      <c r="K11" s="188"/>
      <c r="L11" s="188"/>
      <c r="M11" s="188"/>
      <c r="N11" s="188"/>
      <c r="O11" s="188"/>
      <c r="P11" s="188"/>
      <c r="Q11" s="188"/>
      <c r="R11" s="188"/>
      <c r="S11" s="188"/>
      <c r="T11" s="188"/>
      <c r="U11" s="188"/>
      <c r="V11" s="188"/>
      <c r="W11" s="188"/>
      <c r="AA11" s="4" t="str" cm="1">
        <f t="array" ref="AA11">IF(Z11="","",IFERROR(INDEX(Description, MATCH(Z11, LINEOld, 0)), "Not Found"))</f>
        <v/>
      </c>
      <c r="AD11" s="119" t="e" cm="1" vm="2">
        <f t="array" aca="1" ref="AD11" ca="1">_xlfn.UNIQUE(_xlfn.HSTACK(LineEntryOLD2, DateEntryOld, PayIDEntryOld2))&lt;&gt;0</f>
        <v>#VALUE!</v>
      </c>
      <c r="AH11" s="4" t="b">
        <v>1</v>
      </c>
      <c r="AI11" s="4" t="b">
        <v>1</v>
      </c>
      <c r="AJ11" s="4" t="b">
        <v>1</v>
      </c>
      <c r="AR11" s="188"/>
      <c r="AS11" s="188"/>
      <c r="AT11" s="188"/>
      <c r="AU11" s="188"/>
    </row>
    <row r="12" spans="1:47" s="4" customFormat="1" ht="22" customHeight="1">
      <c r="A12" s="48"/>
      <c r="B12" s="85" t="s">
        <v>8</v>
      </c>
      <c r="C12" s="223"/>
      <c r="D12" s="223"/>
      <c r="E12" s="52" t="s">
        <v>7</v>
      </c>
      <c r="F12" s="7"/>
      <c r="G12" s="7"/>
      <c r="H12" s="7"/>
      <c r="I12" s="88"/>
      <c r="J12" s="188"/>
      <c r="K12" s="188"/>
      <c r="L12" s="188"/>
      <c r="M12" s="188"/>
      <c r="N12" s="188"/>
      <c r="O12" s="188"/>
      <c r="P12" s="188"/>
      <c r="Q12" s="188"/>
      <c r="R12" s="188"/>
      <c r="S12" s="188"/>
      <c r="T12" s="188"/>
      <c r="U12" s="188"/>
      <c r="V12" s="188"/>
      <c r="W12" s="188"/>
      <c r="AA12" s="4" t="str" cm="1">
        <f t="array" ref="AA12">IF(Z12="","",IFERROR(INDEX(Description, MATCH(Z12, LINEOld, 0)), "Not Found"))</f>
        <v/>
      </c>
      <c r="AH12" s="4" t="b">
        <v>1</v>
      </c>
      <c r="AI12" s="4" t="b">
        <v>1</v>
      </c>
      <c r="AJ12" s="4" t="b">
        <v>1</v>
      </c>
      <c r="AR12" s="188"/>
      <c r="AS12" s="188"/>
      <c r="AT12" s="188"/>
      <c r="AU12" s="188"/>
    </row>
    <row r="13" spans="1:47" s="4" customFormat="1" ht="16">
      <c r="A13" s="48"/>
      <c r="B13" s="89"/>
      <c r="C13" s="223"/>
      <c r="D13" s="223"/>
      <c r="F13" s="218"/>
      <c r="G13" s="219"/>
      <c r="H13" s="219"/>
      <c r="I13" s="220"/>
      <c r="J13" s="188"/>
      <c r="K13" s="188"/>
      <c r="L13" s="188"/>
      <c r="M13" s="188"/>
      <c r="N13" s="188"/>
      <c r="O13" s="188"/>
      <c r="P13" s="188"/>
      <c r="Q13" s="188"/>
      <c r="R13" s="188"/>
      <c r="S13" s="188"/>
      <c r="T13" s="188"/>
      <c r="U13" s="188"/>
      <c r="V13" s="188"/>
      <c r="W13" s="188"/>
      <c r="AA13" s="4" t="str" cm="1">
        <f t="array" ref="AA13">IF(Z13="","",IFERROR(INDEX(Description, MATCH(Z13, LINEOld, 0)), "Not Found"))</f>
        <v/>
      </c>
      <c r="AH13" s="4" t="b">
        <v>1</v>
      </c>
      <c r="AI13" s="4" t="b">
        <v>1</v>
      </c>
      <c r="AJ13" s="4" t="b">
        <v>1</v>
      </c>
      <c r="AR13" s="188"/>
      <c r="AS13" s="188"/>
      <c r="AT13" s="188"/>
      <c r="AU13" s="188"/>
    </row>
    <row r="14" spans="1:47" s="4" customFormat="1" ht="16">
      <c r="A14" s="48"/>
      <c r="B14" s="89"/>
      <c r="C14" s="226"/>
      <c r="D14" s="226"/>
      <c r="E14" s="52" t="s">
        <v>265</v>
      </c>
      <c r="F14" s="218"/>
      <c r="G14" s="219"/>
      <c r="H14" s="219"/>
      <c r="I14" s="220"/>
      <c r="J14" s="188"/>
      <c r="K14" s="188"/>
      <c r="L14" s="188"/>
      <c r="M14" s="188"/>
      <c r="N14" s="188"/>
      <c r="O14" s="188"/>
      <c r="P14" s="188"/>
      <c r="Q14" s="188"/>
      <c r="R14" s="188"/>
      <c r="S14" s="188"/>
      <c r="T14" s="188"/>
      <c r="U14" s="188"/>
      <c r="V14" s="188"/>
      <c r="W14" s="188"/>
      <c r="X14" s="188"/>
      <c r="Y14" s="188"/>
      <c r="Z14" s="188"/>
      <c r="AA14" s="188"/>
      <c r="AB14" s="188"/>
      <c r="AC14" s="188"/>
      <c r="AD14" s="188" t="b">
        <v>1</v>
      </c>
      <c r="AE14" s="188" t="b">
        <v>1</v>
      </c>
      <c r="AF14" s="188" t="b">
        <v>1</v>
      </c>
      <c r="AG14" s="188"/>
      <c r="AH14" s="188" t="b">
        <v>1</v>
      </c>
      <c r="AI14" s="188" t="b">
        <v>1</v>
      </c>
      <c r="AJ14" s="188" t="b">
        <v>1</v>
      </c>
      <c r="AK14" s="188"/>
      <c r="AL14" s="188"/>
      <c r="AM14" s="188"/>
      <c r="AN14" s="188"/>
      <c r="AO14" s="188"/>
      <c r="AP14" s="188"/>
      <c r="AQ14" s="188"/>
      <c r="AR14" s="188"/>
      <c r="AS14" s="188"/>
      <c r="AT14" s="188"/>
      <c r="AU14" s="188"/>
    </row>
    <row r="15" spans="1:47" s="4" customFormat="1" ht="16">
      <c r="A15" s="48"/>
      <c r="B15" s="90"/>
      <c r="C15" s="54"/>
      <c r="D15" s="54"/>
      <c r="I15" s="87"/>
      <c r="J15" s="188"/>
      <c r="K15" s="188"/>
      <c r="L15" s="188"/>
      <c r="M15" s="188"/>
      <c r="N15" s="188"/>
      <c r="O15" s="188"/>
      <c r="P15" s="188"/>
      <c r="Q15" s="188"/>
      <c r="R15" s="188"/>
      <c r="S15" s="188"/>
      <c r="T15" s="188"/>
      <c r="U15" s="188"/>
      <c r="V15" s="188"/>
      <c r="W15" s="188"/>
      <c r="X15" s="188"/>
      <c r="Y15" s="188"/>
      <c r="Z15" s="188"/>
      <c r="AA15" s="188"/>
      <c r="AB15" s="188"/>
      <c r="AC15" s="188"/>
      <c r="AD15" s="188" t="b">
        <v>0</v>
      </c>
      <c r="AE15" s="188" t="b">
        <v>0</v>
      </c>
      <c r="AF15" s="188" t="b">
        <v>0</v>
      </c>
      <c r="AG15" s="188"/>
      <c r="AH15" s="188" t="b">
        <v>0</v>
      </c>
      <c r="AI15" s="188" t="b">
        <v>0</v>
      </c>
      <c r="AJ15" s="188" t="b">
        <v>0</v>
      </c>
      <c r="AK15" s="188"/>
      <c r="AL15" s="188"/>
      <c r="AM15" s="188"/>
      <c r="AN15" s="188"/>
      <c r="AO15" s="188"/>
      <c r="AP15" s="188"/>
      <c r="AQ15" s="188"/>
      <c r="AR15" s="188"/>
      <c r="AS15" s="188"/>
      <c r="AT15" s="188"/>
      <c r="AU15" s="188"/>
    </row>
    <row r="16" spans="1:47" s="3" customFormat="1" ht="23" customHeight="1">
      <c r="A16" s="46"/>
      <c r="B16" s="91" t="s">
        <v>6</v>
      </c>
      <c r="C16" s="55"/>
      <c r="D16" s="55"/>
      <c r="E16" s="55"/>
      <c r="F16" s="55"/>
      <c r="G16" s="70"/>
      <c r="H16" s="40"/>
      <c r="I16" s="92"/>
      <c r="J16" s="187"/>
      <c r="K16" s="187"/>
      <c r="L16" s="187"/>
      <c r="M16" s="187"/>
      <c r="N16" s="187"/>
      <c r="O16" s="187"/>
      <c r="P16" s="187"/>
      <c r="Q16" s="187"/>
      <c r="R16" s="187"/>
      <c r="S16" s="187"/>
      <c r="T16" s="187"/>
      <c r="U16" s="187"/>
      <c r="V16" s="187"/>
      <c r="W16" s="187"/>
      <c r="X16" s="187"/>
      <c r="Y16" s="187"/>
      <c r="Z16" s="187"/>
      <c r="AA16" s="187"/>
      <c r="AB16" s="187"/>
      <c r="AC16" s="187"/>
      <c r="AD16" s="187"/>
      <c r="AE16" s="187"/>
      <c r="AF16" s="187"/>
      <c r="AG16" s="187"/>
      <c r="AH16" s="187"/>
      <c r="AI16" s="187"/>
      <c r="AJ16" s="187"/>
      <c r="AK16" s="187"/>
      <c r="AL16" s="187"/>
      <c r="AM16" s="187"/>
      <c r="AN16" s="187"/>
      <c r="AO16" s="187"/>
      <c r="AP16" s="187"/>
      <c r="AQ16" s="187"/>
      <c r="AR16" s="187"/>
      <c r="AS16" s="187"/>
      <c r="AT16" s="187"/>
      <c r="AU16" s="187"/>
    </row>
    <row r="17" spans="1:50" s="3" customFormat="1" ht="23" customHeight="1">
      <c r="A17" s="46"/>
      <c r="B17" s="91"/>
      <c r="C17" s="71"/>
      <c r="D17" s="71"/>
      <c r="E17" s="71"/>
      <c r="F17" s="71"/>
      <c r="G17" s="72"/>
      <c r="H17" s="40"/>
      <c r="I17" s="92"/>
      <c r="J17" s="187"/>
      <c r="K17" s="187"/>
      <c r="L17" s="187"/>
      <c r="M17" s="187"/>
      <c r="N17" s="187"/>
      <c r="O17" s="187"/>
      <c r="P17" s="187"/>
      <c r="Q17" s="187"/>
      <c r="R17" s="187"/>
      <c r="S17" s="187"/>
      <c r="T17" s="187"/>
      <c r="U17" s="187"/>
      <c r="V17" s="187"/>
      <c r="W17" s="187"/>
      <c r="X17" s="187"/>
      <c r="Y17" s="187"/>
      <c r="Z17" s="187"/>
      <c r="AA17" s="187"/>
      <c r="AB17" s="187"/>
      <c r="AC17" s="187"/>
      <c r="AD17" s="187"/>
      <c r="AE17" s="189"/>
      <c r="AF17" s="189"/>
      <c r="AG17" s="189"/>
      <c r="AH17" s="189"/>
      <c r="AI17" s="189"/>
      <c r="AJ17" s="187"/>
      <c r="AK17" s="187"/>
      <c r="AS17" s="187"/>
      <c r="AT17" s="187"/>
      <c r="AU17" s="187"/>
    </row>
    <row r="18" spans="1:50" s="3" customFormat="1" ht="23" customHeight="1">
      <c r="A18" s="46"/>
      <c r="B18" s="91"/>
      <c r="C18" s="221"/>
      <c r="D18" s="221"/>
      <c r="E18" s="221"/>
      <c r="F18" s="221"/>
      <c r="G18" s="221"/>
      <c r="H18" s="221"/>
      <c r="I18" s="222"/>
      <c r="AL18" s="119" t="s">
        <v>320</v>
      </c>
    </row>
    <row r="19" spans="1:50" s="3" customFormat="1" ht="13" customHeight="1" thickBot="1">
      <c r="A19" s="46"/>
      <c r="B19" s="91"/>
      <c r="C19" s="221"/>
      <c r="D19" s="221"/>
      <c r="E19" s="221"/>
      <c r="F19" s="221"/>
      <c r="G19" s="221"/>
      <c r="H19" s="221"/>
      <c r="I19" s="222"/>
      <c r="AE19" s="4"/>
      <c r="AF19" s="4"/>
      <c r="AG19" s="4"/>
      <c r="AH19" s="4"/>
      <c r="AI19" s="4"/>
      <c r="AJ19" s="4"/>
      <c r="AK19" s="4"/>
    </row>
    <row r="20" spans="1:50" s="3" customFormat="1" ht="34" customHeight="1">
      <c r="A20" s="46"/>
      <c r="B20" s="91"/>
      <c r="C20" s="56"/>
      <c r="D20" s="56"/>
      <c r="E20" s="56"/>
      <c r="F20" s="56"/>
      <c r="G20" s="56"/>
      <c r="H20" s="56"/>
      <c r="I20" s="93"/>
      <c r="K20" s="137" t="s">
        <v>328</v>
      </c>
      <c r="L20" s="191" cm="1">
        <f t="array" ref="L20:S22">IFERROR(
    _xlfn.WRAPCOLS(
        _xlfn.TOCOL(
            INDEX(
                _xlfn._xlws.FILTER(
                    _xlfn.UNIQUE(_xlfn.HSTACK(LineEntry, DateEntry, PayIDEntry)),
                    _xlfn.BYROW(_xlfn.UNIQUE(_xlfn.HSTACK(LineEntry, DateEntry, PayIDEntry)), _xlfn.LAMBDA(_xlpm.row, SUM(_xlpm.row)&lt;&gt;0))
                ),
                _xlfn.SEQUENCE(8,1),
                {1,2,3}
            )
        ),
        3
    ),
    ""
)</f>
        <v>204</v>
      </c>
      <c r="M20" s="192">
        <v>205</v>
      </c>
      <c r="N20" s="192" t="str">
        <v>PC</v>
      </c>
      <c r="O20" s="192">
        <v>1</v>
      </c>
      <c r="P20" s="192">
        <v>5</v>
      </c>
      <c r="Q20" s="192">
        <v>6</v>
      </c>
      <c r="R20" s="192" t="str">
        <v/>
      </c>
      <c r="S20" s="192" t="str">
        <v/>
      </c>
      <c r="T20" s="193"/>
      <c r="U20" s="3" cm="1">
        <f t="array" ref="U20">SUMPRODUCT(--(TRIM(L20:T20)&lt;&gt;""))</f>
        <v>6</v>
      </c>
      <c r="V20" s="137" t="s">
        <v>328</v>
      </c>
      <c r="W20" s="134" cm="1">
        <f t="array" ref="W20:AB22">TRANSPOSE(_xlfn._xlws.SORT(TRANSPOSE(INDEX(L20:T22, _xlfn.SEQUENCE(ROWS(L20:T22)), _xlfn.SEQUENCE(,U20))), 1, TRUE))</f>
        <v>1</v>
      </c>
      <c r="X20" s="134">
        <v>5</v>
      </c>
      <c r="Y20" s="134">
        <v>6</v>
      </c>
      <c r="Z20" s="134">
        <v>204</v>
      </c>
      <c r="AA20" s="134">
        <v>205</v>
      </c>
      <c r="AB20" s="134" t="str">
        <v>PC</v>
      </c>
      <c r="AC20" s="134"/>
      <c r="AD20" s="134"/>
      <c r="AE20" s="134"/>
      <c r="AL20" s="208" t="s">
        <v>333</v>
      </c>
      <c r="AM20" s="208"/>
      <c r="AN20" s="208"/>
      <c r="AO20" s="208"/>
      <c r="AP20" s="208"/>
      <c r="AQ20" s="208"/>
      <c r="AR20" s="4" t="s">
        <v>334</v>
      </c>
    </row>
    <row r="21" spans="1:50" s="3" customFormat="1" ht="16" customHeight="1">
      <c r="A21" s="46"/>
      <c r="B21" s="91"/>
      <c r="C21" s="56"/>
      <c r="D21" s="56"/>
      <c r="E21" s="56"/>
      <c r="F21" s="56"/>
      <c r="G21" s="56"/>
      <c r="H21" s="56"/>
      <c r="I21" s="93"/>
      <c r="K21" s="137" t="s">
        <v>329</v>
      </c>
      <c r="L21" s="194">
        <v>45849</v>
      </c>
      <c r="M21" s="195">
        <v>45849</v>
      </c>
      <c r="N21" s="195">
        <v>45848</v>
      </c>
      <c r="O21" s="195">
        <v>45849</v>
      </c>
      <c r="P21" s="195">
        <v>45849</v>
      </c>
      <c r="Q21" s="195">
        <v>45849</v>
      </c>
      <c r="R21" s="195" t="str">
        <v/>
      </c>
      <c r="S21" s="195" t="str">
        <v/>
      </c>
      <c r="T21" s="196"/>
      <c r="V21" s="137" t="s">
        <v>329</v>
      </c>
      <c r="W21" s="135">
        <v>45849</v>
      </c>
      <c r="X21" s="135">
        <v>45849</v>
      </c>
      <c r="Y21" s="135">
        <v>45849</v>
      </c>
      <c r="Z21" s="135">
        <v>45849</v>
      </c>
      <c r="AA21" s="135">
        <v>45849</v>
      </c>
      <c r="AB21" s="135">
        <v>45848</v>
      </c>
      <c r="AC21" s="135"/>
      <c r="AD21" s="135"/>
      <c r="AE21" s="135"/>
      <c r="AL21" s="144" cm="1">
        <f t="array" ref="AL21:AQ23">IFERROR(
    _xlfn.WRAPCOLS(
        _xlfn.TOCOL(
            INDEX(
                _xlfn._xlws.FILTER(
                    _xlfn.UNIQUE(_xlfn.HSTACK(LineEntryOld3, DateEntryOld3, PayIDEntryOld3)),
                    _xlfn.BYROW(_xlfn.UNIQUE(_xlfn.HSTACK(LineEntryOld3, DateEntryOld3, PayIDEntryOld3)), _xlfn.LAMBDA(_xlpm.row, SUM(_xlpm.row)&lt;&gt;0))
                ),
                _xlfn.SEQUENCE(6,1),
                {1,2,3}
            )
        ),
        3
    ),
    ""
)</f>
        <v>204</v>
      </c>
      <c r="AM21" s="145">
        <v>205</v>
      </c>
      <c r="AN21" s="145" t="str">
        <v>PC</v>
      </c>
      <c r="AO21" s="145">
        <v>1</v>
      </c>
      <c r="AP21" s="145">
        <v>5</v>
      </c>
      <c r="AQ21" s="146">
        <v>6</v>
      </c>
      <c r="AR21" s="3" cm="1">
        <f t="array" ref="AR21">SUMPRODUCT(--(TRIM(AL21:AQ21)&lt;&gt;""))</f>
        <v>6</v>
      </c>
      <c r="AS21" s="3" cm="1">
        <f t="array" ref="AS21:AX23">_xlfn._xlws.SORT(AL21:AQ23, 1, TRUE, FALSE)</f>
        <v>204</v>
      </c>
      <c r="AT21" s="3">
        <v>205</v>
      </c>
      <c r="AU21" s="3" t="str">
        <v>PC</v>
      </c>
      <c r="AV21" s="3">
        <v>1</v>
      </c>
      <c r="AW21" s="3">
        <v>5</v>
      </c>
      <c r="AX21" s="3">
        <v>6</v>
      </c>
    </row>
    <row r="22" spans="1:50" ht="30" customHeight="1" thickBot="1">
      <c r="A22" s="42"/>
      <c r="B22" s="212"/>
      <c r="C22" s="213"/>
      <c r="D22" s="214"/>
      <c r="E22" s="214"/>
      <c r="F22" s="214"/>
      <c r="G22" s="214"/>
      <c r="H22" s="214"/>
      <c r="I22" s="215"/>
      <c r="K22" s="137" t="s">
        <v>330</v>
      </c>
      <c r="L22" s="197" t="str">
        <v>CC 2456</v>
      </c>
      <c r="M22" s="198" t="str">
        <v>CC 2456</v>
      </c>
      <c r="N22" s="198" t="str">
        <v>CASH</v>
      </c>
      <c r="O22" s="198" t="str">
        <v>CASH</v>
      </c>
      <c r="P22" s="198" t="str">
        <v>CC 2456</v>
      </c>
      <c r="Q22" s="198" t="str">
        <v>CC 2456</v>
      </c>
      <c r="R22" s="198" t="str">
        <v/>
      </c>
      <c r="S22" s="198" t="str">
        <v/>
      </c>
      <c r="T22" s="199"/>
      <c r="V22" s="137" t="s">
        <v>330</v>
      </c>
      <c r="W22" s="200" t="str">
        <v>CASH</v>
      </c>
      <c r="X22" s="200" t="str">
        <v>CC 2456</v>
      </c>
      <c r="Y22" s="200" t="str">
        <v>CC 2456</v>
      </c>
      <c r="Z22" s="200" t="str">
        <v>CC 2456</v>
      </c>
      <c r="AA22" s="200" t="str">
        <v>CC 2456</v>
      </c>
      <c r="AB22" s="200" t="str">
        <v>CASH</v>
      </c>
      <c r="AC22" s="200"/>
      <c r="AD22" s="200"/>
      <c r="AE22" s="136"/>
      <c r="AL22" s="46">
        <v>45849</v>
      </c>
      <c r="AM22" s="3">
        <v>45849</v>
      </c>
      <c r="AN22" s="3">
        <v>45848</v>
      </c>
      <c r="AO22" s="3">
        <v>45849</v>
      </c>
      <c r="AP22" s="3">
        <v>45849</v>
      </c>
      <c r="AQ22" s="147">
        <v>45849</v>
      </c>
      <c r="AR22" s="3"/>
      <c r="AS22" s="190">
        <v>45849</v>
      </c>
      <c r="AT22" s="190">
        <v>45849</v>
      </c>
      <c r="AU22" s="190">
        <v>45848</v>
      </c>
      <c r="AV22" s="190">
        <v>45849</v>
      </c>
      <c r="AW22" s="190">
        <v>45849</v>
      </c>
      <c r="AX22" s="190">
        <v>45849</v>
      </c>
    </row>
    <row r="23" spans="1:50" s="4" customFormat="1" ht="16" customHeight="1" thickBot="1">
      <c r="A23" s="48"/>
      <c r="B23" s="94" t="s">
        <v>4</v>
      </c>
      <c r="C23" s="216" t="s">
        <v>3</v>
      </c>
      <c r="D23" s="217"/>
      <c r="E23" s="65" t="s">
        <v>12</v>
      </c>
      <c r="F23" s="65" t="s">
        <v>18</v>
      </c>
      <c r="G23" s="65" t="s">
        <v>2</v>
      </c>
      <c r="H23" s="65" t="s">
        <v>1</v>
      </c>
      <c r="I23" s="95" t="s">
        <v>0</v>
      </c>
      <c r="W23" s="118" t="s">
        <v>314</v>
      </c>
      <c r="X23" s="118" t="s">
        <v>325</v>
      </c>
      <c r="Y23" s="118" t="s">
        <v>315</v>
      </c>
      <c r="Z23" s="118" t="s">
        <v>316</v>
      </c>
      <c r="AA23" s="118" t="s">
        <v>317</v>
      </c>
      <c r="AB23" s="118" t="s">
        <v>318</v>
      </c>
      <c r="AC23" s="118" t="s">
        <v>341</v>
      </c>
      <c r="AD23" s="118" t="s">
        <v>340</v>
      </c>
      <c r="AE23" s="118" t="s">
        <v>339</v>
      </c>
      <c r="AL23" s="62" t="str">
        <v>CC 2456</v>
      </c>
      <c r="AM23" s="63" t="str">
        <v>CC 2456</v>
      </c>
      <c r="AN23" s="63" t="str">
        <v>CASH</v>
      </c>
      <c r="AO23" s="63" t="str">
        <v>CASH</v>
      </c>
      <c r="AP23" s="63" t="str">
        <v>CC 2456</v>
      </c>
      <c r="AQ23" s="64" t="str">
        <v>CC 2456</v>
      </c>
      <c r="AR23" s="1"/>
      <c r="AS23" s="4" t="str">
        <v>CC 2456</v>
      </c>
      <c r="AT23" s="4" t="str">
        <v>CC 2456</v>
      </c>
      <c r="AU23" s="4" t="str">
        <v>CASH</v>
      </c>
      <c r="AV23" s="4" t="str">
        <v>CASH</v>
      </c>
      <c r="AW23" s="4" t="str">
        <v>CC 2456</v>
      </c>
      <c r="AX23" s="4" t="str">
        <v>CC 2456</v>
      </c>
    </row>
    <row r="24" spans="1:50" s="4" customFormat="1" ht="16" customHeight="1">
      <c r="A24" s="48"/>
      <c r="B24" s="122">
        <v>204</v>
      </c>
      <c r="C24" s="209" t="s">
        <v>312</v>
      </c>
      <c r="D24" s="210"/>
      <c r="E24" s="116">
        <v>45849</v>
      </c>
      <c r="F24" s="124" t="s">
        <v>313</v>
      </c>
      <c r="G24" s="6">
        <v>1</v>
      </c>
      <c r="H24" s="5">
        <v>100</v>
      </c>
      <c r="I24" s="96">
        <f>G24*H24</f>
        <v>100</v>
      </c>
      <c r="W24" s="133" t="str">
        <f>IF($B24="", "", IF(AND($I24, $B24=W$20, $E24=W$21, $F24=W$22, SUM($I$24)&gt;0), $I24, ""))</f>
        <v/>
      </c>
      <c r="X24" s="133" t="str">
        <f t="shared" ref="X24:AE24" si="0">IF($B24="", "", IF(AND($I24, $B24=X$20, $E24=X$21, $F24=X$22, SUM($I$24)&gt;0), $I24, ""))</f>
        <v/>
      </c>
      <c r="Y24" s="133" t="str">
        <f t="shared" si="0"/>
        <v/>
      </c>
      <c r="Z24" s="133">
        <f>IF($B24="", "", IF(AND($I24, $B24=Z$20, $E24=Z$21, $F24=Z$22, SUM($I$24)&gt;0), $I24, ""))</f>
        <v>100</v>
      </c>
      <c r="AA24" s="133" t="str">
        <f t="shared" si="0"/>
        <v/>
      </c>
      <c r="AB24" s="133" t="str">
        <f t="shared" si="0"/>
        <v/>
      </c>
      <c r="AC24" s="133" t="str">
        <f t="shared" si="0"/>
        <v/>
      </c>
      <c r="AD24" s="133" t="str">
        <f t="shared" si="0"/>
        <v/>
      </c>
      <c r="AE24" s="133" t="str">
        <f t="shared" si="0"/>
        <v/>
      </c>
    </row>
    <row r="25" spans="1:50" s="4" customFormat="1" ht="16" customHeight="1">
      <c r="A25" s="48"/>
      <c r="B25" s="122">
        <v>205</v>
      </c>
      <c r="C25" s="209"/>
      <c r="D25" s="210"/>
      <c r="E25" s="116">
        <v>45849</v>
      </c>
      <c r="F25" s="124" t="s">
        <v>313</v>
      </c>
      <c r="G25" s="6">
        <v>1</v>
      </c>
      <c r="H25" s="5">
        <v>50</v>
      </c>
      <c r="I25" s="96">
        <f t="shared" ref="I25:I26" si="1">G25*H25</f>
        <v>50</v>
      </c>
      <c r="W25" s="133" t="str">
        <f t="shared" ref="W25:AE26" si="2">IF($B25="", "", IF(AND($I25, $B25=W$20, $E25=W$21, $F25=W$22, SUM($I$24)&gt;0), $I25, ""))</f>
        <v/>
      </c>
      <c r="X25" s="133" t="str">
        <f t="shared" si="2"/>
        <v/>
      </c>
      <c r="Y25" s="133" t="str">
        <f t="shared" si="2"/>
        <v/>
      </c>
      <c r="Z25" s="133" t="str">
        <f t="shared" si="2"/>
        <v/>
      </c>
      <c r="AA25" s="133">
        <f t="shared" si="2"/>
        <v>50</v>
      </c>
      <c r="AB25" s="133" t="str">
        <f t="shared" si="2"/>
        <v/>
      </c>
      <c r="AC25" s="133" t="str">
        <f t="shared" si="2"/>
        <v/>
      </c>
      <c r="AD25" s="133" t="str">
        <f t="shared" si="2"/>
        <v/>
      </c>
      <c r="AE25" s="133" t="str">
        <f t="shared" si="2"/>
        <v/>
      </c>
    </row>
    <row r="26" spans="1:50" s="4" customFormat="1" ht="16" customHeight="1">
      <c r="A26" s="48"/>
      <c r="B26" s="122" t="s">
        <v>344</v>
      </c>
      <c r="C26" s="209" t="s">
        <v>326</v>
      </c>
      <c r="D26" s="210"/>
      <c r="E26" s="116">
        <v>45848</v>
      </c>
      <c r="F26" s="124" t="s">
        <v>5</v>
      </c>
      <c r="G26" s="6">
        <v>1</v>
      </c>
      <c r="H26" s="5">
        <v>1000</v>
      </c>
      <c r="I26" s="96">
        <f t="shared" si="1"/>
        <v>1000</v>
      </c>
      <c r="W26" s="133" t="str">
        <f t="shared" si="2"/>
        <v/>
      </c>
      <c r="X26" s="133" t="str">
        <f t="shared" si="2"/>
        <v/>
      </c>
      <c r="Y26" s="133" t="str">
        <f t="shared" si="2"/>
        <v/>
      </c>
      <c r="Z26" s="133" t="str">
        <f t="shared" si="2"/>
        <v/>
      </c>
      <c r="AA26" s="133" t="str">
        <f t="shared" si="2"/>
        <v/>
      </c>
      <c r="AB26" s="133">
        <f t="shared" si="2"/>
        <v>1000</v>
      </c>
      <c r="AC26" s="133" t="str">
        <f t="shared" si="2"/>
        <v/>
      </c>
      <c r="AD26" s="133" t="str">
        <f t="shared" si="2"/>
        <v/>
      </c>
      <c r="AE26" s="133" t="str">
        <f t="shared" si="2"/>
        <v/>
      </c>
    </row>
    <row r="27" spans="1:50" s="4" customFormat="1" ht="16">
      <c r="A27" s="48"/>
      <c r="B27" s="122">
        <v>204</v>
      </c>
      <c r="C27" s="209" t="s">
        <v>312</v>
      </c>
      <c r="D27" s="210"/>
      <c r="E27" s="116">
        <v>45849</v>
      </c>
      <c r="F27" s="124" t="s">
        <v>313</v>
      </c>
      <c r="G27" s="6">
        <v>1</v>
      </c>
      <c r="H27" s="5">
        <v>100</v>
      </c>
      <c r="I27" s="96">
        <f t="shared" ref="I27:I35" si="3">G27*H27</f>
        <v>100</v>
      </c>
      <c r="W27" s="133" t="str">
        <f t="shared" ref="W27:AE35" si="4">IF($B27="", "", IF(AND($I27, $B27=W$20, $E27=W$21, $F27=W$22, SUM($I$24)&gt;0), $I27, ""))</f>
        <v/>
      </c>
      <c r="X27" s="133" t="str">
        <f t="shared" si="4"/>
        <v/>
      </c>
      <c r="Y27" s="133" t="str">
        <f t="shared" si="4"/>
        <v/>
      </c>
      <c r="Z27" s="133">
        <f t="shared" si="4"/>
        <v>100</v>
      </c>
      <c r="AA27" s="133" t="str">
        <f t="shared" si="4"/>
        <v/>
      </c>
      <c r="AB27" s="133" t="str">
        <f t="shared" si="4"/>
        <v/>
      </c>
      <c r="AC27" s="133" t="str">
        <f t="shared" si="4"/>
        <v/>
      </c>
      <c r="AD27" s="133" t="str">
        <f t="shared" si="4"/>
        <v/>
      </c>
      <c r="AE27" s="133" t="str">
        <f t="shared" si="4"/>
        <v/>
      </c>
    </row>
    <row r="28" spans="1:50" s="4" customFormat="1" ht="16" customHeight="1">
      <c r="A28" s="48"/>
      <c r="B28" s="122">
        <v>1</v>
      </c>
      <c r="C28" s="209" t="s">
        <v>336</v>
      </c>
      <c r="D28" s="210"/>
      <c r="E28" s="116">
        <v>45849</v>
      </c>
      <c r="F28" s="124" t="s">
        <v>5</v>
      </c>
      <c r="G28" s="6">
        <v>1</v>
      </c>
      <c r="H28" s="5">
        <v>1000</v>
      </c>
      <c r="I28" s="96">
        <f t="shared" si="3"/>
        <v>1000</v>
      </c>
      <c r="W28" s="133">
        <f t="shared" si="4"/>
        <v>1000</v>
      </c>
      <c r="X28" s="133" t="str">
        <f t="shared" si="4"/>
        <v/>
      </c>
      <c r="Y28" s="133" t="str">
        <f t="shared" si="4"/>
        <v/>
      </c>
      <c r="Z28" s="133" t="str">
        <f t="shared" si="4"/>
        <v/>
      </c>
      <c r="AA28" s="133" t="str">
        <f t="shared" si="4"/>
        <v/>
      </c>
      <c r="AB28" s="133" t="str">
        <f t="shared" si="4"/>
        <v/>
      </c>
      <c r="AC28" s="133" t="str">
        <f t="shared" si="4"/>
        <v/>
      </c>
      <c r="AD28" s="133" t="str">
        <f t="shared" si="4"/>
        <v/>
      </c>
      <c r="AE28" s="133" t="str">
        <f t="shared" si="4"/>
        <v/>
      </c>
    </row>
    <row r="29" spans="1:50" s="4" customFormat="1" ht="16" customHeight="1">
      <c r="A29" s="48"/>
      <c r="B29" s="122">
        <v>5</v>
      </c>
      <c r="C29" s="209" t="s">
        <v>312</v>
      </c>
      <c r="D29" s="210"/>
      <c r="E29" s="116">
        <v>45849</v>
      </c>
      <c r="F29" s="124" t="s">
        <v>313</v>
      </c>
      <c r="G29" s="6">
        <v>1</v>
      </c>
      <c r="H29" s="5">
        <v>100</v>
      </c>
      <c r="I29" s="96">
        <f t="shared" si="3"/>
        <v>100</v>
      </c>
      <c r="W29" s="133" t="str">
        <f t="shared" si="4"/>
        <v/>
      </c>
      <c r="X29" s="133">
        <f t="shared" si="4"/>
        <v>100</v>
      </c>
      <c r="Y29" s="133" t="str">
        <f t="shared" si="4"/>
        <v/>
      </c>
      <c r="Z29" s="133" t="str">
        <f t="shared" si="4"/>
        <v/>
      </c>
      <c r="AA29" s="133" t="str">
        <f t="shared" si="4"/>
        <v/>
      </c>
      <c r="AB29" s="133" t="str">
        <f t="shared" si="4"/>
        <v/>
      </c>
      <c r="AC29" s="133" t="str">
        <f t="shared" si="4"/>
        <v/>
      </c>
      <c r="AD29" s="133" t="str">
        <f t="shared" si="4"/>
        <v/>
      </c>
      <c r="AE29" s="133" t="str">
        <f t="shared" si="4"/>
        <v/>
      </c>
    </row>
    <row r="30" spans="1:50" s="4" customFormat="1" ht="16" customHeight="1">
      <c r="A30" s="48"/>
      <c r="B30" s="122">
        <v>6</v>
      </c>
      <c r="C30" s="209" t="s">
        <v>312</v>
      </c>
      <c r="D30" s="210"/>
      <c r="E30" s="116">
        <v>45849</v>
      </c>
      <c r="F30" s="124" t="s">
        <v>313</v>
      </c>
      <c r="G30" s="6">
        <v>1</v>
      </c>
      <c r="H30" s="5">
        <v>100</v>
      </c>
      <c r="I30" s="96">
        <f t="shared" si="3"/>
        <v>100</v>
      </c>
      <c r="W30" s="133" t="str">
        <f t="shared" si="4"/>
        <v/>
      </c>
      <c r="X30" s="133" t="str">
        <f t="shared" si="4"/>
        <v/>
      </c>
      <c r="Y30" s="133">
        <f t="shared" si="4"/>
        <v>100</v>
      </c>
      <c r="Z30" s="133" t="str">
        <f t="shared" si="4"/>
        <v/>
      </c>
      <c r="AA30" s="133" t="str">
        <f t="shared" si="4"/>
        <v/>
      </c>
      <c r="AB30" s="133" t="str">
        <f t="shared" si="4"/>
        <v/>
      </c>
      <c r="AC30" s="133" t="str">
        <f t="shared" si="4"/>
        <v/>
      </c>
      <c r="AD30" s="133" t="str">
        <f t="shared" si="4"/>
        <v/>
      </c>
      <c r="AE30" s="133" t="str">
        <f t="shared" si="4"/>
        <v/>
      </c>
    </row>
    <row r="31" spans="1:50" s="4" customFormat="1" ht="16" customHeight="1">
      <c r="A31" s="48"/>
      <c r="B31" s="122">
        <v>204</v>
      </c>
      <c r="C31" s="209" t="s">
        <v>312</v>
      </c>
      <c r="D31" s="210"/>
      <c r="E31" s="116">
        <v>45849</v>
      </c>
      <c r="F31" s="124" t="s">
        <v>313</v>
      </c>
      <c r="G31" s="6">
        <v>1</v>
      </c>
      <c r="H31" s="5">
        <v>100</v>
      </c>
      <c r="I31" s="96">
        <f t="shared" si="3"/>
        <v>100</v>
      </c>
      <c r="W31" s="133" t="str">
        <f t="shared" si="4"/>
        <v/>
      </c>
      <c r="X31" s="133" t="str">
        <f t="shared" si="4"/>
        <v/>
      </c>
      <c r="Y31" s="133" t="str">
        <f t="shared" si="4"/>
        <v/>
      </c>
      <c r="Z31" s="133">
        <f t="shared" si="4"/>
        <v>100</v>
      </c>
      <c r="AA31" s="133" t="str">
        <f t="shared" si="4"/>
        <v/>
      </c>
      <c r="AB31" s="133" t="str">
        <f t="shared" si="4"/>
        <v/>
      </c>
      <c r="AC31" s="133" t="str">
        <f t="shared" si="4"/>
        <v/>
      </c>
      <c r="AD31" s="133" t="str">
        <f t="shared" si="4"/>
        <v/>
      </c>
      <c r="AE31" s="133" t="str">
        <f t="shared" si="4"/>
        <v/>
      </c>
    </row>
    <row r="32" spans="1:50" s="4" customFormat="1" ht="16" customHeight="1">
      <c r="A32" s="48"/>
      <c r="B32" s="122">
        <v>204</v>
      </c>
      <c r="C32" s="209" t="s">
        <v>312</v>
      </c>
      <c r="D32" s="210"/>
      <c r="E32" s="116">
        <v>45849</v>
      </c>
      <c r="F32" s="124" t="s">
        <v>313</v>
      </c>
      <c r="G32" s="6">
        <v>1</v>
      </c>
      <c r="H32" s="5">
        <v>100</v>
      </c>
      <c r="I32" s="96">
        <f t="shared" si="3"/>
        <v>100</v>
      </c>
      <c r="W32" s="133" t="str">
        <f t="shared" si="4"/>
        <v/>
      </c>
      <c r="X32" s="133" t="str">
        <f t="shared" si="4"/>
        <v/>
      </c>
      <c r="Y32" s="133" t="str">
        <f t="shared" si="4"/>
        <v/>
      </c>
      <c r="Z32" s="133">
        <f t="shared" si="4"/>
        <v>100</v>
      </c>
      <c r="AA32" s="133" t="str">
        <f t="shared" si="4"/>
        <v/>
      </c>
      <c r="AB32" s="133" t="str">
        <f t="shared" si="4"/>
        <v/>
      </c>
      <c r="AC32" s="133" t="str">
        <f t="shared" si="4"/>
        <v/>
      </c>
      <c r="AD32" s="133" t="str">
        <f t="shared" si="4"/>
        <v/>
      </c>
      <c r="AE32" s="133" t="str">
        <f t="shared" si="4"/>
        <v/>
      </c>
    </row>
    <row r="33" spans="1:31" s="4" customFormat="1" ht="16" customHeight="1">
      <c r="A33" s="48"/>
      <c r="B33" s="122">
        <v>204</v>
      </c>
      <c r="C33" s="209" t="s">
        <v>312</v>
      </c>
      <c r="D33" s="210"/>
      <c r="E33" s="116">
        <v>45849</v>
      </c>
      <c r="F33" s="124" t="s">
        <v>313</v>
      </c>
      <c r="G33" s="6">
        <v>1</v>
      </c>
      <c r="H33" s="5">
        <v>100</v>
      </c>
      <c r="I33" s="96">
        <f t="shared" si="3"/>
        <v>100</v>
      </c>
      <c r="W33" s="133" t="str">
        <f t="shared" si="4"/>
        <v/>
      </c>
      <c r="X33" s="133" t="str">
        <f t="shared" si="4"/>
        <v/>
      </c>
      <c r="Y33" s="133" t="str">
        <f t="shared" si="4"/>
        <v/>
      </c>
      <c r="Z33" s="133">
        <f t="shared" si="4"/>
        <v>100</v>
      </c>
      <c r="AA33" s="133" t="str">
        <f t="shared" si="4"/>
        <v/>
      </c>
      <c r="AB33" s="133" t="str">
        <f t="shared" si="4"/>
        <v/>
      </c>
      <c r="AC33" s="133" t="str">
        <f t="shared" si="4"/>
        <v/>
      </c>
      <c r="AD33" s="133" t="str">
        <f t="shared" si="4"/>
        <v/>
      </c>
      <c r="AE33" s="133" t="str">
        <f t="shared" si="4"/>
        <v/>
      </c>
    </row>
    <row r="34" spans="1:31" s="4" customFormat="1" ht="16" customHeight="1">
      <c r="A34" s="48"/>
      <c r="B34" s="122">
        <v>204</v>
      </c>
      <c r="C34" s="209" t="s">
        <v>312</v>
      </c>
      <c r="D34" s="210"/>
      <c r="E34" s="116">
        <v>45849</v>
      </c>
      <c r="F34" s="124" t="s">
        <v>313</v>
      </c>
      <c r="G34" s="6">
        <v>1</v>
      </c>
      <c r="H34" s="5">
        <v>100</v>
      </c>
      <c r="I34" s="96">
        <f t="shared" si="3"/>
        <v>100</v>
      </c>
      <c r="W34" s="133" t="str">
        <f t="shared" si="4"/>
        <v/>
      </c>
      <c r="X34" s="133" t="str">
        <f t="shared" si="4"/>
        <v/>
      </c>
      <c r="Y34" s="133" t="str">
        <f t="shared" si="4"/>
        <v/>
      </c>
      <c r="Z34" s="133">
        <f t="shared" si="4"/>
        <v>100</v>
      </c>
      <c r="AA34" s="133" t="str">
        <f t="shared" si="4"/>
        <v/>
      </c>
      <c r="AB34" s="133" t="str">
        <f t="shared" si="4"/>
        <v/>
      </c>
      <c r="AC34" s="133" t="str">
        <f t="shared" si="4"/>
        <v/>
      </c>
      <c r="AD34" s="133" t="str">
        <f t="shared" si="4"/>
        <v/>
      </c>
      <c r="AE34" s="133" t="str">
        <f t="shared" si="4"/>
        <v/>
      </c>
    </row>
    <row r="35" spans="1:31" s="4" customFormat="1" ht="16" customHeight="1" thickBot="1">
      <c r="A35" s="48"/>
      <c r="B35" s="123"/>
      <c r="C35" s="227"/>
      <c r="D35" s="228"/>
      <c r="E35" s="66"/>
      <c r="F35" s="125"/>
      <c r="G35" s="66"/>
      <c r="H35" s="67"/>
      <c r="I35" s="97">
        <f t="shared" si="3"/>
        <v>0</v>
      </c>
      <c r="W35" s="4" t="str">
        <f t="shared" si="4"/>
        <v/>
      </c>
      <c r="X35" s="4" t="str">
        <f t="shared" si="4"/>
        <v/>
      </c>
      <c r="Y35" s="4" t="str">
        <f t="shared" si="4"/>
        <v/>
      </c>
      <c r="Z35" s="4" t="str">
        <f t="shared" si="4"/>
        <v/>
      </c>
      <c r="AA35" s="4" t="str">
        <f t="shared" si="4"/>
        <v/>
      </c>
      <c r="AB35" s="4" t="str">
        <f t="shared" si="4"/>
        <v/>
      </c>
      <c r="AC35" s="4" t="str">
        <f t="shared" si="4"/>
        <v/>
      </c>
      <c r="AD35" s="4" t="str">
        <f t="shared" si="4"/>
        <v/>
      </c>
      <c r="AE35" s="4" t="str">
        <f t="shared" si="4"/>
        <v/>
      </c>
    </row>
    <row r="36" spans="1:31" s="4" customFormat="1" ht="16" customHeight="1" thickBot="1">
      <c r="A36" s="48"/>
      <c r="B36" s="98"/>
      <c r="C36" s="68"/>
      <c r="D36" s="68"/>
      <c r="E36" s="68"/>
      <c r="F36" s="68"/>
      <c r="G36" s="69"/>
      <c r="H36" s="69"/>
      <c r="I36" s="99"/>
      <c r="W36" s="138">
        <f>IF(SUM(W24:W35), SUM(W24:W35),"")</f>
        <v>1000</v>
      </c>
      <c r="X36" s="139">
        <f t="shared" ref="X36:AE36" si="5">IF(SUM(X24:X35), SUM(X24:X35),"")</f>
        <v>100</v>
      </c>
      <c r="Y36" s="140">
        <f t="shared" si="5"/>
        <v>100</v>
      </c>
      <c r="Z36" s="140">
        <f>IF(SUM(Z24:Z35), SUM(Z24:Z35),"")</f>
        <v>600</v>
      </c>
      <c r="AA36" s="140">
        <f t="shared" si="5"/>
        <v>50</v>
      </c>
      <c r="AB36" s="141">
        <f t="shared" si="5"/>
        <v>1000</v>
      </c>
      <c r="AC36" s="141" t="str">
        <f t="shared" si="5"/>
        <v/>
      </c>
      <c r="AD36" s="141" t="str">
        <f t="shared" si="5"/>
        <v/>
      </c>
      <c r="AE36" s="141" t="str">
        <f t="shared" si="5"/>
        <v/>
      </c>
    </row>
    <row r="37" spans="1:31" s="4" customFormat="1" ht="16" customHeight="1" thickBot="1">
      <c r="A37" s="48"/>
      <c r="B37" s="100" t="s">
        <v>263</v>
      </c>
      <c r="C37" s="2"/>
      <c r="D37" s="2"/>
      <c r="E37" s="58"/>
      <c r="F37" s="59"/>
      <c r="G37" s="107" t="s">
        <v>261</v>
      </c>
      <c r="H37" s="108"/>
      <c r="I37" s="109">
        <f>SUM(I23:I35)</f>
        <v>2850</v>
      </c>
      <c r="W37" s="129" t="s">
        <v>314</v>
      </c>
      <c r="X37" s="130" t="s">
        <v>325</v>
      </c>
      <c r="Y37" s="131" t="s">
        <v>315</v>
      </c>
      <c r="Z37" s="131" t="s">
        <v>316</v>
      </c>
      <c r="AA37" s="131" t="s">
        <v>317</v>
      </c>
      <c r="AB37" s="132" t="s">
        <v>318</v>
      </c>
      <c r="AC37" s="118" t="s">
        <v>341</v>
      </c>
      <c r="AD37" s="118" t="s">
        <v>340</v>
      </c>
      <c r="AE37" s="118" t="s">
        <v>339</v>
      </c>
    </row>
    <row r="38" spans="1:31" s="4" customFormat="1" ht="16" customHeight="1" thickBot="1">
      <c r="A38" s="48"/>
      <c r="B38" s="100"/>
      <c r="C38" s="211"/>
      <c r="D38" s="211"/>
      <c r="E38" s="61"/>
      <c r="F38" s="60"/>
      <c r="G38" s="110"/>
      <c r="H38" s="57"/>
      <c r="I38" s="101"/>
    </row>
    <row r="39" spans="1:31" s="4" customFormat="1" ht="16" customHeight="1">
      <c r="A39" s="48"/>
      <c r="B39" s="100"/>
      <c r="C39" s="1"/>
      <c r="D39" s="1"/>
      <c r="E39" s="60"/>
      <c r="F39" s="60"/>
      <c r="G39" s="110" t="s">
        <v>260</v>
      </c>
      <c r="H39" s="60" t="s">
        <v>262</v>
      </c>
      <c r="I39" s="102"/>
      <c r="W39" s="229" t="s">
        <v>331</v>
      </c>
      <c r="X39" s="230"/>
      <c r="Y39" s="230"/>
      <c r="Z39" s="230"/>
      <c r="AA39" s="230"/>
      <c r="AB39" s="230"/>
      <c r="AC39" s="231"/>
    </row>
    <row r="40" spans="1:31" ht="16" customHeight="1" thickBot="1">
      <c r="A40" s="42"/>
      <c r="B40" s="100" t="s">
        <v>264</v>
      </c>
      <c r="C40" s="2"/>
      <c r="D40" s="2"/>
      <c r="E40" s="59"/>
      <c r="F40" s="59"/>
      <c r="G40" s="110" t="s">
        <v>21</v>
      </c>
      <c r="H40" s="60"/>
      <c r="I40" s="103">
        <f>SUM(I37:I39)</f>
        <v>2850</v>
      </c>
      <c r="W40" s="169" t="s">
        <v>337</v>
      </c>
      <c r="X40" s="149" t="s">
        <v>4</v>
      </c>
      <c r="Y40" s="170" t="s">
        <v>16</v>
      </c>
      <c r="Z40" s="170" t="s">
        <v>17</v>
      </c>
      <c r="AA40" s="171" t="s">
        <v>12</v>
      </c>
      <c r="AB40" s="170" t="s">
        <v>18</v>
      </c>
      <c r="AC40" s="172" t="s">
        <v>242</v>
      </c>
      <c r="AD40" s="173" t="s">
        <v>19</v>
      </c>
    </row>
    <row r="41" spans="1:31" ht="16" customHeight="1" thickBot="1">
      <c r="B41" s="104"/>
      <c r="C41" s="105"/>
      <c r="D41" s="105"/>
      <c r="E41" s="105"/>
      <c r="F41" s="105"/>
      <c r="G41" s="104"/>
      <c r="H41" s="105"/>
      <c r="I41" s="106"/>
      <c r="W41" s="165" t="str">
        <f>IF(SUM($W$24:$W$35), "#A","")</f>
        <v>#A</v>
      </c>
      <c r="X41" s="153">
        <f>IF('TEMPLATE-SHEET'!$W41="#A", W20,"")</f>
        <v>1</v>
      </c>
      <c r="Y41" s="154" t="str">
        <f>IF('TEMPLATE-SHEET'!$W41="#A", Vendor,"")</f>
        <v>Vendor</v>
      </c>
      <c r="Z41" s="155" t="str">
        <f>IF('TEMPLATE-SHEET'!$W41="#A", Sheet_PO,"")</f>
        <v>{{PO_NUMBER}}</v>
      </c>
      <c r="AA41" s="156">
        <f>IF('TEMPLATE-SHEET'!$W41="#A", W$21,"")</f>
        <v>45849</v>
      </c>
      <c r="AB41" s="155" t="str">
        <f>IF('TEMPLATE-SHEET'!$W41="#A", W$22,"")</f>
        <v>CASH</v>
      </c>
      <c r="AC41" s="157">
        <f>IF('TEMPLATE-SHEET'!$W41="#A", W$36,"")</f>
        <v>1000</v>
      </c>
      <c r="AD41" s="155" t="str">
        <f>IF('TEMPLATE-SHEET'!$W41="#A",
      INDEX('Line No'!$B$1:$B$374, MATCH('TEMPLATE-SHEET'!$X41, 'Line No'!$A$1:$A$374, 0)),
      "")</f>
        <v>Line Producer</v>
      </c>
    </row>
    <row r="42" spans="1:31" ht="16" customHeight="1">
      <c r="W42" s="166" t="str">
        <f>IF(SUM($X$24:$X$34), "#B", "")</f>
        <v>#B</v>
      </c>
      <c r="X42" s="158">
        <f>IF('TEMPLATE-SHEET'!$W42="#B", X20,"")</f>
        <v>5</v>
      </c>
      <c r="Y42" s="158" t="str">
        <f>IF('TEMPLATE-SHEET'!$W42="#B", Vendor,"")</f>
        <v>Vendor</v>
      </c>
      <c r="Z42" s="158" t="str">
        <f>IF('TEMPLATE-SHEET'!$W42="#B", Sheet_PO,"")</f>
        <v>{{PO_NUMBER}}</v>
      </c>
      <c r="AA42" s="159">
        <f>IF('TEMPLATE-SHEET'!$W42="#B", X21,"")</f>
        <v>45849</v>
      </c>
      <c r="AB42" s="158" t="str">
        <f>IF('TEMPLATE-SHEET'!$W42="#B", X22,"")</f>
        <v>CC 2456</v>
      </c>
      <c r="AC42" s="160">
        <f>IF('TEMPLATE-SHEET'!$W42="#B", X36,"")</f>
        <v>100</v>
      </c>
      <c r="AD42" s="158" t="str">
        <f>IF('TEMPLATE-SHEET'!$W42="#B",
      INDEX('Line No'!$B$1:$B$374, MATCH('TEMPLATE-SHEET'!$X42, 'Line No'!$A$1:$A$374, 0)),
      "")</f>
        <v>1st AC</v>
      </c>
    </row>
    <row r="43" spans="1:31" ht="16" customHeight="1">
      <c r="G43" s="73"/>
      <c r="H43" s="73"/>
      <c r="I43" s="73"/>
      <c r="W43" s="167" t="str">
        <f>IF(SUM($Y$24:$Y$34), "#C", "")</f>
        <v>#C</v>
      </c>
      <c r="X43" s="155">
        <f>IF('TEMPLATE-SHEET'!$W43="#C", Y20,"")</f>
        <v>6</v>
      </c>
      <c r="Y43" s="154" t="str">
        <f>IF('TEMPLATE-SHEET'!$W43="#C", Vendor,"")</f>
        <v>Vendor</v>
      </c>
      <c r="Z43" s="155" t="str">
        <f>IF('TEMPLATE-SHEET'!$W43="#C", Sheet_PO,"")</f>
        <v>{{PO_NUMBER}}</v>
      </c>
      <c r="AA43" s="156">
        <f>IF('TEMPLATE-SHEET'!$W43="#C", Y21,"")</f>
        <v>45849</v>
      </c>
      <c r="AB43" s="155" t="str">
        <f>IF('TEMPLATE-SHEET'!$W43="#C", Y22,"")</f>
        <v>CC 2456</v>
      </c>
      <c r="AC43" s="157">
        <f>IF('TEMPLATE-SHEET'!$W43="#C", Y36,"")</f>
        <v>100</v>
      </c>
      <c r="AD43" s="155" t="str">
        <f>IF('TEMPLATE-SHEET'!$W43="#C",
      INDEX('Line No'!$B$1:$B$374, MATCH('TEMPLATE-SHEET'!$X43, 'Line No'!$A$1:$A$374, 0)),
      "")</f>
        <v>2nd AC</v>
      </c>
    </row>
    <row r="44" spans="1:31" ht="16" customHeight="1">
      <c r="G44" s="73"/>
      <c r="H44" s="128"/>
      <c r="I44" s="73"/>
      <c r="W44" s="168" t="str">
        <f>IF(SUM($Z$24:$Z$34), "#D", "")</f>
        <v>#D</v>
      </c>
      <c r="X44" s="158">
        <f>IF('TEMPLATE-SHEET'!$W44="#D", Z20,"")</f>
        <v>204</v>
      </c>
      <c r="Y44" s="158" t="str">
        <f>IF('TEMPLATE-SHEET'!$W44="#D", Vendor,"")</f>
        <v>Vendor</v>
      </c>
      <c r="Z44" s="158" t="str">
        <f>IF('TEMPLATE-SHEET'!$W44="#D", Sheet_PO,"")</f>
        <v>{{PO_NUMBER}}</v>
      </c>
      <c r="AA44" s="159">
        <f>IF('TEMPLATE-SHEET'!$W44="#D", Z21,"")</f>
        <v>45849</v>
      </c>
      <c r="AB44" s="158" t="str">
        <f>IF('TEMPLATE-SHEET'!$W44="#D", Z22,"")</f>
        <v>CC 2456</v>
      </c>
      <c r="AC44" s="160">
        <f>IF('TEMPLATE-SHEET'!$W44="#D", Z36,"")</f>
        <v>600</v>
      </c>
      <c r="AD44" s="158" t="str">
        <f>IF('TEMPLATE-SHEET'!$W44="#D",
      INDEX('Line No'!$B$1:$B$374, MATCH('TEMPLATE-SHEET'!$X44, 'Line No'!$A$1:$A$374, 0)),
      "")</f>
        <v>Production Supplies</v>
      </c>
    </row>
    <row r="45" spans="1:31" ht="16" customHeight="1">
      <c r="C45" s="142"/>
      <c r="D45" s="142"/>
      <c r="E45" s="142"/>
      <c r="F45" s="142"/>
      <c r="G45" s="74"/>
      <c r="H45" s="74"/>
      <c r="I45" s="75"/>
      <c r="W45" s="167" t="str">
        <f>IF(SUM($AA$24:$AA$34), "#E", "")</f>
        <v>#E</v>
      </c>
      <c r="X45" s="155">
        <f>IF('TEMPLATE-SHEET'!$W45="#E", AA20,"")</f>
        <v>205</v>
      </c>
      <c r="Y45" s="154" t="str">
        <f>IF('TEMPLATE-SHEET'!$W45="#E", Vendor,"")</f>
        <v>Vendor</v>
      </c>
      <c r="Z45" s="155" t="str">
        <f>IF('TEMPLATE-SHEET'!$W45="#E", Sheet_PO,"")</f>
        <v>{{PO_NUMBER}}</v>
      </c>
      <c r="AA45" s="156">
        <f>IF('TEMPLATE-SHEET'!$W45="#E", AA21,"")</f>
        <v>45849</v>
      </c>
      <c r="AB45" s="155" t="str">
        <f>IF('TEMPLATE-SHEET'!$W45="#E", AA22,"")</f>
        <v>CC 2456</v>
      </c>
      <c r="AC45" s="157">
        <f>IF('TEMPLATE-SHEET'!$W45="#E", AA36,"")</f>
        <v>50</v>
      </c>
      <c r="AD45" s="155" t="str">
        <f>IF('TEMPLATE-SHEET'!$W45="#E",
      INDEX('Line No'!$B$1:$B$374, MATCH('TEMPLATE-SHEET'!$X45, 'Line No'!$A$1:$A$374, 0)),
      "")</f>
        <v>Location Supplies</v>
      </c>
    </row>
    <row r="46" spans="1:31" ht="16" customHeight="1">
      <c r="W46" s="168" t="str">
        <f>IF(SUM($AB$24:$AB$34), "#F", "")</f>
        <v>#F</v>
      </c>
      <c r="X46" s="158" t="str">
        <f>IF('TEMPLATE-SHEET'!$W46="#F", AB20,"")</f>
        <v>PC</v>
      </c>
      <c r="Y46" s="158" t="str">
        <f>IF('TEMPLATE-SHEET'!$W46="#F", Vendor,"")</f>
        <v>Vendor</v>
      </c>
      <c r="Z46" s="158" t="str">
        <f>IF('TEMPLATE-SHEET'!$W46="#F", Sheet_PO,"")</f>
        <v>{{PO_NUMBER}}</v>
      </c>
      <c r="AA46" s="159">
        <f>IF('TEMPLATE-SHEET'!$W46="#F", AB21,"")</f>
        <v>45848</v>
      </c>
      <c r="AB46" s="158" t="str">
        <f>IF('TEMPLATE-SHEET'!$W46="#F", AB22,"")</f>
        <v>CASH</v>
      </c>
      <c r="AC46" s="160">
        <f>IF('TEMPLATE-SHEET'!$W46="#F", AB36,"")</f>
        <v>1000</v>
      </c>
      <c r="AD46" s="158" t="str">
        <f>IF('TEMPLATE-SHEET'!$W46="#F",
      INDEX('Line No'!$B$1:$B$374, MATCH('TEMPLATE-SHEET'!$X46, 'Line No'!$A$1:$A$374, 0)),
      "")</f>
        <v>Petty Cash</v>
      </c>
    </row>
    <row r="47" spans="1:31" ht="16" customHeight="1">
      <c r="W47" s="167" t="str">
        <f>IF(SUM($AC$24:$AC$34), "#G", "")</f>
        <v/>
      </c>
      <c r="X47" s="155" t="str">
        <f>IF('TEMPLATE-SHEET'!$W47="#G", AC20,"")</f>
        <v/>
      </c>
      <c r="Y47" s="154" t="str">
        <f>IF('TEMPLATE-SHEET'!$W47="#G", Vendor,"")</f>
        <v/>
      </c>
      <c r="Z47" s="155" t="str">
        <f>IF('TEMPLATE-SHEET'!$W47="#G", Sheet_PO,"")</f>
        <v/>
      </c>
      <c r="AA47" s="161" t="str">
        <f>IF('TEMPLATE-SHEET'!$W47="#G", AC21,"")</f>
        <v/>
      </c>
      <c r="AB47" s="162" t="str">
        <f>IF('TEMPLATE-SHEET'!$W47="#G", AC22,"")</f>
        <v/>
      </c>
      <c r="AC47" s="157" t="str">
        <f>IF('TEMPLATE-SHEET'!$W47="#G", AC36,"")</f>
        <v/>
      </c>
      <c r="AD47" s="155" t="str">
        <f>IF('TEMPLATE-SHEET'!$W47="#G",
      INDEX('Line No'!$B$1:$B$374, MATCH('TEMPLATE-SHEET'!$X47, 'Line No'!$A$1:$A$374, 0)),
      "")</f>
        <v/>
      </c>
    </row>
    <row r="48" spans="1:31" ht="16" customHeight="1">
      <c r="W48" s="168" t="str">
        <f>IF(SUM($AD$24:$AD$34), "#H", "")</f>
        <v/>
      </c>
      <c r="X48" s="158" t="str">
        <f>IF('TEMPLATE-SHEET'!$W48="#H", AD20,"")</f>
        <v/>
      </c>
      <c r="Y48" s="158" t="str">
        <f>IF('TEMPLATE-SHEET'!$W48="#H", Vendor,"")</f>
        <v/>
      </c>
      <c r="Z48" s="158" t="str">
        <f>IF('TEMPLATE-SHEET'!$W48="#H", Sheet_PO,"")</f>
        <v/>
      </c>
      <c r="AA48" s="163" t="str">
        <f>IF('TEMPLATE-SHEET'!$W48="#H", AE21,"")</f>
        <v/>
      </c>
      <c r="AB48" s="164" t="str">
        <f>IF('TEMPLATE-SHEET'!$W48="#H", AE22,"")</f>
        <v/>
      </c>
      <c r="AC48" s="160" t="str">
        <f>IF('TEMPLATE-SHEET'!$W48="#H", AE36,"")</f>
        <v/>
      </c>
      <c r="AD48" s="158" t="str">
        <f>IF('TEMPLATE-SHEET'!$W48="#H",
      INDEX('Line No'!$B$1:$B$374, MATCH('TEMPLATE-SHEET'!$X48, 'Line No'!$A$1:$A$374, 0)),
      "")</f>
        <v/>
      </c>
    </row>
    <row r="49" spans="22:30" ht="16" customHeight="1">
      <c r="V49" s="1" cm="1">
        <f t="array" ref="V49">SUMPRODUCT(--(W41:W49&lt;&gt;""))</f>
        <v>6</v>
      </c>
      <c r="W49" s="167" t="str">
        <f>IF(SUM($AE$24:$AE$34), "#OTHER", "")</f>
        <v/>
      </c>
      <c r="X49" s="155" t="str">
        <f>IF('TEMPLATE-SHEET'!$W49="#I", AE20,"")</f>
        <v/>
      </c>
      <c r="Y49" s="154" t="str">
        <f>IF('TEMPLATE-SHEET'!$W49="#I", Vendor,"")</f>
        <v/>
      </c>
      <c r="Z49" s="155" t="str">
        <f>IF('TEMPLATE-SHEET'!$W49="#I", Sheet_PO,"")</f>
        <v/>
      </c>
      <c r="AA49" s="161" t="str">
        <f>IF('TEMPLATE-SHEET'!$W49="#I", AF21,"")</f>
        <v/>
      </c>
      <c r="AB49" s="162" t="str">
        <f>IF('TEMPLATE-SHEET'!$W49="#I", AF22,"")</f>
        <v/>
      </c>
      <c r="AC49" s="157" t="str">
        <f>IF('TEMPLATE-SHEET'!$W49="#I", AF36,"")</f>
        <v/>
      </c>
      <c r="AD49" s="155" t="str">
        <f>IF('TEMPLATE-SHEET'!$W49="#I",
      INDEX('Line No'!$B$1:$B$374, MATCH('TEMPLATE-SHEET'!$X49, 'Line No'!$A$1:$A$374, 0)),
      "")</f>
        <v/>
      </c>
    </row>
    <row r="50" spans="22:30" ht="16" customHeight="1">
      <c r="W50" s="174"/>
      <c r="X50" s="174"/>
      <c r="Y50" s="175"/>
      <c r="Z50" s="174"/>
      <c r="AA50" s="174"/>
      <c r="AB50" s="174"/>
      <c r="AC50" s="176"/>
      <c r="AD50" s="174"/>
    </row>
  </sheetData>
  <sheetProtection formatCells="0" formatColumns="0" formatRows="0" insertColumns="0" insertRows="0" deleteRows="0" selectLockedCells="1"/>
  <mergeCells count="42">
    <mergeCell ref="W39:AC39"/>
    <mergeCell ref="J3:W3"/>
    <mergeCell ref="G1:I1"/>
    <mergeCell ref="B2:C2"/>
    <mergeCell ref="D2:G2"/>
    <mergeCell ref="G3:I3"/>
    <mergeCell ref="B4:G4"/>
    <mergeCell ref="E5:H6"/>
    <mergeCell ref="B7:C7"/>
    <mergeCell ref="D7:E7"/>
    <mergeCell ref="C5:D5"/>
    <mergeCell ref="C6:D6"/>
    <mergeCell ref="C9:D9"/>
    <mergeCell ref="F9:I9"/>
    <mergeCell ref="C10:D10"/>
    <mergeCell ref="F10:I10"/>
    <mergeCell ref="C24:D24"/>
    <mergeCell ref="C11:D11"/>
    <mergeCell ref="C12:D12"/>
    <mergeCell ref="C13:D13"/>
    <mergeCell ref="F13:I13"/>
    <mergeCell ref="C14:D14"/>
    <mergeCell ref="F19:I19"/>
    <mergeCell ref="F14:I14"/>
    <mergeCell ref="C19:E19"/>
    <mergeCell ref="C25:D25"/>
    <mergeCell ref="C26:D26"/>
    <mergeCell ref="C27:D27"/>
    <mergeCell ref="C18:E18"/>
    <mergeCell ref="F18:I18"/>
    <mergeCell ref="AL20:AQ20"/>
    <mergeCell ref="C32:D32"/>
    <mergeCell ref="C33:D33"/>
    <mergeCell ref="C34:D34"/>
    <mergeCell ref="C38:D38"/>
    <mergeCell ref="C31:D31"/>
    <mergeCell ref="B22:I22"/>
    <mergeCell ref="C23:D23"/>
    <mergeCell ref="C28:D28"/>
    <mergeCell ref="C29:D29"/>
    <mergeCell ref="C30:D30"/>
    <mergeCell ref="C35:D35"/>
  </mergeCells>
  <conditionalFormatting sqref="AD41:AD49">
    <cfRule type="containsText" dxfId="11" priority="1" operator="containsText" text="zzzz">
      <formula>NOT(ISERROR(SEARCH("zzzz",AD41)))</formula>
    </cfRule>
  </conditionalFormatting>
  <printOptions horizontalCentered="1"/>
  <pageMargins left="0.75" right="0.75" top="0.5" bottom="0.5" header="0.5" footer="0.5"/>
  <pageSetup scale="81" orientation="portrait" r:id="rId1"/>
  <headerFooter alignWithMargins="0"/>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A6E00E-0AD1-424B-A825-B6C38DA6C4A4}">
  <sheetPr codeName="Sheet13">
    <pageSetUpPr fitToPage="1"/>
  </sheetPr>
  <dimension ref="A1:AX50"/>
  <sheetViews>
    <sheetView topLeftCell="A10" zoomScale="75" zoomScaleNormal="100" workbookViewId="0">
      <selection activeCell="T46" sqref="T46"/>
    </sheetView>
    <sheetView workbookViewId="1"/>
  </sheetViews>
  <sheetFormatPr baseColWidth="10" defaultColWidth="8.83203125" defaultRowHeight="14"/>
  <cols>
    <col min="1" max="1" width="0.83203125" style="1" customWidth="1"/>
    <col min="2" max="2" width="10.1640625" style="1" customWidth="1"/>
    <col min="3" max="3" width="14.6640625" style="1" customWidth="1"/>
    <col min="4" max="4" width="10.1640625" style="1" customWidth="1"/>
    <col min="5" max="5" width="13.5" style="1" customWidth="1"/>
    <col min="6" max="6" width="11.6640625" style="1" bestFit="1" customWidth="1"/>
    <col min="7" max="7" width="10.1640625" style="1" customWidth="1"/>
    <col min="8" max="8" width="18.83203125" style="1" customWidth="1"/>
    <col min="9" max="9" width="13.33203125" style="1" customWidth="1"/>
    <col min="10" max="11" width="5.83203125" style="1" customWidth="1"/>
    <col min="12" max="12" width="6.33203125" style="1" customWidth="1"/>
    <col min="13" max="13" width="6.1640625" style="1" customWidth="1"/>
    <col min="14" max="14" width="5.6640625" style="1" customWidth="1"/>
    <col min="15" max="15" width="5.33203125" style="1" customWidth="1"/>
    <col min="16" max="16" width="5.6640625" style="1" customWidth="1"/>
    <col min="17" max="18" width="5" style="1" customWidth="1"/>
    <col min="19" max="21" width="5.83203125" style="1" customWidth="1"/>
    <col min="22" max="22" width="6.1640625" style="1" customWidth="1"/>
    <col min="23" max="23" width="13.6640625" style="1" customWidth="1"/>
    <col min="24" max="24" width="8" style="1" customWidth="1"/>
    <col min="25" max="25" width="10.33203125" style="1" customWidth="1"/>
    <col min="26" max="26" width="11.83203125" style="1" customWidth="1"/>
    <col min="27" max="27" width="11" style="1" customWidth="1"/>
    <col min="28" max="29" width="11.83203125" style="1" customWidth="1"/>
    <col min="30" max="30" width="23.33203125" style="1" customWidth="1"/>
    <col min="31" max="31" width="8.83203125" style="1"/>
    <col min="32" max="32" width="3.33203125" style="1" customWidth="1"/>
    <col min="33" max="33" width="5.1640625" style="1" customWidth="1"/>
    <col min="34" max="37" width="8.83203125" style="1"/>
    <col min="38" max="38" width="8.83203125" style="1" customWidth="1"/>
    <col min="39" max="16384" width="8.83203125" style="1"/>
  </cols>
  <sheetData>
    <row r="1" spans="1:47" ht="45" customHeight="1">
      <c r="A1" s="41"/>
      <c r="B1" s="143" t="s">
        <v>258</v>
      </c>
      <c r="C1" s="143"/>
      <c r="D1" s="143"/>
      <c r="E1" s="143"/>
      <c r="G1" s="234"/>
      <c r="H1" s="234"/>
      <c r="I1" s="235"/>
      <c r="J1" s="185"/>
      <c r="K1" s="185"/>
      <c r="L1" s="185"/>
      <c r="M1" s="185"/>
      <c r="N1" s="185"/>
      <c r="O1" s="185"/>
      <c r="P1" s="185"/>
      <c r="Q1" s="185"/>
      <c r="R1" s="185"/>
      <c r="S1" s="185"/>
      <c r="T1" s="185"/>
      <c r="U1" s="185"/>
      <c r="V1" s="185"/>
      <c r="W1" s="185"/>
      <c r="X1" s="185"/>
      <c r="Y1" s="185"/>
      <c r="Z1" s="185"/>
      <c r="AA1" s="185"/>
      <c r="AB1" s="185"/>
      <c r="AC1" s="185"/>
      <c r="AD1" s="185"/>
      <c r="AE1" s="185"/>
      <c r="AF1" s="185"/>
      <c r="AG1" s="185"/>
      <c r="AH1" s="185"/>
      <c r="AI1" s="186" t="s">
        <v>321</v>
      </c>
      <c r="AJ1" s="185"/>
      <c r="AK1" s="185"/>
      <c r="AL1" s="185"/>
      <c r="AM1" s="185"/>
      <c r="AN1" s="185"/>
      <c r="AO1" s="185"/>
      <c r="AP1" s="185"/>
      <c r="AQ1" s="185"/>
      <c r="AR1" s="185"/>
      <c r="AS1" s="185"/>
      <c r="AT1" s="185"/>
      <c r="AU1" s="185"/>
    </row>
    <row r="2" spans="1:47" ht="12.75" customHeight="1">
      <c r="A2" s="42"/>
      <c r="B2" s="236"/>
      <c r="C2" s="237"/>
      <c r="D2" s="238"/>
      <c r="E2" s="238"/>
      <c r="F2" s="238"/>
      <c r="G2" s="238"/>
      <c r="I2" s="76"/>
      <c r="J2" s="185"/>
      <c r="K2" s="185"/>
      <c r="L2" s="185"/>
      <c r="M2" s="185"/>
      <c r="N2" s="185"/>
      <c r="O2" s="185"/>
      <c r="P2" s="185"/>
      <c r="Q2" s="185"/>
      <c r="R2" s="185"/>
      <c r="S2" s="185"/>
      <c r="T2" s="185"/>
      <c r="U2" s="185"/>
      <c r="V2" s="185"/>
      <c r="W2" s="185"/>
      <c r="X2" s="185"/>
      <c r="Y2" s="185"/>
      <c r="Z2" s="185"/>
      <c r="AA2" s="185"/>
      <c r="AB2" s="185"/>
      <c r="AC2" s="185"/>
      <c r="AD2" s="186" t="s">
        <v>323</v>
      </c>
      <c r="AE2" s="185"/>
      <c r="AF2" s="185"/>
      <c r="AG2" s="185"/>
      <c r="AH2" s="185"/>
      <c r="AI2" s="185" t="s">
        <v>322</v>
      </c>
      <c r="AJ2" s="185"/>
      <c r="AK2" s="185"/>
      <c r="AL2" s="185"/>
      <c r="AM2" s="185"/>
      <c r="AN2" s="185"/>
      <c r="AO2" s="185"/>
      <c r="AP2" s="185"/>
      <c r="AQ2" s="185"/>
      <c r="AR2" s="185"/>
      <c r="AS2" s="185"/>
      <c r="AT2" s="185"/>
      <c r="AU2" s="185"/>
    </row>
    <row r="3" spans="1:47" ht="22">
      <c r="A3" s="42"/>
      <c r="B3" s="77" t="s">
        <v>14</v>
      </c>
      <c r="C3" s="43"/>
      <c r="D3" s="44"/>
      <c r="E3" s="44"/>
      <c r="F3" s="45" t="s">
        <v>13</v>
      </c>
      <c r="G3" s="239" t="s">
        <v>243</v>
      </c>
      <c r="H3" s="239"/>
      <c r="I3" s="240"/>
      <c r="J3" s="232"/>
      <c r="K3" s="233"/>
      <c r="L3" s="233"/>
      <c r="M3" s="233"/>
      <c r="N3" s="233"/>
      <c r="O3" s="233"/>
      <c r="P3" s="233"/>
      <c r="Q3" s="233"/>
      <c r="R3" s="233"/>
      <c r="S3" s="233"/>
      <c r="T3" s="233"/>
      <c r="U3" s="233"/>
      <c r="V3" s="233"/>
      <c r="W3" s="233"/>
      <c r="X3" s="115" t="s">
        <v>308</v>
      </c>
      <c r="Y3" s="117" t="s">
        <v>309</v>
      </c>
      <c r="Z3" s="117" t="s">
        <v>310</v>
      </c>
      <c r="AA3" s="117" t="s">
        <v>311</v>
      </c>
      <c r="AD3" s="115" t="s">
        <v>319</v>
      </c>
      <c r="AM3" s="1" t="s">
        <v>324</v>
      </c>
      <c r="AR3" s="185"/>
      <c r="AS3" s="185"/>
      <c r="AT3" s="185"/>
      <c r="AU3" s="185"/>
    </row>
    <row r="4" spans="1:47" s="3" customFormat="1" ht="29" customHeight="1">
      <c r="A4" s="46"/>
      <c r="B4" s="241"/>
      <c r="C4" s="242"/>
      <c r="D4" s="242"/>
      <c r="E4" s="242"/>
      <c r="F4" s="242"/>
      <c r="G4" s="242"/>
      <c r="H4" s="47"/>
      <c r="I4" s="78"/>
      <c r="J4" s="187"/>
      <c r="K4" s="187"/>
      <c r="L4" s="187"/>
      <c r="M4" s="187"/>
      <c r="N4" s="187"/>
      <c r="O4" s="187"/>
      <c r="P4" s="187"/>
      <c r="Q4" s="187"/>
      <c r="R4" s="187"/>
      <c r="S4" s="187"/>
      <c r="T4" s="187"/>
      <c r="U4" s="187"/>
      <c r="V4" s="187"/>
      <c r="W4" s="187"/>
      <c r="X4" s="4" cm="1">
        <f t="array" ref="X4:X9">IFERROR(
INDEX(
_xlfn._xlws.FILTER(
_xlfn.UNIQUE(
LineEntryOLD2,
),_xlfn.UNIQUE(
LineEntryOLD2,
)&lt;&gt;0
),_xlfn.SEQUENCE(6,1)
),"")</f>
        <v>204</v>
      </c>
      <c r="Y4" s="4" cm="1">
        <f t="array" ref="Y4">SUMPRODUCT(--(TRIM(X4:X12)&lt;&gt;""))</f>
        <v>6</v>
      </c>
      <c r="Z4" s="4" t="str" cm="1">
        <f t="array" ref="Z4:Z6">_xlfn._xlws.SORT(INDEX(AF7:AF16, 1):INDEX(AF7:AF9, AG7), 1, TRUE)</f>
        <v>CASH</v>
      </c>
      <c r="AA4" s="4" t="str" cm="1">
        <f t="array" ref="AA4">IF(Z4="","",IFERROR(INDEX(Description, MATCH(Z4, LINEOld, 0)), "Not Found"))</f>
        <v>Not Found</v>
      </c>
      <c r="AD4" s="120" cm="1">
        <f t="array" ref="AD4:AF9">IFERROR(
    INDEX(
        _xlfn._xlws.FILTER(
            _xlfn.UNIQUE(_xlfn.HSTACK(LineEntryOLD2, DateEntryOld, PayIDEntryOld2)),
            _xlfn.BYROW(_xlfn.UNIQUE(_xlfn.HSTACK(LineEntryOLD2, DateEntryOld, PayIDEntryOld2)), _xlfn.LAMBDA(_xlpm.row, SUM(_xlpm.row)&lt;&gt;0))
        ),
        _xlfn.SEQUENCE(6,1),
        {1,2,3}
    ),
    ""
)</f>
        <v>204</v>
      </c>
      <c r="AE4" s="126">
        <v>45849</v>
      </c>
      <c r="AF4" s="120" t="str">
        <v>CC 2456</v>
      </c>
      <c r="AM4" s="148" t="s">
        <v>335</v>
      </c>
      <c r="AO4" s="3" t="str" cm="1">
        <f t="array" ref="AO4">IFERROR(
    _xlfn.WRAPCOLS(
        INDEX(
            _xlfn._xlws.FILTER(
                _xlfn.UNIQUE(_xlfn.HSTACK(LineEntryOLD2, DateEntryOld, PayIDEntryOld2)),
                _xlfn.BYROW(_xlfn.UNIQUE(_xlfn.HSTACK(LineEntryOLD2, DateEntryOld, PayIDEntryOld2)), _xlfn.LAMBDA(_xlpm.row, SUM(_xlpm.row)&lt;&gt;0))
            ),
            _xlfn.SEQUENCE(6,1),
            {1,2,3}
        ),
        3
    ),
    ""
)</f>
        <v/>
      </c>
      <c r="AQ4" s="3" t="e" cm="1" vm="1">
        <f t="array" aca="1" ref="AQ4" ca="1">IFERROR(
    _xlfn.WRAPCOLS(
        _xlfn.TOCOL(
            INDEX(
                _xlfn._xlws.FILTER(
                    _xlfn.UNIQUE(_xlfn.HSTACK(LineEntryOLD2, DateEntryOld, PayIDEntryOld2)),
                    _xlfn.BYROW(_xlfn.UNIQUE(_xlfn.HSTACK(LineEntryOLD2, DateEntryOld, PayIDEntryOld2)), _xlfn.LAMBDA(_xlpm.row, SUM(_xlpm.row)&lt;&gt;0))
                ),
                _xlfn.SEQUENCE(6,1),
                {1,2,3}
            )
        ),
        3
    ),
    ""
)</f>
        <v>#VALUE!</v>
      </c>
      <c r="AR4" s="187">
        <v>205</v>
      </c>
      <c r="AS4" s="187">
        <v>112</v>
      </c>
      <c r="AT4" s="187">
        <v>1</v>
      </c>
      <c r="AU4" s="187"/>
    </row>
    <row r="5" spans="1:47" s="4" customFormat="1" ht="16" customHeight="1">
      <c r="A5" s="48"/>
      <c r="B5" s="79" t="s">
        <v>259</v>
      </c>
      <c r="C5" s="247"/>
      <c r="D5" s="248"/>
      <c r="E5" s="243"/>
      <c r="F5" s="243"/>
      <c r="G5" s="243"/>
      <c r="H5" s="243"/>
      <c r="I5" s="80"/>
      <c r="J5" s="188"/>
      <c r="K5" s="188"/>
      <c r="L5" s="188"/>
      <c r="M5" s="188"/>
      <c r="N5" s="188"/>
      <c r="O5" s="188"/>
      <c r="P5" s="188"/>
      <c r="Q5" s="188"/>
      <c r="R5" s="188"/>
      <c r="S5" s="188"/>
      <c r="T5" s="188"/>
      <c r="U5" s="188"/>
      <c r="V5" s="188"/>
      <c r="W5" s="188"/>
      <c r="X5" s="4">
        <v>205</v>
      </c>
      <c r="Z5" s="4" t="str">
        <v>CC 2456</v>
      </c>
      <c r="AA5" s="4" t="str" cm="1">
        <f t="array" ref="AA5">IF(Z5="","",IFERROR(INDEX(Description, MATCH(Z5, LINEOld, 0)), "Not Found"))</f>
        <v>Not Found</v>
      </c>
      <c r="AD5" s="121">
        <v>205</v>
      </c>
      <c r="AE5" s="127">
        <v>45849</v>
      </c>
      <c r="AF5" s="121" t="str">
        <v>CC 2456</v>
      </c>
      <c r="AH5" t="e" cm="1">
        <f t="array" ref="AH5">_xlfn._xlws.FILTER(_xlfn.UNIQUE(_xlfn.HSTACK(LineEntryOLD2, DateEntryOld, PayIDEntryOld2)), _xlfn.UNIQUE(_xlfn.HSTACK(LineEntryOLD2, DateEntryOld, PayIDEntryOld2))&lt;&gt;0)</f>
        <v>#VALUE!</v>
      </c>
      <c r="AR5" s="188">
        <v>45849</v>
      </c>
      <c r="AS5" s="188">
        <v>45848</v>
      </c>
      <c r="AT5" s="188">
        <v>45849</v>
      </c>
      <c r="AU5" s="188"/>
    </row>
    <row r="6" spans="1:47" s="4" customFormat="1" ht="16">
      <c r="A6" s="48"/>
      <c r="B6" s="81"/>
      <c r="C6" s="249"/>
      <c r="D6" s="250"/>
      <c r="E6" s="243"/>
      <c r="F6" s="243"/>
      <c r="G6" s="243"/>
      <c r="H6" s="243"/>
      <c r="I6" s="82"/>
      <c r="J6" s="188"/>
      <c r="K6" s="188"/>
      <c r="L6" s="188"/>
      <c r="M6" s="188"/>
      <c r="N6" s="188"/>
      <c r="O6" s="188"/>
      <c r="P6" s="188"/>
      <c r="Q6" s="188"/>
      <c r="R6" s="188"/>
      <c r="S6" s="188"/>
      <c r="T6" s="188"/>
      <c r="U6" s="188"/>
      <c r="V6" s="188"/>
      <c r="W6" s="188"/>
      <c r="X6" s="4">
        <v>112</v>
      </c>
      <c r="Z6" s="4" t="str">
        <v>CC 2456</v>
      </c>
      <c r="AA6" s="4" t="str" cm="1">
        <f t="array" ref="AA6">IF(Z6="","",IFERROR(INDEX(Description, MATCH(Z6, LINEOld, 0)), "Not Found"))</f>
        <v>Not Found</v>
      </c>
      <c r="AD6" s="121">
        <v>112</v>
      </c>
      <c r="AE6" s="127">
        <v>45848</v>
      </c>
      <c r="AF6" s="121" t="str">
        <v>CHK 101</v>
      </c>
      <c r="AR6" s="188" t="s">
        <v>313</v>
      </c>
      <c r="AS6" s="188" t="s">
        <v>327</v>
      </c>
      <c r="AT6" s="188" t="s">
        <v>5</v>
      </c>
      <c r="AU6" s="188"/>
    </row>
    <row r="7" spans="1:47" s="4" customFormat="1" ht="16">
      <c r="A7" s="48"/>
      <c r="B7" s="244"/>
      <c r="C7" s="245"/>
      <c r="D7" s="246"/>
      <c r="E7" s="246"/>
      <c r="F7" s="51"/>
      <c r="G7" s="51"/>
      <c r="H7" s="51"/>
      <c r="I7" s="84"/>
      <c r="J7" s="188"/>
      <c r="K7" s="188"/>
      <c r="L7" s="188"/>
      <c r="M7" s="188"/>
      <c r="N7" s="188"/>
      <c r="O7" s="188"/>
      <c r="P7" s="188"/>
      <c r="Q7" s="188"/>
      <c r="R7" s="188"/>
      <c r="S7" s="188"/>
      <c r="T7" s="188"/>
      <c r="U7" s="188"/>
      <c r="V7" s="188"/>
      <c r="W7" s="188"/>
      <c r="X7" s="4">
        <v>1</v>
      </c>
      <c r="AA7" s="4" t="str" cm="1">
        <f t="array" ref="AA7">IF(Z7="","",IFERROR(INDEX(Description, MATCH(Z7, LINEOld, 0)), "Not Found"))</f>
        <v/>
      </c>
      <c r="AD7" s="121">
        <v>1</v>
      </c>
      <c r="AE7" s="127">
        <v>45849</v>
      </c>
      <c r="AF7" s="121" t="str">
        <v>CASH</v>
      </c>
      <c r="AR7" s="188"/>
      <c r="AS7" s="188"/>
      <c r="AT7" s="188"/>
      <c r="AU7" s="188"/>
    </row>
    <row r="8" spans="1:47" s="4" customFormat="1" ht="16">
      <c r="A8" s="48"/>
      <c r="B8" s="83"/>
      <c r="C8" s="49"/>
      <c r="D8" s="50"/>
      <c r="E8" s="50"/>
      <c r="F8" s="51"/>
      <c r="G8" s="51"/>
      <c r="H8" s="51"/>
      <c r="I8" s="84"/>
      <c r="J8" s="188"/>
      <c r="K8" s="188"/>
      <c r="L8" s="188"/>
      <c r="M8" s="188"/>
      <c r="N8" s="188"/>
      <c r="O8" s="188"/>
      <c r="P8" s="188"/>
      <c r="Q8" s="188"/>
      <c r="R8" s="188"/>
      <c r="S8" s="188"/>
      <c r="T8" s="188"/>
      <c r="U8" s="188"/>
      <c r="V8" s="188"/>
      <c r="W8" s="188"/>
      <c r="X8" s="4">
        <v>5</v>
      </c>
      <c r="AA8" s="4" t="str" cm="1">
        <f t="array" ref="AA8">IF(Z8="","",IFERROR(INDEX(Description, MATCH(Z8, LINEOld, 0)), "Not Found"))</f>
        <v/>
      </c>
      <c r="AD8" s="121">
        <v>5</v>
      </c>
      <c r="AE8" s="127">
        <v>45849</v>
      </c>
      <c r="AF8" s="121" t="str">
        <v>CC 2456</v>
      </c>
      <c r="AR8" s="188"/>
      <c r="AS8" s="188"/>
      <c r="AT8" s="188"/>
      <c r="AU8" s="188"/>
    </row>
    <row r="9" spans="1:47" s="4" customFormat="1" ht="16">
      <c r="A9" s="48"/>
      <c r="B9" s="85" t="s">
        <v>12</v>
      </c>
      <c r="C9" s="251" t="str">
        <f>IFERROR(
    IF(ISNUMBER(MATCH(Sheet_PO,#REF!, 0)),
       IF(INDEX(#REF!, MATCH(Sheet_PO,#REF!, 0)) = "", "",
          INDEX(#REF!, MATCH(Sheet_PO,#REF!, 0))),
       ""),
    "No match found")</f>
        <v/>
      </c>
      <c r="D9" s="251"/>
      <c r="E9" s="52" t="s">
        <v>11</v>
      </c>
      <c r="F9" s="252" t="str">
        <f>IF(TRIM(Job_Number)="", "", Job_Number)</f>
        <v/>
      </c>
      <c r="G9" s="252"/>
      <c r="H9" s="252"/>
      <c r="I9" s="253"/>
      <c r="J9" s="188"/>
      <c r="K9" s="188"/>
      <c r="L9" s="188"/>
      <c r="M9" s="188"/>
      <c r="N9" s="188"/>
      <c r="O9" s="188"/>
      <c r="P9" s="188"/>
      <c r="Q9" s="188"/>
      <c r="R9" s="188"/>
      <c r="S9" s="188"/>
      <c r="T9" s="188"/>
      <c r="U9" s="188"/>
      <c r="V9" s="188"/>
      <c r="W9" s="188"/>
      <c r="X9" s="4">
        <v>6</v>
      </c>
      <c r="AA9" s="4" t="str" cm="1">
        <f t="array" ref="AA9">IF(Z9="","",IFERROR(INDEX(Description, MATCH(Z9, LINEOld, 0)), "Not Found"))</f>
        <v/>
      </c>
      <c r="AD9" s="121">
        <v>6</v>
      </c>
      <c r="AE9" s="127">
        <v>45849</v>
      </c>
      <c r="AF9" s="121" t="str">
        <v>CC 2456</v>
      </c>
      <c r="AH9" s="4" t="b" cm="1">
        <f t="array" ref="AH9:AJ15">_xlfn.UNIQUE(_xlfn.HSTACK(LineEntryOLD2,DateEntryOld,PayIDEntryOld2))&lt;&gt;0</f>
        <v>1</v>
      </c>
      <c r="AI9" s="4" t="b">
        <v>1</v>
      </c>
      <c r="AJ9" s="4" t="b">
        <v>1</v>
      </c>
      <c r="AR9" s="188"/>
      <c r="AS9" s="188"/>
      <c r="AT9" s="188"/>
      <c r="AU9" s="188"/>
    </row>
    <row r="10" spans="1:47" s="4" customFormat="1" ht="14" customHeight="1">
      <c r="A10" s="48"/>
      <c r="B10" s="85" t="s">
        <v>10</v>
      </c>
      <c r="C10" s="223" t="s">
        <v>332</v>
      </c>
      <c r="D10" s="223"/>
      <c r="E10" s="52" t="s">
        <v>9</v>
      </c>
      <c r="F10" s="224" t="str">
        <f>IF(TRIM(Job_Name)="", "", Job_Name)</f>
        <v/>
      </c>
      <c r="G10" s="224"/>
      <c r="H10" s="224"/>
      <c r="I10" s="225"/>
      <c r="J10" s="188"/>
      <c r="K10" s="188"/>
      <c r="L10" s="188"/>
      <c r="M10" s="188"/>
      <c r="N10" s="188"/>
      <c r="O10" s="188"/>
      <c r="P10" s="188"/>
      <c r="Q10" s="188"/>
      <c r="R10" s="188"/>
      <c r="S10" s="188"/>
      <c r="T10" s="188"/>
      <c r="U10" s="188"/>
      <c r="V10" s="188"/>
      <c r="W10" s="187"/>
      <c r="AA10" s="4" t="str" cm="1">
        <f t="array" ref="AA10">IF(Z10="","",IFERROR(INDEX(Description, MATCH(Z10, LINEOld, 0)), "Not Found"))</f>
        <v/>
      </c>
      <c r="AH10" s="4" t="b">
        <v>1</v>
      </c>
      <c r="AI10" s="4" t="b">
        <v>1</v>
      </c>
      <c r="AJ10" s="4" t="b">
        <v>1</v>
      </c>
      <c r="AR10" s="188"/>
      <c r="AS10" s="188"/>
      <c r="AT10" s="188"/>
      <c r="AU10" s="188"/>
    </row>
    <row r="11" spans="1:47" s="4" customFormat="1" ht="17">
      <c r="A11" s="48"/>
      <c r="B11" s="86"/>
      <c r="C11" s="223"/>
      <c r="D11" s="223"/>
      <c r="E11" s="53"/>
      <c r="I11" s="87"/>
      <c r="J11" s="188"/>
      <c r="K11" s="188"/>
      <c r="L11" s="188"/>
      <c r="M11" s="188"/>
      <c r="N11" s="188"/>
      <c r="O11" s="188"/>
      <c r="P11" s="188"/>
      <c r="Q11" s="188"/>
      <c r="R11" s="188"/>
      <c r="S11" s="188"/>
      <c r="T11" s="188"/>
      <c r="U11" s="188"/>
      <c r="V11" s="188"/>
      <c r="W11" s="188"/>
      <c r="AA11" s="4" t="str" cm="1">
        <f t="array" ref="AA11">IF(Z11="","",IFERROR(INDEX(Description, MATCH(Z11, LINEOld, 0)), "Not Found"))</f>
        <v/>
      </c>
      <c r="AD11" s="119" t="e" cm="1" vm="2">
        <f t="array" aca="1" ref="AD11" ca="1">_xlfn.UNIQUE(_xlfn.HSTACK(LineEntryOLD2, DateEntryOld, PayIDEntryOld2))&lt;&gt;0</f>
        <v>#VALUE!</v>
      </c>
      <c r="AH11" s="4" t="b">
        <v>1</v>
      </c>
      <c r="AI11" s="4" t="b">
        <v>1</v>
      </c>
      <c r="AJ11" s="4" t="b">
        <v>1</v>
      </c>
      <c r="AR11" s="188"/>
      <c r="AS11" s="188"/>
      <c r="AT11" s="188"/>
      <c r="AU11" s="188"/>
    </row>
    <row r="12" spans="1:47" s="4" customFormat="1" ht="22" customHeight="1">
      <c r="A12" s="48"/>
      <c r="B12" s="85" t="s">
        <v>8</v>
      </c>
      <c r="C12" s="223"/>
      <c r="D12" s="223"/>
      <c r="E12" s="52" t="s">
        <v>7</v>
      </c>
      <c r="F12" s="7"/>
      <c r="G12" s="7"/>
      <c r="H12" s="7"/>
      <c r="I12" s="88"/>
      <c r="J12" s="188"/>
      <c r="K12" s="188"/>
      <c r="L12" s="188"/>
      <c r="M12" s="188"/>
      <c r="N12" s="188"/>
      <c r="O12" s="188"/>
      <c r="P12" s="188"/>
      <c r="Q12" s="188"/>
      <c r="R12" s="188"/>
      <c r="S12" s="188"/>
      <c r="T12" s="188"/>
      <c r="U12" s="188"/>
      <c r="V12" s="188"/>
      <c r="W12" s="188"/>
      <c r="AA12" s="4" t="str" cm="1">
        <f t="array" ref="AA12">IF(Z12="","",IFERROR(INDEX(Description, MATCH(Z12, LINEOld, 0)), "Not Found"))</f>
        <v/>
      </c>
      <c r="AH12" s="4" t="b">
        <v>1</v>
      </c>
      <c r="AI12" s="4" t="b">
        <v>1</v>
      </c>
      <c r="AJ12" s="4" t="b">
        <v>1</v>
      </c>
      <c r="AR12" s="188"/>
      <c r="AS12" s="188"/>
      <c r="AT12" s="188"/>
      <c r="AU12" s="188"/>
    </row>
    <row r="13" spans="1:47" s="4" customFormat="1" ht="16">
      <c r="A13" s="48"/>
      <c r="B13" s="89"/>
      <c r="C13" s="223"/>
      <c r="D13" s="223"/>
      <c r="F13" s="218"/>
      <c r="G13" s="219"/>
      <c r="H13" s="219"/>
      <c r="I13" s="220"/>
      <c r="J13" s="188"/>
      <c r="K13" s="188"/>
      <c r="L13" s="188"/>
      <c r="M13" s="188"/>
      <c r="N13" s="188"/>
      <c r="O13" s="188"/>
      <c r="P13" s="188"/>
      <c r="Q13" s="188"/>
      <c r="R13" s="188"/>
      <c r="S13" s="188"/>
      <c r="T13" s="188"/>
      <c r="U13" s="188"/>
      <c r="V13" s="188"/>
      <c r="W13" s="188"/>
      <c r="AA13" s="4" t="str" cm="1">
        <f t="array" ref="AA13">IF(Z13="","",IFERROR(INDEX(Description, MATCH(Z13, LINEOld, 0)), "Not Found"))</f>
        <v/>
      </c>
      <c r="AH13" s="4" t="b">
        <v>1</v>
      </c>
      <c r="AI13" s="4" t="b">
        <v>1</v>
      </c>
      <c r="AJ13" s="4" t="b">
        <v>1</v>
      </c>
      <c r="AR13" s="188"/>
      <c r="AS13" s="188"/>
      <c r="AT13" s="188"/>
      <c r="AU13" s="188"/>
    </row>
    <row r="14" spans="1:47" s="4" customFormat="1" ht="16">
      <c r="A14" s="48"/>
      <c r="B14" s="89"/>
      <c r="C14" s="226"/>
      <c r="D14" s="226"/>
      <c r="E14" s="52" t="s">
        <v>265</v>
      </c>
      <c r="F14" s="218"/>
      <c r="G14" s="219"/>
      <c r="H14" s="219"/>
      <c r="I14" s="220"/>
      <c r="J14" s="188"/>
      <c r="K14" s="188"/>
      <c r="L14" s="188"/>
      <c r="M14" s="188"/>
      <c r="N14" s="188"/>
      <c r="O14" s="188"/>
      <c r="P14" s="188"/>
      <c r="Q14" s="188"/>
      <c r="R14" s="188"/>
      <c r="S14" s="188"/>
      <c r="T14" s="188"/>
      <c r="U14" s="188"/>
      <c r="V14" s="188"/>
      <c r="W14" s="188"/>
      <c r="X14" s="188"/>
      <c r="Y14" s="188"/>
      <c r="Z14" s="188"/>
      <c r="AA14" s="188"/>
      <c r="AB14" s="188"/>
      <c r="AC14" s="188"/>
      <c r="AD14" s="188" t="b">
        <v>1</v>
      </c>
      <c r="AE14" s="188" t="b">
        <v>1</v>
      </c>
      <c r="AF14" s="188" t="b">
        <v>1</v>
      </c>
      <c r="AG14" s="188"/>
      <c r="AH14" s="188" t="b">
        <v>1</v>
      </c>
      <c r="AI14" s="188" t="b">
        <v>1</v>
      </c>
      <c r="AJ14" s="188" t="b">
        <v>1</v>
      </c>
      <c r="AK14" s="188"/>
      <c r="AL14" s="188"/>
      <c r="AM14" s="188"/>
      <c r="AN14" s="188"/>
      <c r="AO14" s="188"/>
      <c r="AP14" s="188"/>
      <c r="AQ14" s="188"/>
      <c r="AR14" s="188"/>
      <c r="AS14" s="188"/>
      <c r="AT14" s="188"/>
      <c r="AU14" s="188"/>
    </row>
    <row r="15" spans="1:47" s="4" customFormat="1" ht="16">
      <c r="A15" s="48"/>
      <c r="B15" s="90"/>
      <c r="C15" s="54"/>
      <c r="D15" s="54"/>
      <c r="I15" s="87"/>
      <c r="J15" s="188"/>
      <c r="K15" s="188"/>
      <c r="L15" s="188"/>
      <c r="M15" s="188"/>
      <c r="N15" s="188"/>
      <c r="O15" s="188"/>
      <c r="P15" s="188"/>
      <c r="Q15" s="188"/>
      <c r="R15" s="188"/>
      <c r="S15" s="188"/>
      <c r="T15" s="188"/>
      <c r="U15" s="188"/>
      <c r="V15" s="188"/>
      <c r="W15" s="188"/>
      <c r="X15" s="188"/>
      <c r="Y15" s="188"/>
      <c r="Z15" s="188"/>
      <c r="AA15" s="188"/>
      <c r="AB15" s="188"/>
      <c r="AC15" s="188"/>
      <c r="AD15" s="188" t="b">
        <v>0</v>
      </c>
      <c r="AE15" s="188" t="b">
        <v>0</v>
      </c>
      <c r="AF15" s="188" t="b">
        <v>0</v>
      </c>
      <c r="AG15" s="188"/>
      <c r="AH15" s="188" t="b">
        <v>0</v>
      </c>
      <c r="AI15" s="188" t="b">
        <v>0</v>
      </c>
      <c r="AJ15" s="188" t="b">
        <v>0</v>
      </c>
      <c r="AK15" s="188"/>
      <c r="AL15" s="188"/>
      <c r="AM15" s="188"/>
      <c r="AN15" s="188"/>
      <c r="AO15" s="188"/>
      <c r="AP15" s="188"/>
      <c r="AQ15" s="188"/>
      <c r="AR15" s="188"/>
      <c r="AS15" s="188"/>
      <c r="AT15" s="188"/>
      <c r="AU15" s="188"/>
    </row>
    <row r="16" spans="1:47" s="3" customFormat="1" ht="23" customHeight="1">
      <c r="A16" s="46"/>
      <c r="B16" s="91" t="s">
        <v>6</v>
      </c>
      <c r="C16" s="55"/>
      <c r="D16" s="55"/>
      <c r="E16" s="55"/>
      <c r="F16" s="55"/>
      <c r="G16" s="70"/>
      <c r="H16" s="40"/>
      <c r="I16" s="92"/>
      <c r="J16" s="187"/>
      <c r="K16" s="187"/>
      <c r="L16" s="187"/>
      <c r="M16" s="187"/>
      <c r="N16" s="187"/>
      <c r="O16" s="187"/>
      <c r="P16" s="187"/>
      <c r="Q16" s="187"/>
      <c r="R16" s="187"/>
      <c r="S16" s="187"/>
      <c r="T16" s="187"/>
      <c r="U16" s="187"/>
      <c r="V16" s="187"/>
      <c r="W16" s="187"/>
      <c r="X16" s="187"/>
      <c r="Y16" s="187"/>
      <c r="Z16" s="187"/>
      <c r="AA16" s="187"/>
      <c r="AB16" s="187"/>
      <c r="AC16" s="187"/>
      <c r="AD16" s="187"/>
      <c r="AE16" s="187"/>
      <c r="AF16" s="187"/>
      <c r="AG16" s="187"/>
      <c r="AH16" s="187"/>
      <c r="AI16" s="187"/>
      <c r="AJ16" s="187"/>
      <c r="AK16" s="187"/>
      <c r="AL16" s="187"/>
      <c r="AM16" s="187"/>
      <c r="AN16" s="187"/>
      <c r="AO16" s="187"/>
      <c r="AP16" s="187"/>
      <c r="AQ16" s="187"/>
      <c r="AR16" s="187"/>
      <c r="AS16" s="187"/>
      <c r="AT16" s="187"/>
      <c r="AU16" s="187"/>
    </row>
    <row r="17" spans="1:50" s="3" customFormat="1" ht="23" customHeight="1">
      <c r="A17" s="46"/>
      <c r="B17" s="91"/>
      <c r="C17" s="71"/>
      <c r="D17" s="71"/>
      <c r="E17" s="71"/>
      <c r="F17" s="71"/>
      <c r="G17" s="72"/>
      <c r="H17" s="40"/>
      <c r="I17" s="92"/>
      <c r="J17" s="187"/>
      <c r="K17" s="187"/>
      <c r="L17" s="187"/>
      <c r="M17" s="187"/>
      <c r="N17" s="187"/>
      <c r="O17" s="187"/>
      <c r="P17" s="187"/>
      <c r="Q17" s="187"/>
      <c r="R17" s="187"/>
      <c r="S17" s="187"/>
      <c r="T17" s="187"/>
      <c r="U17" s="187"/>
      <c r="V17" s="187"/>
      <c r="W17" s="187"/>
      <c r="X17" s="187"/>
      <c r="Y17" s="187"/>
      <c r="Z17" s="187"/>
      <c r="AA17" s="187"/>
      <c r="AB17" s="187"/>
      <c r="AC17" s="187"/>
      <c r="AD17" s="187"/>
      <c r="AE17" s="189"/>
      <c r="AF17" s="189"/>
      <c r="AG17" s="189"/>
      <c r="AH17" s="189"/>
      <c r="AI17" s="189"/>
      <c r="AJ17" s="187"/>
      <c r="AK17" s="187"/>
      <c r="AS17" s="187"/>
      <c r="AT17" s="187"/>
      <c r="AU17" s="187"/>
    </row>
    <row r="18" spans="1:50" s="3" customFormat="1" ht="23" customHeight="1">
      <c r="A18" s="46"/>
      <c r="B18" s="91"/>
      <c r="C18" s="221"/>
      <c r="D18" s="221"/>
      <c r="E18" s="221"/>
      <c r="F18" s="221"/>
      <c r="G18" s="221"/>
      <c r="H18" s="221"/>
      <c r="I18" s="222"/>
      <c r="AL18" s="119" t="s">
        <v>320</v>
      </c>
    </row>
    <row r="19" spans="1:50" s="3" customFormat="1" ht="13" customHeight="1" thickBot="1">
      <c r="A19" s="46"/>
      <c r="B19" s="91"/>
      <c r="C19" s="221"/>
      <c r="D19" s="221"/>
      <c r="E19" s="221"/>
      <c r="F19" s="221"/>
      <c r="G19" s="221"/>
      <c r="H19" s="221"/>
      <c r="I19" s="222"/>
      <c r="AE19" s="4"/>
      <c r="AF19" s="4"/>
      <c r="AG19" s="4"/>
      <c r="AH19" s="4"/>
      <c r="AI19" s="4"/>
      <c r="AJ19" s="4"/>
      <c r="AK19" s="4"/>
    </row>
    <row r="20" spans="1:50" s="3" customFormat="1" ht="34" customHeight="1">
      <c r="A20" s="46"/>
      <c r="B20" s="91"/>
      <c r="C20" s="56"/>
      <c r="D20" s="56"/>
      <c r="E20" s="56"/>
      <c r="F20" s="56"/>
      <c r="G20" s="56"/>
      <c r="H20" s="56"/>
      <c r="I20" s="93"/>
      <c r="K20" s="137" t="s">
        <v>328</v>
      </c>
      <c r="L20" s="191" cm="1">
        <f t="array" ref="L20:S22">IFERROR(
    _xlfn.WRAPCOLS(
        _xlfn.TOCOL(
            INDEX(
                _xlfn._xlws.FILTER(
                    _xlfn.UNIQUE(_xlfn.HSTACK(LineEntry, DateEntry, PayIDEntry)),
                    _xlfn.BYROW(_xlfn.UNIQUE(_xlfn.HSTACK(LineEntry, DateEntry, PayIDEntry)), _xlfn.LAMBDA(_xlpm.row, SUM(_xlpm.row)&lt;&gt;0))
                ),
                _xlfn.SEQUENCE(8,1),
                {1,2,3}
            )
        ),
        3
    ),
    ""
)</f>
        <v>204</v>
      </c>
      <c r="M20" s="192">
        <v>205</v>
      </c>
      <c r="N20" s="192">
        <v>112</v>
      </c>
      <c r="O20" s="192">
        <v>1</v>
      </c>
      <c r="P20" s="192">
        <v>5</v>
      </c>
      <c r="Q20" s="192">
        <v>6</v>
      </c>
      <c r="R20" s="192" t="str">
        <v/>
      </c>
      <c r="S20" s="192" t="str">
        <v/>
      </c>
      <c r="T20" s="193"/>
      <c r="V20" s="137" t="s">
        <v>328</v>
      </c>
      <c r="W20" s="134" cm="1">
        <f t="array" ref="W20:AE22">TRANSPOSE(_xlfn._xlws.SORT(TRANSPOSE(L20:T22), 1, TRUE))</f>
        <v>1</v>
      </c>
      <c r="X20" s="134">
        <v>5</v>
      </c>
      <c r="Y20" s="134">
        <v>6</v>
      </c>
      <c r="Z20" s="134">
        <v>112</v>
      </c>
      <c r="AA20" s="134">
        <v>204</v>
      </c>
      <c r="AB20" s="134">
        <v>205</v>
      </c>
      <c r="AC20" s="134" t="str">
        <v/>
      </c>
      <c r="AD20" s="134" t="str">
        <v/>
      </c>
      <c r="AE20" s="134">
        <v>0</v>
      </c>
      <c r="AL20" s="208" t="s">
        <v>333</v>
      </c>
      <c r="AM20" s="208"/>
      <c r="AN20" s="208"/>
      <c r="AO20" s="208"/>
      <c r="AP20" s="208"/>
      <c r="AQ20" s="208"/>
      <c r="AR20" s="4" t="s">
        <v>334</v>
      </c>
    </row>
    <row r="21" spans="1:50" s="3" customFormat="1" ht="16" customHeight="1">
      <c r="A21" s="46"/>
      <c r="B21" s="91"/>
      <c r="C21" s="56"/>
      <c r="D21" s="56"/>
      <c r="E21" s="56"/>
      <c r="F21" s="56"/>
      <c r="G21" s="56"/>
      <c r="H21" s="56"/>
      <c r="I21" s="93"/>
      <c r="K21" s="137" t="s">
        <v>329</v>
      </c>
      <c r="L21" s="194">
        <v>45849</v>
      </c>
      <c r="M21" s="195">
        <v>45849</v>
      </c>
      <c r="N21" s="195">
        <v>45848</v>
      </c>
      <c r="O21" s="195">
        <v>45849</v>
      </c>
      <c r="P21" s="195">
        <v>45849</v>
      </c>
      <c r="Q21" s="195">
        <v>45849</v>
      </c>
      <c r="R21" s="195" t="str">
        <v/>
      </c>
      <c r="S21" s="195" t="str">
        <v/>
      </c>
      <c r="T21" s="196"/>
      <c r="V21" s="137" t="s">
        <v>329</v>
      </c>
      <c r="W21" s="135">
        <v>45849</v>
      </c>
      <c r="X21" s="135">
        <v>45849</v>
      </c>
      <c r="Y21" s="135">
        <v>45849</v>
      </c>
      <c r="Z21" s="135">
        <v>45848</v>
      </c>
      <c r="AA21" s="135">
        <v>45849</v>
      </c>
      <c r="AB21" s="135">
        <v>45849</v>
      </c>
      <c r="AC21" s="135" t="str">
        <v/>
      </c>
      <c r="AD21" s="135" t="str">
        <v/>
      </c>
      <c r="AE21" s="135">
        <v>0</v>
      </c>
      <c r="AL21" s="144" cm="1">
        <f t="array" ref="AL21:AQ23">IFERROR(
    _xlfn.WRAPCOLS(
        _xlfn.TOCOL(
            INDEX(
                _xlfn._xlws.FILTER(
                    _xlfn.UNIQUE(_xlfn.HSTACK(LineEntryOld3, DateEntryOld3, PayIDEntryOld3)),
                    _xlfn.BYROW(_xlfn.UNIQUE(_xlfn.HSTACK(LineEntryOld3, DateEntryOld3, PayIDEntryOld3)), _xlfn.LAMBDA(_xlpm.row, SUM(_xlpm.row)&lt;&gt;0))
                ),
                _xlfn.SEQUENCE(6,1),
                {1,2,3}
            )
        ),
        3
    ),
    ""
)</f>
        <v>204</v>
      </c>
      <c r="AM21" s="145">
        <v>205</v>
      </c>
      <c r="AN21" s="145">
        <v>112</v>
      </c>
      <c r="AO21" s="145">
        <v>1</v>
      </c>
      <c r="AP21" s="145">
        <v>5</v>
      </c>
      <c r="AQ21" s="146">
        <v>6</v>
      </c>
      <c r="AR21" s="3" cm="1">
        <f t="array" ref="AR21">SUMPRODUCT(--(TRIM(AL21:AQ21)&lt;&gt;""))</f>
        <v>6</v>
      </c>
      <c r="AS21" s="3" cm="1">
        <f t="array" ref="AS21:AX23">_xlfn._xlws.SORT(AL21:AQ23, 1, TRUE, FALSE)</f>
        <v>204</v>
      </c>
      <c r="AT21" s="3">
        <v>205</v>
      </c>
      <c r="AU21" s="3">
        <v>112</v>
      </c>
      <c r="AV21" s="3">
        <v>1</v>
      </c>
      <c r="AW21" s="3">
        <v>5</v>
      </c>
      <c r="AX21" s="3">
        <v>6</v>
      </c>
    </row>
    <row r="22" spans="1:50" ht="30" customHeight="1" thickBot="1">
      <c r="A22" s="42"/>
      <c r="B22" s="212"/>
      <c r="C22" s="213"/>
      <c r="D22" s="214"/>
      <c r="E22" s="214"/>
      <c r="F22" s="214"/>
      <c r="G22" s="214"/>
      <c r="H22" s="214"/>
      <c r="I22" s="215"/>
      <c r="K22" s="137" t="s">
        <v>330</v>
      </c>
      <c r="L22" s="197" t="str">
        <v>CC 2456</v>
      </c>
      <c r="M22" s="198" t="str">
        <v>CC 2456</v>
      </c>
      <c r="N22" s="198" t="str">
        <v>CHK 101</v>
      </c>
      <c r="O22" s="198" t="str">
        <v>CASH</v>
      </c>
      <c r="P22" s="198" t="str">
        <v>CC 2456</v>
      </c>
      <c r="Q22" s="198" t="str">
        <v>CC 2456</v>
      </c>
      <c r="R22" s="198" t="str">
        <v/>
      </c>
      <c r="S22" s="198" t="str">
        <v/>
      </c>
      <c r="T22" s="199"/>
      <c r="V22" s="137" t="s">
        <v>330</v>
      </c>
      <c r="W22" s="200" t="str">
        <v>CASH</v>
      </c>
      <c r="X22" s="200" t="str">
        <v>CC 2456</v>
      </c>
      <c r="Y22" s="200" t="str">
        <v>CC 2456</v>
      </c>
      <c r="Z22" s="200" t="str">
        <v>CHK 101</v>
      </c>
      <c r="AA22" s="200" t="str">
        <v>CC 2456</v>
      </c>
      <c r="AB22" s="200" t="str">
        <v>CC 2456</v>
      </c>
      <c r="AC22" s="200" t="str">
        <v/>
      </c>
      <c r="AD22" s="200" t="str">
        <v/>
      </c>
      <c r="AE22" s="136">
        <v>0</v>
      </c>
      <c r="AL22" s="46">
        <v>45849</v>
      </c>
      <c r="AM22" s="3">
        <v>45849</v>
      </c>
      <c r="AN22" s="3">
        <v>45848</v>
      </c>
      <c r="AO22" s="3">
        <v>45849</v>
      </c>
      <c r="AP22" s="3">
        <v>45849</v>
      </c>
      <c r="AQ22" s="147">
        <v>45849</v>
      </c>
      <c r="AR22" s="3"/>
      <c r="AS22" s="190">
        <v>45849</v>
      </c>
      <c r="AT22" s="190">
        <v>45849</v>
      </c>
      <c r="AU22" s="190">
        <v>45848</v>
      </c>
      <c r="AV22" s="190">
        <v>45849</v>
      </c>
      <c r="AW22" s="190">
        <v>45849</v>
      </c>
      <c r="AX22" s="190">
        <v>45849</v>
      </c>
    </row>
    <row r="23" spans="1:50" s="4" customFormat="1" ht="16" customHeight="1" thickBot="1">
      <c r="A23" s="48"/>
      <c r="B23" s="94" t="s">
        <v>4</v>
      </c>
      <c r="C23" s="216" t="s">
        <v>3</v>
      </c>
      <c r="D23" s="217"/>
      <c r="E23" s="65" t="s">
        <v>12</v>
      </c>
      <c r="F23" s="65" t="s">
        <v>18</v>
      </c>
      <c r="G23" s="65" t="s">
        <v>2</v>
      </c>
      <c r="H23" s="65" t="s">
        <v>1</v>
      </c>
      <c r="I23" s="95" t="s">
        <v>0</v>
      </c>
      <c r="W23" s="118" t="s">
        <v>314</v>
      </c>
      <c r="X23" s="118" t="s">
        <v>325</v>
      </c>
      <c r="Y23" s="118" t="s">
        <v>315</v>
      </c>
      <c r="Z23" s="118" t="s">
        <v>316</v>
      </c>
      <c r="AA23" s="118" t="s">
        <v>317</v>
      </c>
      <c r="AB23" s="118" t="s">
        <v>318</v>
      </c>
      <c r="AC23" s="118" t="s">
        <v>341</v>
      </c>
      <c r="AD23" s="118" t="s">
        <v>340</v>
      </c>
      <c r="AE23" s="118" t="s">
        <v>339</v>
      </c>
      <c r="AL23" s="62" t="str">
        <v>CC 2456</v>
      </c>
      <c r="AM23" s="63" t="str">
        <v>CC 2456</v>
      </c>
      <c r="AN23" s="63" t="str">
        <v>CHK 101</v>
      </c>
      <c r="AO23" s="63" t="str">
        <v>CASH</v>
      </c>
      <c r="AP23" s="63" t="str">
        <v>CC 2456</v>
      </c>
      <c r="AQ23" s="64" t="str">
        <v>CC 2456</v>
      </c>
      <c r="AR23" s="1"/>
      <c r="AS23" s="4" t="str">
        <v>CC 2456</v>
      </c>
      <c r="AT23" s="4" t="str">
        <v>CC 2456</v>
      </c>
      <c r="AU23" s="4" t="str">
        <v>CHK 101</v>
      </c>
      <c r="AV23" s="4" t="str">
        <v>CASH</v>
      </c>
      <c r="AW23" s="4" t="str">
        <v>CC 2456</v>
      </c>
      <c r="AX23" s="4" t="str">
        <v>CC 2456</v>
      </c>
    </row>
    <row r="24" spans="1:50" s="4" customFormat="1" ht="16" customHeight="1">
      <c r="A24" s="48"/>
      <c r="B24" s="122">
        <v>204</v>
      </c>
      <c r="C24" s="209" t="s">
        <v>312</v>
      </c>
      <c r="D24" s="210"/>
      <c r="E24" s="116">
        <v>45849</v>
      </c>
      <c r="F24" s="124" t="s">
        <v>313</v>
      </c>
      <c r="G24" s="6">
        <v>1</v>
      </c>
      <c r="H24" s="5">
        <v>100</v>
      </c>
      <c r="I24" s="96">
        <f>G24*H24</f>
        <v>100</v>
      </c>
      <c r="W24" s="133" t="str">
        <f>IF($B24="", "", IF(AND($I24, $B24=W$20, $E24=W$21, $F24=W$22, SUM($I$24)&gt;0), $I24, ""))</f>
        <v/>
      </c>
      <c r="X24" s="133" t="str">
        <f t="shared" ref="X24:AE24" si="0">IF($B24="", "", IF(AND($I24, $B24=X$20, $E24=X$21, $F24=X$22, SUM($I$24)&gt;0), $I24, ""))</f>
        <v/>
      </c>
      <c r="Y24" s="133" t="str">
        <f t="shared" si="0"/>
        <v/>
      </c>
      <c r="Z24" s="133" t="str">
        <f>IF($B24="", "", IF(AND($I24, $B24=Z$20, $E24=Z$21, $F24=Z$22, SUM($I$24)&gt;0), $I24, ""))</f>
        <v/>
      </c>
      <c r="AA24" s="133">
        <f t="shared" si="0"/>
        <v>100</v>
      </c>
      <c r="AB24" s="133" t="str">
        <f t="shared" si="0"/>
        <v/>
      </c>
      <c r="AC24" s="133" t="str">
        <f t="shared" si="0"/>
        <v/>
      </c>
      <c r="AD24" s="133" t="str">
        <f t="shared" si="0"/>
        <v/>
      </c>
      <c r="AE24" s="133" t="str">
        <f t="shared" si="0"/>
        <v/>
      </c>
    </row>
    <row r="25" spans="1:50" s="4" customFormat="1" ht="16" customHeight="1">
      <c r="A25" s="48"/>
      <c r="B25" s="122">
        <v>205</v>
      </c>
      <c r="C25" s="209"/>
      <c r="D25" s="210"/>
      <c r="E25" s="116">
        <v>45849</v>
      </c>
      <c r="F25" s="124" t="s">
        <v>313</v>
      </c>
      <c r="G25" s="6">
        <v>1</v>
      </c>
      <c r="H25" s="5">
        <v>50</v>
      </c>
      <c r="I25" s="96">
        <f t="shared" ref="I25:I35" si="1">G25*H25</f>
        <v>50</v>
      </c>
      <c r="W25" s="133" t="str">
        <f t="shared" ref="W25:AE35" si="2">IF($B25="", "", IF(AND($I25, $B25=W$20, $E25=W$21, $F25=W$22, SUM($I$24)&gt;0), $I25, ""))</f>
        <v/>
      </c>
      <c r="X25" s="133" t="str">
        <f t="shared" si="2"/>
        <v/>
      </c>
      <c r="Y25" s="133" t="str">
        <f t="shared" si="2"/>
        <v/>
      </c>
      <c r="Z25" s="133" t="str">
        <f t="shared" si="2"/>
        <v/>
      </c>
      <c r="AA25" s="133" t="str">
        <f t="shared" si="2"/>
        <v/>
      </c>
      <c r="AB25" s="133">
        <f t="shared" si="2"/>
        <v>50</v>
      </c>
      <c r="AC25" s="133" t="str">
        <f t="shared" si="2"/>
        <v/>
      </c>
      <c r="AD25" s="133" t="str">
        <f t="shared" si="2"/>
        <v/>
      </c>
      <c r="AE25" s="133" t="str">
        <f t="shared" si="2"/>
        <v/>
      </c>
    </row>
    <row r="26" spans="1:50" s="4" customFormat="1" ht="16" customHeight="1">
      <c r="A26" s="48"/>
      <c r="B26" s="122">
        <v>112</v>
      </c>
      <c r="C26" s="209" t="s">
        <v>326</v>
      </c>
      <c r="D26" s="210"/>
      <c r="E26" s="116">
        <v>45848</v>
      </c>
      <c r="F26" s="124" t="s">
        <v>327</v>
      </c>
      <c r="G26" s="6">
        <v>1</v>
      </c>
      <c r="H26" s="5">
        <v>1000</v>
      </c>
      <c r="I26" s="96">
        <f t="shared" si="1"/>
        <v>1000</v>
      </c>
      <c r="W26" s="133" t="str">
        <f t="shared" si="2"/>
        <v/>
      </c>
      <c r="X26" s="133" t="str">
        <f t="shared" si="2"/>
        <v/>
      </c>
      <c r="Y26" s="133" t="str">
        <f t="shared" si="2"/>
        <v/>
      </c>
      <c r="Z26" s="133">
        <f t="shared" si="2"/>
        <v>1000</v>
      </c>
      <c r="AA26" s="133" t="str">
        <f t="shared" si="2"/>
        <v/>
      </c>
      <c r="AB26" s="133" t="str">
        <f t="shared" si="2"/>
        <v/>
      </c>
      <c r="AC26" s="133" t="str">
        <f t="shared" si="2"/>
        <v/>
      </c>
      <c r="AD26" s="133" t="str">
        <f t="shared" si="2"/>
        <v/>
      </c>
      <c r="AE26" s="133" t="str">
        <f t="shared" si="2"/>
        <v/>
      </c>
    </row>
    <row r="27" spans="1:50" s="4" customFormat="1" ht="16">
      <c r="A27" s="48"/>
      <c r="B27" s="122">
        <v>204</v>
      </c>
      <c r="C27" s="209" t="s">
        <v>312</v>
      </c>
      <c r="D27" s="210"/>
      <c r="E27" s="116">
        <v>45849</v>
      </c>
      <c r="F27" s="124" t="s">
        <v>313</v>
      </c>
      <c r="G27" s="6">
        <v>1</v>
      </c>
      <c r="H27" s="5">
        <v>100</v>
      </c>
      <c r="I27" s="96">
        <f t="shared" si="1"/>
        <v>100</v>
      </c>
      <c r="W27" s="133" t="str">
        <f t="shared" si="2"/>
        <v/>
      </c>
      <c r="X27" s="133" t="str">
        <f t="shared" si="2"/>
        <v/>
      </c>
      <c r="Y27" s="133" t="str">
        <f t="shared" si="2"/>
        <v/>
      </c>
      <c r="Z27" s="133" t="str">
        <f t="shared" si="2"/>
        <v/>
      </c>
      <c r="AA27" s="133">
        <f t="shared" si="2"/>
        <v>100</v>
      </c>
      <c r="AB27" s="133" t="str">
        <f t="shared" si="2"/>
        <v/>
      </c>
      <c r="AC27" s="133" t="str">
        <f t="shared" si="2"/>
        <v/>
      </c>
      <c r="AD27" s="133" t="str">
        <f t="shared" si="2"/>
        <v/>
      </c>
      <c r="AE27" s="133" t="str">
        <f t="shared" si="2"/>
        <v/>
      </c>
    </row>
    <row r="28" spans="1:50" s="4" customFormat="1" ht="16" customHeight="1">
      <c r="A28" s="48"/>
      <c r="B28" s="122">
        <v>1</v>
      </c>
      <c r="C28" s="209" t="s">
        <v>336</v>
      </c>
      <c r="D28" s="210"/>
      <c r="E28" s="116">
        <v>45849</v>
      </c>
      <c r="F28" s="124" t="s">
        <v>5</v>
      </c>
      <c r="G28" s="6">
        <v>1</v>
      </c>
      <c r="H28" s="5">
        <v>1000</v>
      </c>
      <c r="I28" s="96">
        <f t="shared" si="1"/>
        <v>1000</v>
      </c>
      <c r="W28" s="133">
        <f t="shared" si="2"/>
        <v>1000</v>
      </c>
      <c r="X28" s="133" t="str">
        <f t="shared" si="2"/>
        <v/>
      </c>
      <c r="Y28" s="133" t="str">
        <f t="shared" si="2"/>
        <v/>
      </c>
      <c r="Z28" s="133" t="str">
        <f t="shared" si="2"/>
        <v/>
      </c>
      <c r="AA28" s="133" t="str">
        <f t="shared" si="2"/>
        <v/>
      </c>
      <c r="AB28" s="133" t="str">
        <f t="shared" si="2"/>
        <v/>
      </c>
      <c r="AC28" s="133" t="str">
        <f t="shared" si="2"/>
        <v/>
      </c>
      <c r="AD28" s="133" t="str">
        <f t="shared" si="2"/>
        <v/>
      </c>
      <c r="AE28" s="133" t="str">
        <f t="shared" si="2"/>
        <v/>
      </c>
    </row>
    <row r="29" spans="1:50" s="4" customFormat="1" ht="16" customHeight="1">
      <c r="A29" s="48"/>
      <c r="B29" s="122">
        <v>5</v>
      </c>
      <c r="C29" s="209" t="s">
        <v>312</v>
      </c>
      <c r="D29" s="210"/>
      <c r="E29" s="116">
        <v>45849</v>
      </c>
      <c r="F29" s="124" t="s">
        <v>313</v>
      </c>
      <c r="G29" s="6">
        <v>1</v>
      </c>
      <c r="H29" s="5">
        <v>100</v>
      </c>
      <c r="I29" s="96">
        <f t="shared" si="1"/>
        <v>100</v>
      </c>
      <c r="W29" s="133" t="str">
        <f t="shared" si="2"/>
        <v/>
      </c>
      <c r="X29" s="133">
        <f t="shared" si="2"/>
        <v>100</v>
      </c>
      <c r="Y29" s="133" t="str">
        <f t="shared" si="2"/>
        <v/>
      </c>
      <c r="Z29" s="133" t="str">
        <f t="shared" si="2"/>
        <v/>
      </c>
      <c r="AA29" s="133" t="str">
        <f t="shared" si="2"/>
        <v/>
      </c>
      <c r="AB29" s="133" t="str">
        <f t="shared" si="2"/>
        <v/>
      </c>
      <c r="AC29" s="133" t="str">
        <f t="shared" si="2"/>
        <v/>
      </c>
      <c r="AD29" s="133" t="str">
        <f t="shared" si="2"/>
        <v/>
      </c>
      <c r="AE29" s="133" t="str">
        <f t="shared" si="2"/>
        <v/>
      </c>
    </row>
    <row r="30" spans="1:50" s="4" customFormat="1" ht="16" customHeight="1">
      <c r="A30" s="48"/>
      <c r="B30" s="122">
        <v>6</v>
      </c>
      <c r="C30" s="209" t="s">
        <v>312</v>
      </c>
      <c r="D30" s="210"/>
      <c r="E30" s="116">
        <v>45849</v>
      </c>
      <c r="F30" s="124" t="s">
        <v>313</v>
      </c>
      <c r="G30" s="6">
        <v>1</v>
      </c>
      <c r="H30" s="5">
        <v>100</v>
      </c>
      <c r="I30" s="96">
        <f t="shared" si="1"/>
        <v>100</v>
      </c>
      <c r="W30" s="133" t="str">
        <f t="shared" si="2"/>
        <v/>
      </c>
      <c r="X30" s="133" t="str">
        <f t="shared" si="2"/>
        <v/>
      </c>
      <c r="Y30" s="133">
        <f t="shared" si="2"/>
        <v>100</v>
      </c>
      <c r="Z30" s="133" t="str">
        <f t="shared" si="2"/>
        <v/>
      </c>
      <c r="AA30" s="133" t="str">
        <f t="shared" si="2"/>
        <v/>
      </c>
      <c r="AB30" s="133" t="str">
        <f t="shared" si="2"/>
        <v/>
      </c>
      <c r="AC30" s="133" t="str">
        <f t="shared" si="2"/>
        <v/>
      </c>
      <c r="AD30" s="133" t="str">
        <f t="shared" si="2"/>
        <v/>
      </c>
      <c r="AE30" s="133" t="str">
        <f t="shared" si="2"/>
        <v/>
      </c>
    </row>
    <row r="31" spans="1:50" s="4" customFormat="1" ht="16" customHeight="1">
      <c r="A31" s="48"/>
      <c r="B31" s="122">
        <v>204</v>
      </c>
      <c r="C31" s="209" t="s">
        <v>312</v>
      </c>
      <c r="D31" s="210"/>
      <c r="E31" s="116">
        <v>45849</v>
      </c>
      <c r="F31" s="124" t="s">
        <v>313</v>
      </c>
      <c r="G31" s="6">
        <v>1</v>
      </c>
      <c r="H31" s="5">
        <v>100</v>
      </c>
      <c r="I31" s="96">
        <f t="shared" si="1"/>
        <v>100</v>
      </c>
      <c r="W31" s="133" t="str">
        <f t="shared" si="2"/>
        <v/>
      </c>
      <c r="X31" s="133" t="str">
        <f t="shared" si="2"/>
        <v/>
      </c>
      <c r="Y31" s="133" t="str">
        <f t="shared" si="2"/>
        <v/>
      </c>
      <c r="Z31" s="133" t="str">
        <f t="shared" si="2"/>
        <v/>
      </c>
      <c r="AA31" s="133">
        <f t="shared" si="2"/>
        <v>100</v>
      </c>
      <c r="AB31" s="133" t="str">
        <f t="shared" si="2"/>
        <v/>
      </c>
      <c r="AC31" s="133" t="str">
        <f t="shared" si="2"/>
        <v/>
      </c>
      <c r="AD31" s="133" t="str">
        <f t="shared" si="2"/>
        <v/>
      </c>
      <c r="AE31" s="133" t="str">
        <f t="shared" si="2"/>
        <v/>
      </c>
    </row>
    <row r="32" spans="1:50" s="4" customFormat="1" ht="16" customHeight="1">
      <c r="A32" s="48"/>
      <c r="B32" s="122">
        <v>204</v>
      </c>
      <c r="C32" s="209" t="s">
        <v>312</v>
      </c>
      <c r="D32" s="210"/>
      <c r="E32" s="116">
        <v>45849</v>
      </c>
      <c r="F32" s="124" t="s">
        <v>313</v>
      </c>
      <c r="G32" s="6">
        <v>1</v>
      </c>
      <c r="H32" s="5">
        <v>100</v>
      </c>
      <c r="I32" s="96">
        <f t="shared" si="1"/>
        <v>100</v>
      </c>
      <c r="W32" s="133" t="str">
        <f t="shared" si="2"/>
        <v/>
      </c>
      <c r="X32" s="133" t="str">
        <f t="shared" si="2"/>
        <v/>
      </c>
      <c r="Y32" s="133" t="str">
        <f t="shared" si="2"/>
        <v/>
      </c>
      <c r="Z32" s="133" t="str">
        <f t="shared" si="2"/>
        <v/>
      </c>
      <c r="AA32" s="133">
        <f t="shared" si="2"/>
        <v>100</v>
      </c>
      <c r="AB32" s="133" t="str">
        <f t="shared" si="2"/>
        <v/>
      </c>
      <c r="AC32" s="133" t="str">
        <f t="shared" si="2"/>
        <v/>
      </c>
      <c r="AD32" s="133" t="str">
        <f t="shared" si="2"/>
        <v/>
      </c>
      <c r="AE32" s="133" t="str">
        <f t="shared" si="2"/>
        <v/>
      </c>
    </row>
    <row r="33" spans="1:31" s="4" customFormat="1" ht="16" customHeight="1">
      <c r="A33" s="48"/>
      <c r="B33" s="122">
        <v>204</v>
      </c>
      <c r="C33" s="209" t="s">
        <v>312</v>
      </c>
      <c r="D33" s="210"/>
      <c r="E33" s="116">
        <v>45849</v>
      </c>
      <c r="F33" s="124" t="s">
        <v>313</v>
      </c>
      <c r="G33" s="6">
        <v>1</v>
      </c>
      <c r="H33" s="5">
        <v>100</v>
      </c>
      <c r="I33" s="96">
        <f t="shared" si="1"/>
        <v>100</v>
      </c>
      <c r="W33" s="133" t="str">
        <f t="shared" si="2"/>
        <v/>
      </c>
      <c r="X33" s="133" t="str">
        <f t="shared" si="2"/>
        <v/>
      </c>
      <c r="Y33" s="133" t="str">
        <f t="shared" si="2"/>
        <v/>
      </c>
      <c r="Z33" s="133" t="str">
        <f t="shared" si="2"/>
        <v/>
      </c>
      <c r="AA33" s="133">
        <f t="shared" si="2"/>
        <v>100</v>
      </c>
      <c r="AB33" s="133" t="str">
        <f t="shared" si="2"/>
        <v/>
      </c>
      <c r="AC33" s="133" t="str">
        <f t="shared" si="2"/>
        <v/>
      </c>
      <c r="AD33" s="133" t="str">
        <f t="shared" si="2"/>
        <v/>
      </c>
      <c r="AE33" s="133" t="str">
        <f t="shared" si="2"/>
        <v/>
      </c>
    </row>
    <row r="34" spans="1:31" s="4" customFormat="1" ht="16" customHeight="1">
      <c r="A34" s="48"/>
      <c r="B34" s="122">
        <v>204</v>
      </c>
      <c r="C34" s="209" t="s">
        <v>312</v>
      </c>
      <c r="D34" s="210"/>
      <c r="E34" s="116">
        <v>45849</v>
      </c>
      <c r="F34" s="124" t="s">
        <v>313</v>
      </c>
      <c r="G34" s="6">
        <v>1</v>
      </c>
      <c r="H34" s="5">
        <v>100</v>
      </c>
      <c r="I34" s="96">
        <f t="shared" si="1"/>
        <v>100</v>
      </c>
      <c r="W34" s="133" t="str">
        <f t="shared" si="2"/>
        <v/>
      </c>
      <c r="X34" s="133" t="str">
        <f t="shared" si="2"/>
        <v/>
      </c>
      <c r="Y34" s="133" t="str">
        <f t="shared" si="2"/>
        <v/>
      </c>
      <c r="Z34" s="133" t="str">
        <f t="shared" si="2"/>
        <v/>
      </c>
      <c r="AA34" s="133">
        <f t="shared" si="2"/>
        <v>100</v>
      </c>
      <c r="AB34" s="133" t="str">
        <f t="shared" si="2"/>
        <v/>
      </c>
      <c r="AC34" s="133" t="str">
        <f t="shared" si="2"/>
        <v/>
      </c>
      <c r="AD34" s="133" t="str">
        <f t="shared" si="2"/>
        <v/>
      </c>
      <c r="AE34" s="133" t="str">
        <f t="shared" si="2"/>
        <v/>
      </c>
    </row>
    <row r="35" spans="1:31" s="4" customFormat="1" ht="16" customHeight="1" thickBot="1">
      <c r="A35" s="48"/>
      <c r="B35" s="123"/>
      <c r="C35" s="227"/>
      <c r="D35" s="228"/>
      <c r="E35" s="66"/>
      <c r="F35" s="125"/>
      <c r="G35" s="66"/>
      <c r="H35" s="67"/>
      <c r="I35" s="97">
        <f t="shared" si="1"/>
        <v>0</v>
      </c>
      <c r="W35" s="4" t="str">
        <f t="shared" si="2"/>
        <v/>
      </c>
      <c r="X35" s="4" t="str">
        <f t="shared" si="2"/>
        <v/>
      </c>
      <c r="Y35" s="4" t="str">
        <f t="shared" si="2"/>
        <v/>
      </c>
      <c r="Z35" s="4" t="str">
        <f t="shared" si="2"/>
        <v/>
      </c>
      <c r="AA35" s="4" t="str">
        <f t="shared" si="2"/>
        <v/>
      </c>
      <c r="AB35" s="4" t="str">
        <f t="shared" si="2"/>
        <v/>
      </c>
      <c r="AC35" s="4" t="str">
        <f t="shared" si="2"/>
        <v/>
      </c>
      <c r="AD35" s="4" t="str">
        <f t="shared" si="2"/>
        <v/>
      </c>
      <c r="AE35" s="4" t="str">
        <f t="shared" si="2"/>
        <v/>
      </c>
    </row>
    <row r="36" spans="1:31" s="4" customFormat="1" ht="16" customHeight="1" thickBot="1">
      <c r="A36" s="48"/>
      <c r="B36" s="98"/>
      <c r="C36" s="68"/>
      <c r="D36" s="68"/>
      <c r="E36" s="68"/>
      <c r="F36" s="68"/>
      <c r="G36" s="69"/>
      <c r="H36" s="69"/>
      <c r="I36" s="99"/>
      <c r="W36" s="138">
        <f>IF(SUM(W24:W35), SUM(W24:W35),"")</f>
        <v>1000</v>
      </c>
      <c r="X36" s="139">
        <f t="shared" ref="X36:AE36" si="3">IF(SUM(X24:X35), SUM(X24:X35),"")</f>
        <v>100</v>
      </c>
      <c r="Y36" s="140">
        <f t="shared" si="3"/>
        <v>100</v>
      </c>
      <c r="Z36" s="140">
        <f>IF(SUM(Z24:Z35), SUM(Z24:Z35),"")</f>
        <v>1000</v>
      </c>
      <c r="AA36" s="140">
        <f t="shared" si="3"/>
        <v>600</v>
      </c>
      <c r="AB36" s="141">
        <f t="shared" si="3"/>
        <v>50</v>
      </c>
      <c r="AC36" s="141" t="str">
        <f t="shared" si="3"/>
        <v/>
      </c>
      <c r="AD36" s="141" t="str">
        <f t="shared" si="3"/>
        <v/>
      </c>
      <c r="AE36" s="141" t="str">
        <f t="shared" si="3"/>
        <v/>
      </c>
    </row>
    <row r="37" spans="1:31" s="4" customFormat="1" ht="16" customHeight="1" thickBot="1">
      <c r="A37" s="48"/>
      <c r="B37" s="100" t="s">
        <v>263</v>
      </c>
      <c r="C37" s="2"/>
      <c r="D37" s="2"/>
      <c r="E37" s="58"/>
      <c r="F37" s="59"/>
      <c r="G37" s="107" t="s">
        <v>261</v>
      </c>
      <c r="H37" s="108"/>
      <c r="I37" s="109">
        <f>SUM(I23:I35)</f>
        <v>2850</v>
      </c>
      <c r="W37" s="129" t="s">
        <v>314</v>
      </c>
      <c r="X37" s="130" t="s">
        <v>325</v>
      </c>
      <c r="Y37" s="131" t="s">
        <v>315</v>
      </c>
      <c r="Z37" s="131" t="s">
        <v>316</v>
      </c>
      <c r="AA37" s="131" t="s">
        <v>317</v>
      </c>
      <c r="AB37" s="132" t="s">
        <v>318</v>
      </c>
      <c r="AC37" s="118" t="s">
        <v>341</v>
      </c>
      <c r="AD37" s="118" t="s">
        <v>340</v>
      </c>
      <c r="AE37" s="118" t="s">
        <v>339</v>
      </c>
    </row>
    <row r="38" spans="1:31" s="4" customFormat="1" ht="16" customHeight="1" thickBot="1">
      <c r="A38" s="48"/>
      <c r="B38" s="100"/>
      <c r="C38" s="211"/>
      <c r="D38" s="211"/>
      <c r="E38" s="61"/>
      <c r="F38" s="60"/>
      <c r="G38" s="110"/>
      <c r="H38" s="57"/>
      <c r="I38" s="101"/>
    </row>
    <row r="39" spans="1:31" s="4" customFormat="1" ht="16" customHeight="1">
      <c r="A39" s="48"/>
      <c r="B39" s="100"/>
      <c r="C39" s="1"/>
      <c r="D39" s="1"/>
      <c r="E39" s="60"/>
      <c r="F39" s="60"/>
      <c r="G39" s="110" t="s">
        <v>260</v>
      </c>
      <c r="H39" s="60" t="s">
        <v>262</v>
      </c>
      <c r="I39" s="102"/>
      <c r="W39" s="229" t="s">
        <v>331</v>
      </c>
      <c r="X39" s="230"/>
      <c r="Y39" s="230"/>
      <c r="Z39" s="230"/>
      <c r="AA39" s="230"/>
      <c r="AB39" s="230"/>
      <c r="AC39" s="231"/>
    </row>
    <row r="40" spans="1:31" ht="16" customHeight="1" thickBot="1">
      <c r="A40" s="42"/>
      <c r="B40" s="100" t="s">
        <v>264</v>
      </c>
      <c r="C40" s="2"/>
      <c r="D40" s="2"/>
      <c r="E40" s="59"/>
      <c r="F40" s="59"/>
      <c r="G40" s="110" t="s">
        <v>21</v>
      </c>
      <c r="H40" s="60"/>
      <c r="I40" s="103">
        <f>SUM(I37:I39)</f>
        <v>2850</v>
      </c>
      <c r="W40" s="169" t="s">
        <v>337</v>
      </c>
      <c r="X40" s="149" t="s">
        <v>4</v>
      </c>
      <c r="Y40" s="170" t="s">
        <v>16</v>
      </c>
      <c r="Z40" s="170" t="s">
        <v>17</v>
      </c>
      <c r="AA40" s="171" t="s">
        <v>12</v>
      </c>
      <c r="AB40" s="170" t="s">
        <v>18</v>
      </c>
      <c r="AC40" s="172" t="s">
        <v>242</v>
      </c>
      <c r="AD40" s="173" t="s">
        <v>19</v>
      </c>
    </row>
    <row r="41" spans="1:31" ht="16" customHeight="1" thickBot="1">
      <c r="B41" s="104"/>
      <c r="C41" s="105"/>
      <c r="D41" s="105"/>
      <c r="E41" s="105"/>
      <c r="F41" s="105"/>
      <c r="G41" s="104"/>
      <c r="H41" s="105"/>
      <c r="I41" s="106"/>
      <c r="W41" s="165" t="str">
        <f>IF(SUM($W$24:$W$35), "#A","")</f>
        <v>#A</v>
      </c>
      <c r="X41" s="153">
        <f>IF('TEMPLATE-SHEET_scrap'!$W41="#A", W20,"")</f>
        <v>1</v>
      </c>
      <c r="Y41" s="154" t="str">
        <f>IF('TEMPLATE-SHEET_scrap'!$W41="#A", Vendor,"")</f>
        <v>Vendor</v>
      </c>
      <c r="Z41" s="155" t="str">
        <f>IF('TEMPLATE-SHEET_scrap'!$W41="#A", Sheet_PO,"")</f>
        <v>{{PO_NUMBER}}</v>
      </c>
      <c r="AA41" s="156">
        <f>IF('TEMPLATE-SHEET_scrap'!$W41="#A", W$21,"")</f>
        <v>45849</v>
      </c>
      <c r="AB41" s="155" t="str">
        <f>IF('TEMPLATE-SHEET_scrap'!$W41="#A", W$22,"")</f>
        <v>CASH</v>
      </c>
      <c r="AC41" s="157">
        <f>IF('TEMPLATE-SHEET_scrap'!$W41="#A", W$36,"")</f>
        <v>1000</v>
      </c>
      <c r="AD41" s="155" t="str">
        <f>IF('TEMPLATE-SHEET_scrap'!$W41="#A",
      INDEX('Line No'!$B$1:$B$342, MATCH('TEMPLATE-SHEET_scrap'!$X41, 'Line No'!$A$1:$A$342, 0)),
      "")</f>
        <v>Line Producer</v>
      </c>
    </row>
    <row r="42" spans="1:31" ht="16" customHeight="1">
      <c r="W42" s="166" t="str">
        <f>IF(SUM($X$24:$X$34), "#B", "")</f>
        <v>#B</v>
      </c>
      <c r="X42" s="158">
        <f>IF('TEMPLATE-SHEET_scrap'!$W42="#B", X20,"")</f>
        <v>5</v>
      </c>
      <c r="Y42" s="158" t="str">
        <f>IF('TEMPLATE-SHEET_scrap'!$W42="#B", Vendor,"")</f>
        <v>Vendor</v>
      </c>
      <c r="Z42" s="158" t="str">
        <f>IF('TEMPLATE-SHEET_scrap'!$W42="#B", Sheet_PO,"")</f>
        <v>{{PO_NUMBER}}</v>
      </c>
      <c r="AA42" s="159">
        <f>IF('TEMPLATE-SHEET_scrap'!$W42="#B", X21,"")</f>
        <v>45849</v>
      </c>
      <c r="AB42" s="158" t="str">
        <f>IF('TEMPLATE-SHEET_scrap'!$W42="#B", X22,"")</f>
        <v>CC 2456</v>
      </c>
      <c r="AC42" s="160">
        <f>IF('TEMPLATE-SHEET_scrap'!$W42="#B", X36,"")</f>
        <v>100</v>
      </c>
      <c r="AD42" s="158" t="str">
        <f>IF('TEMPLATE-SHEET_scrap'!$W42="#B",
      INDEX('Line No'!$B$1:$B$342, MATCH('TEMPLATE-SHEET_scrap'!$X42, 'Line No'!$A$1:$A$342, 0)),
      "")</f>
        <v>1st AC</v>
      </c>
    </row>
    <row r="43" spans="1:31" ht="16" customHeight="1">
      <c r="G43" s="73"/>
      <c r="H43" s="73"/>
      <c r="I43" s="73"/>
      <c r="W43" s="167" t="str">
        <f>IF(SUM($Y$24:$Y$34), "#C", "")</f>
        <v>#C</v>
      </c>
      <c r="X43" s="155">
        <f>IF('TEMPLATE-SHEET_scrap'!$W43="#C", Y20,"")</f>
        <v>6</v>
      </c>
      <c r="Y43" s="154" t="str">
        <f>IF('TEMPLATE-SHEET_scrap'!$W43="#C", Vendor,"")</f>
        <v>Vendor</v>
      </c>
      <c r="Z43" s="155" t="str">
        <f>IF('TEMPLATE-SHEET_scrap'!$W43="#C", Sheet_PO,"")</f>
        <v>{{PO_NUMBER}}</v>
      </c>
      <c r="AA43" s="156">
        <f>IF('TEMPLATE-SHEET_scrap'!$W43="#C", Y21,"")</f>
        <v>45849</v>
      </c>
      <c r="AB43" s="155" t="str">
        <f>IF('TEMPLATE-SHEET_scrap'!$W43="#C", Y22,"")</f>
        <v>CC 2456</v>
      </c>
      <c r="AC43" s="157">
        <f>IF('TEMPLATE-SHEET_scrap'!$W43="#C", Y36,"")</f>
        <v>100</v>
      </c>
      <c r="AD43" s="155" t="str">
        <f>IF('TEMPLATE-SHEET_scrap'!$W43="#C",
      INDEX('Line No'!$B$1:$B$342, MATCH('TEMPLATE-SHEET_scrap'!$X43, 'Line No'!$A$1:$A$342, 0)),
      "")</f>
        <v>2nd AC</v>
      </c>
    </row>
    <row r="44" spans="1:31" ht="16" customHeight="1">
      <c r="G44" s="73"/>
      <c r="H44" s="128"/>
      <c r="I44" s="73"/>
      <c r="W44" s="168" t="str">
        <f>IF(SUM($Z$24:$Z$34), "#D", "")</f>
        <v>#D</v>
      </c>
      <c r="X44" s="158">
        <f>IF('TEMPLATE-SHEET_scrap'!$W44="#D", Z20,"")</f>
        <v>112</v>
      </c>
      <c r="Y44" s="158" t="str">
        <f>IF('TEMPLATE-SHEET_scrap'!$W44="#D", Vendor,"")</f>
        <v>Vendor</v>
      </c>
      <c r="Z44" s="158" t="str">
        <f>IF('TEMPLATE-SHEET_scrap'!$W44="#D", Sheet_PO,"")</f>
        <v>{{PO_NUMBER}}</v>
      </c>
      <c r="AA44" s="159">
        <f>IF('TEMPLATE-SHEET_scrap'!$W44="#D", Z21,"")</f>
        <v>45848</v>
      </c>
      <c r="AB44" s="158" t="str">
        <f>IF('TEMPLATE-SHEET_scrap'!$W44="#D", Z22,"")</f>
        <v>CHK 101</v>
      </c>
      <c r="AC44" s="160">
        <f>IF('TEMPLATE-SHEET_scrap'!$W44="#D", Z36,"")</f>
        <v>1000</v>
      </c>
      <c r="AD44" s="158" t="str">
        <f>IF('TEMPLATE-SHEET_scrap'!$W44="#D",
      INDEX('Line No'!$B$1:$B$342, MATCH('TEMPLATE-SHEET_scrap'!$X44, 'Line No'!$A$1:$A$342, 0)),
      "")</f>
        <v>Pre Pro Meals</v>
      </c>
    </row>
    <row r="45" spans="1:31" ht="16" customHeight="1">
      <c r="C45" s="142"/>
      <c r="D45" s="142"/>
      <c r="E45" s="142"/>
      <c r="F45" s="142"/>
      <c r="G45" s="74"/>
      <c r="H45" s="74"/>
      <c r="I45" s="75"/>
      <c r="W45" s="167" t="str">
        <f>IF(SUM($AA$24:$AA$34), "#E", "")</f>
        <v>#E</v>
      </c>
      <c r="X45" s="155">
        <f>IF('TEMPLATE-SHEET_scrap'!$W45="#E", AA20,"")</f>
        <v>204</v>
      </c>
      <c r="Y45" s="154" t="str">
        <f>IF('TEMPLATE-SHEET_scrap'!$W45="#E", Vendor,"")</f>
        <v>Vendor</v>
      </c>
      <c r="Z45" s="155" t="str">
        <f>IF('TEMPLATE-SHEET_scrap'!$W45="#E", Sheet_PO,"")</f>
        <v>{{PO_NUMBER}}</v>
      </c>
      <c r="AA45" s="156">
        <f>IF('TEMPLATE-SHEET_scrap'!$W45="#E", AA21,"")</f>
        <v>45849</v>
      </c>
      <c r="AB45" s="155" t="str">
        <f>IF('TEMPLATE-SHEET_scrap'!$W45="#E", AA22,"")</f>
        <v>CC 2456</v>
      </c>
      <c r="AC45" s="157">
        <f>IF('TEMPLATE-SHEET_scrap'!$W45="#E", AA36,"")</f>
        <v>600</v>
      </c>
      <c r="AD45" s="155" t="str">
        <f>IF('TEMPLATE-SHEET_scrap'!$W45="#E",
      INDEX('Line No'!$B$1:$B$342, MATCH('TEMPLATE-SHEET_scrap'!$X45, 'Line No'!$A$1:$A$342, 0)),
      "")</f>
        <v>Production Supplies</v>
      </c>
    </row>
    <row r="46" spans="1:31" ht="16" customHeight="1">
      <c r="W46" s="168" t="str">
        <f>IF(SUM($AB$24:$AB$34), "#F", "")</f>
        <v>#F</v>
      </c>
      <c r="X46" s="158">
        <f>IF('TEMPLATE-SHEET_scrap'!$W46="#F", AB20,"")</f>
        <v>205</v>
      </c>
      <c r="Y46" s="158" t="str">
        <f>IF('TEMPLATE-SHEET_scrap'!$W46="#F", Vendor,"")</f>
        <v>Vendor</v>
      </c>
      <c r="Z46" s="158" t="str">
        <f>IF('TEMPLATE-SHEET_scrap'!$W46="#F", Sheet_PO,"")</f>
        <v>{{PO_NUMBER}}</v>
      </c>
      <c r="AA46" s="159">
        <f>IF('TEMPLATE-SHEET_scrap'!$W46="#F", AB21,"")</f>
        <v>45849</v>
      </c>
      <c r="AB46" s="158" t="str">
        <f>IF('TEMPLATE-SHEET_scrap'!$W46="#F", AB22,"")</f>
        <v>CC 2456</v>
      </c>
      <c r="AC46" s="160">
        <f>IF('TEMPLATE-SHEET_scrap'!$W46="#F", AB36,"")</f>
        <v>50</v>
      </c>
      <c r="AD46" s="158" t="str">
        <f>IF('TEMPLATE-SHEET_scrap'!$W46="#F",
      INDEX('Line No'!$B$1:$B$342, MATCH('TEMPLATE-SHEET_scrap'!$X46, 'Line No'!$A$1:$A$342, 0)),
      "")</f>
        <v>Location Supplies</v>
      </c>
    </row>
    <row r="47" spans="1:31" ht="16" customHeight="1">
      <c r="W47" s="167" t="str">
        <f>IF(SUM($AC$24:$AC$34), "#G", "")</f>
        <v/>
      </c>
      <c r="X47" s="155" t="str">
        <f>IF('TEMPLATE-SHEET_scrap'!$W47="#G", AC20,"")</f>
        <v/>
      </c>
      <c r="Y47" s="154" t="str">
        <f>IF('TEMPLATE-SHEET_scrap'!$W47="#G", Vendor,"")</f>
        <v/>
      </c>
      <c r="Z47" s="155" t="str">
        <f>IF('TEMPLATE-SHEET_scrap'!$W47="#G", Sheet_PO,"")</f>
        <v/>
      </c>
      <c r="AA47" s="161" t="str">
        <f>IF('TEMPLATE-SHEET_scrap'!$W47="#G", AC21,"")</f>
        <v/>
      </c>
      <c r="AB47" s="162" t="str">
        <f>IF('TEMPLATE-SHEET_scrap'!$W47="#G", AC22,"")</f>
        <v/>
      </c>
      <c r="AC47" s="157" t="str">
        <f>IF('TEMPLATE-SHEET_scrap'!$W47="#G", AC36,"")</f>
        <v/>
      </c>
      <c r="AD47" s="155" t="str">
        <f>IF('TEMPLATE-SHEET_scrap'!$W47="#G",
      INDEX('Line No'!$B$1:$B$342, MATCH('TEMPLATE-SHEET_scrap'!$X47, 'Line No'!$A$1:$A$342, 0)),
      "")</f>
        <v/>
      </c>
    </row>
    <row r="48" spans="1:31" ht="16" customHeight="1">
      <c r="W48" s="168" t="str">
        <f>IF(SUM($AD$24:$AD$34), "#H", "")</f>
        <v/>
      </c>
      <c r="X48" s="158" t="str">
        <f>IF('TEMPLATE-SHEET_scrap'!$W48="#H", AD20,"")</f>
        <v/>
      </c>
      <c r="Y48" s="158" t="str">
        <f>IF('TEMPLATE-SHEET_scrap'!$W48="#H", Vendor,"")</f>
        <v/>
      </c>
      <c r="Z48" s="158" t="str">
        <f>IF('TEMPLATE-SHEET_scrap'!$W48="#H", Sheet_PO,"")</f>
        <v/>
      </c>
      <c r="AA48" s="163" t="str">
        <f>IF('TEMPLATE-SHEET_scrap'!$W48="#H", AE21,"")</f>
        <v/>
      </c>
      <c r="AB48" s="164" t="str">
        <f>IF('TEMPLATE-SHEET_scrap'!$W48="#H", AE22,"")</f>
        <v/>
      </c>
      <c r="AC48" s="160" t="str">
        <f>IF('TEMPLATE-SHEET_scrap'!$W48="#H", AE36,"")</f>
        <v/>
      </c>
      <c r="AD48" s="158" t="str">
        <f>IF('TEMPLATE-SHEET_scrap'!$W48="#H",
      INDEX('Line No'!$B$1:$B$342, MATCH('TEMPLATE-SHEET_scrap'!$X48, 'Line No'!$A$1:$A$342, 0)),
      "")</f>
        <v/>
      </c>
    </row>
    <row r="49" spans="22:30" ht="16" customHeight="1">
      <c r="V49" s="1" cm="1">
        <f t="array" ref="V49">SUMPRODUCT(--(W41:W49&lt;&gt;""))</f>
        <v>6</v>
      </c>
      <c r="W49" s="167" t="str">
        <f>IF(SUM($AE$24:$AE$34), "#OTHER", "")</f>
        <v/>
      </c>
      <c r="X49" s="155" t="str">
        <f>IF('TEMPLATE-SHEET_scrap'!$W49="#I", AE20,"")</f>
        <v/>
      </c>
      <c r="Y49" s="154" t="str">
        <f>IF('TEMPLATE-SHEET_scrap'!$W49="#I", Vendor,"")</f>
        <v/>
      </c>
      <c r="Z49" s="155" t="str">
        <f>IF('TEMPLATE-SHEET_scrap'!$W49="#I", Sheet_PO,"")</f>
        <v/>
      </c>
      <c r="AA49" s="161" t="str">
        <f>IF('TEMPLATE-SHEET_scrap'!$W49="#I", AF21,"")</f>
        <v/>
      </c>
      <c r="AB49" s="162" t="str">
        <f>IF('TEMPLATE-SHEET_scrap'!$W49="#I", AF22,"")</f>
        <v/>
      </c>
      <c r="AC49" s="157" t="str">
        <f>IF('TEMPLATE-SHEET_scrap'!$W49="#I", AF36,"")</f>
        <v/>
      </c>
      <c r="AD49" s="155" t="str">
        <f>IF('TEMPLATE-SHEET_scrap'!$W49="#I",
      INDEX('Line No'!$B$1:$B$342, MATCH('TEMPLATE-SHEET_scrap'!$X49, 'Line No'!$A$1:$A$342, 0)),
      "")</f>
        <v/>
      </c>
    </row>
    <row r="50" spans="22:30" ht="16" customHeight="1">
      <c r="W50" s="174"/>
      <c r="X50" s="174"/>
      <c r="Y50" s="175"/>
      <c r="Z50" s="174"/>
      <c r="AA50" s="174"/>
      <c r="AB50" s="174"/>
      <c r="AC50" s="176"/>
      <c r="AD50" s="174"/>
    </row>
  </sheetData>
  <sheetProtection formatCells="0" formatColumns="0" formatRows="0" insertColumns="0" insertRows="0" deleteRows="0" selectLockedCells="1"/>
  <mergeCells count="42">
    <mergeCell ref="J3:W3"/>
    <mergeCell ref="B4:G4"/>
    <mergeCell ref="C9:D9"/>
    <mergeCell ref="F9:I9"/>
    <mergeCell ref="G1:I1"/>
    <mergeCell ref="B2:C2"/>
    <mergeCell ref="D2:G2"/>
    <mergeCell ref="G3:I3"/>
    <mergeCell ref="C5:D5"/>
    <mergeCell ref="E5:H6"/>
    <mergeCell ref="C6:D6"/>
    <mergeCell ref="B7:C7"/>
    <mergeCell ref="D7:E7"/>
    <mergeCell ref="C10:D10"/>
    <mergeCell ref="F10:I10"/>
    <mergeCell ref="C11:D11"/>
    <mergeCell ref="C12:D12"/>
    <mergeCell ref="C13:D13"/>
    <mergeCell ref="F13:I13"/>
    <mergeCell ref="C14:D14"/>
    <mergeCell ref="F14:I14"/>
    <mergeCell ref="C18:E18"/>
    <mergeCell ref="F18:I18"/>
    <mergeCell ref="C19:E19"/>
    <mergeCell ref="F19:I19"/>
    <mergeCell ref="C32:D32"/>
    <mergeCell ref="AL20:AQ20"/>
    <mergeCell ref="B22:I22"/>
    <mergeCell ref="C23:D23"/>
    <mergeCell ref="C24:D24"/>
    <mergeCell ref="C25:D25"/>
    <mergeCell ref="C26:D26"/>
    <mergeCell ref="C27:D27"/>
    <mergeCell ref="C28:D28"/>
    <mergeCell ref="C29:D29"/>
    <mergeCell ref="C30:D30"/>
    <mergeCell ref="C31:D31"/>
    <mergeCell ref="C33:D33"/>
    <mergeCell ref="C34:D34"/>
    <mergeCell ref="C35:D35"/>
    <mergeCell ref="C38:D38"/>
    <mergeCell ref="W39:AC39"/>
  </mergeCells>
  <conditionalFormatting sqref="AD41:AD49">
    <cfRule type="containsText" dxfId="10" priority="1" operator="containsText" text="zzzz">
      <formula>NOT(ISERROR(SEARCH("zzzz",AD41)))</formula>
    </cfRule>
  </conditionalFormatting>
  <printOptions horizontalCentered="1"/>
  <pageMargins left="0.75" right="0.75" top="0.5" bottom="0.5" header="0.5" footer="0.5"/>
  <pageSetup scale="81" orientation="portrait" r:id="rId1"/>
  <headerFooter alignWithMargins="0"/>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28A20-B08C-3748-A3FD-632EC1BFDF43}">
  <sheetPr codeName="Sheet5"/>
  <dimension ref="A1:K13"/>
  <sheetViews>
    <sheetView workbookViewId="0">
      <selection activeCell="A7" sqref="A7:B9"/>
    </sheetView>
    <sheetView workbookViewId="1"/>
  </sheetViews>
  <sheetFormatPr baseColWidth="10" defaultRowHeight="16"/>
  <sheetData>
    <row r="1" spans="1:11" ht="17" thickBot="1">
      <c r="A1" t="s">
        <v>17</v>
      </c>
      <c r="B1" t="s">
        <v>338</v>
      </c>
    </row>
    <row r="2" spans="1:11">
      <c r="A2" s="150" t="s">
        <v>307</v>
      </c>
      <c r="B2" s="184" cm="1">
        <f t="array" aca="1" ref="B2" ca="1">INDIRECT("'" &amp; A2 &amp; "'!count")</f>
        <v>7</v>
      </c>
    </row>
    <row r="3" spans="1:11">
      <c r="A3" s="151" t="s">
        <v>306</v>
      </c>
      <c r="B3" s="184" cm="1">
        <f t="array" aca="1" ref="B3" ca="1">INDIRECT("'" &amp; A3 &amp; "'!count")</f>
        <v>8</v>
      </c>
    </row>
    <row r="4" spans="1:11">
      <c r="A4" s="152" t="s">
        <v>305</v>
      </c>
      <c r="B4" s="184" cm="1">
        <f t="array" aca="1" ref="B4" ca="1">INDIRECT("'" &amp; A4 &amp; "'!count")</f>
        <v>8</v>
      </c>
    </row>
    <row r="5" spans="1:11">
      <c r="A5" s="152" t="s">
        <v>304</v>
      </c>
      <c r="B5" s="184" cm="1">
        <f t="array" aca="1" ref="B5" ca="1">INDIRECT("'" &amp; A5 &amp; "'!count")</f>
        <v>8</v>
      </c>
    </row>
    <row r="6" spans="1:11">
      <c r="A6" s="152" t="s">
        <v>303</v>
      </c>
      <c r="B6" s="184" cm="1">
        <f t="array" aca="1" ref="B6" ca="1">INDIRECT("'" &amp; A6 &amp; "'!count")</f>
        <v>7</v>
      </c>
    </row>
    <row r="11" spans="1:11">
      <c r="J11" s="152" t="s">
        <v>346</v>
      </c>
      <c r="K11" s="255" cm="1">
        <f t="array" aca="1" ref="K11" ca="1">INDIRECT("'" &amp; J11 &amp; "'!count")</f>
        <v>6</v>
      </c>
    </row>
    <row r="12" spans="1:11">
      <c r="J12" s="152" t="s">
        <v>347</v>
      </c>
      <c r="K12" s="255" cm="1">
        <f t="array" aca="1" ref="K12" ca="1">INDIRECT("'" &amp; J12 &amp; "'!count")</f>
        <v>6</v>
      </c>
    </row>
    <row r="13" spans="1:11">
      <c r="J13" s="256" t="s">
        <v>348</v>
      </c>
      <c r="K13" s="257" cm="1">
        <f t="array" aca="1" ref="K13" ca="1">INDIRECT("'" &amp; J13 &amp; "'!count")</f>
        <v>6</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B95A6-465C-3B4A-AE16-613EB2DE8B3C}">
  <sheetPr codeName="Sheet7">
    <pageSetUpPr fitToPage="1"/>
  </sheetPr>
  <dimension ref="A1:AX50"/>
  <sheetViews>
    <sheetView topLeftCell="B1" zoomScale="75" zoomScaleNormal="100" workbookViewId="0">
      <selection activeCell="AD48" sqref="AD48"/>
    </sheetView>
    <sheetView showFormulas="1" topLeftCell="I14" workbookViewId="1">
      <selection activeCell="W20" sqref="W20"/>
    </sheetView>
  </sheetViews>
  <sheetFormatPr baseColWidth="10" defaultColWidth="8.83203125" defaultRowHeight="14"/>
  <cols>
    <col min="1" max="1" width="0.83203125" style="1" customWidth="1"/>
    <col min="2" max="2" width="10.1640625" style="1" customWidth="1"/>
    <col min="3" max="3" width="14.6640625" style="1" customWidth="1"/>
    <col min="4" max="4" width="10.1640625" style="1" customWidth="1"/>
    <col min="5" max="5" width="13.5" style="1" customWidth="1"/>
    <col min="6" max="6" width="11.6640625" style="1" bestFit="1" customWidth="1"/>
    <col min="7" max="7" width="10.1640625" style="1" customWidth="1"/>
    <col min="8" max="8" width="18.83203125" style="1" customWidth="1"/>
    <col min="9" max="9" width="13.33203125" style="1" customWidth="1"/>
    <col min="10" max="11" width="5.83203125" style="1" customWidth="1"/>
    <col min="12" max="12" width="6.33203125" style="1" customWidth="1"/>
    <col min="13" max="13" width="6.1640625" style="1" customWidth="1"/>
    <col min="14" max="14" width="5.6640625" style="1" customWidth="1"/>
    <col min="15" max="15" width="5.33203125" style="1" customWidth="1"/>
    <col min="16" max="16" width="5.6640625" style="1" customWidth="1"/>
    <col min="17" max="18" width="5" style="1" customWidth="1"/>
    <col min="19" max="21" width="5.83203125" style="1" customWidth="1"/>
    <col min="22" max="22" width="6.1640625" style="1" customWidth="1"/>
    <col min="23" max="23" width="13.6640625" style="1" customWidth="1"/>
    <col min="24" max="24" width="8" style="1" customWidth="1"/>
    <col min="25" max="25" width="10.33203125" style="1" customWidth="1"/>
    <col min="26" max="26" width="11.83203125" style="1" customWidth="1"/>
    <col min="27" max="27" width="11" style="1" customWidth="1"/>
    <col min="28" max="29" width="11.83203125" style="1" customWidth="1"/>
    <col min="30" max="30" width="23.33203125" style="1" customWidth="1"/>
    <col min="31" max="31" width="8.83203125" style="1"/>
    <col min="32" max="32" width="3.33203125" style="1" customWidth="1"/>
    <col min="33" max="33" width="5.1640625" style="1" customWidth="1"/>
    <col min="34" max="37" width="8.83203125" style="1"/>
    <col min="38" max="38" width="8.83203125" style="1" customWidth="1"/>
    <col min="39" max="16384" width="8.83203125" style="1"/>
  </cols>
  <sheetData>
    <row r="1" spans="1:47" ht="45" customHeight="1">
      <c r="A1" s="41"/>
      <c r="B1" s="143" t="s">
        <v>258</v>
      </c>
      <c r="C1" s="143"/>
      <c r="D1" s="143"/>
      <c r="E1" s="143"/>
      <c r="G1" s="234"/>
      <c r="H1" s="234"/>
      <c r="I1" s="235"/>
      <c r="J1" s="185"/>
      <c r="K1" s="185"/>
      <c r="L1" s="185"/>
      <c r="M1" s="185"/>
      <c r="N1" s="185"/>
      <c r="O1" s="185"/>
      <c r="P1" s="185"/>
      <c r="Q1" s="185"/>
      <c r="R1" s="185"/>
      <c r="S1" s="185"/>
      <c r="T1" s="185"/>
      <c r="U1" s="185"/>
      <c r="V1" s="185"/>
      <c r="W1" s="185"/>
      <c r="X1" s="185"/>
      <c r="Y1" s="185"/>
      <c r="Z1" s="185"/>
      <c r="AA1" s="185"/>
      <c r="AB1" s="185"/>
      <c r="AC1" s="185"/>
      <c r="AD1" s="185"/>
      <c r="AE1" s="185"/>
      <c r="AF1" s="185"/>
      <c r="AG1" s="185"/>
      <c r="AH1" s="185"/>
      <c r="AI1" s="186" t="s">
        <v>321</v>
      </c>
      <c r="AJ1" s="185"/>
      <c r="AK1" s="185"/>
      <c r="AL1" s="185"/>
      <c r="AM1" s="185"/>
      <c r="AN1" s="185"/>
      <c r="AO1" s="185"/>
      <c r="AP1" s="185"/>
      <c r="AQ1" s="185"/>
      <c r="AR1" s="185"/>
      <c r="AS1" s="185"/>
      <c r="AT1" s="185"/>
      <c r="AU1" s="185"/>
    </row>
    <row r="2" spans="1:47" ht="12.75" customHeight="1">
      <c r="A2" s="42"/>
      <c r="B2" s="236"/>
      <c r="C2" s="237"/>
      <c r="D2" s="238"/>
      <c r="E2" s="238"/>
      <c r="F2" s="238"/>
      <c r="G2" s="238"/>
      <c r="I2" s="76"/>
      <c r="J2" s="185"/>
      <c r="K2" s="185"/>
      <c r="L2" s="185"/>
      <c r="M2" s="185"/>
      <c r="N2" s="185"/>
      <c r="O2" s="185"/>
      <c r="P2" s="185"/>
      <c r="Q2" s="185"/>
      <c r="R2" s="185"/>
      <c r="S2" s="185"/>
      <c r="T2" s="185"/>
      <c r="U2" s="185"/>
      <c r="V2" s="185"/>
      <c r="W2" s="185"/>
      <c r="X2" s="185"/>
      <c r="Y2" s="185"/>
      <c r="Z2" s="185"/>
      <c r="AA2" s="185"/>
      <c r="AB2" s="185"/>
      <c r="AC2" s="185"/>
      <c r="AD2" s="186" t="s">
        <v>323</v>
      </c>
      <c r="AE2" s="185"/>
      <c r="AF2" s="185"/>
      <c r="AG2" s="185"/>
      <c r="AH2" s="185"/>
      <c r="AI2" s="185" t="s">
        <v>322</v>
      </c>
      <c r="AJ2" s="185"/>
      <c r="AK2" s="185"/>
      <c r="AL2" s="185"/>
      <c r="AM2" s="185"/>
      <c r="AN2" s="185"/>
      <c r="AO2" s="185"/>
      <c r="AP2" s="185"/>
      <c r="AQ2" s="185"/>
      <c r="AR2" s="185"/>
      <c r="AS2" s="185"/>
      <c r="AT2" s="185"/>
      <c r="AU2" s="185"/>
    </row>
    <row r="3" spans="1:47" ht="22">
      <c r="A3" s="42"/>
      <c r="B3" s="77" t="s">
        <v>14</v>
      </c>
      <c r="C3" s="43"/>
      <c r="D3" s="44"/>
      <c r="E3" s="44"/>
      <c r="F3" s="45" t="s">
        <v>13</v>
      </c>
      <c r="G3" s="239" t="s">
        <v>307</v>
      </c>
      <c r="H3" s="239"/>
      <c r="I3" s="240"/>
      <c r="J3" s="232"/>
      <c r="K3" s="233"/>
      <c r="L3" s="233"/>
      <c r="M3" s="233"/>
      <c r="N3" s="233"/>
      <c r="O3" s="233"/>
      <c r="P3" s="233"/>
      <c r="Q3" s="233"/>
      <c r="R3" s="233"/>
      <c r="S3" s="233"/>
      <c r="T3" s="233"/>
      <c r="U3" s="233"/>
      <c r="V3" s="233"/>
      <c r="W3" s="233"/>
      <c r="X3" s="115" t="s">
        <v>308</v>
      </c>
      <c r="Y3" s="117" t="s">
        <v>309</v>
      </c>
      <c r="Z3" s="117" t="s">
        <v>310</v>
      </c>
      <c r="AA3" s="117" t="s">
        <v>311</v>
      </c>
      <c r="AD3" s="115" t="s">
        <v>319</v>
      </c>
      <c r="AM3" s="1" t="s">
        <v>324</v>
      </c>
      <c r="AR3" s="185"/>
      <c r="AS3" s="185"/>
      <c r="AT3" s="185"/>
      <c r="AU3" s="185"/>
    </row>
    <row r="4" spans="1:47" s="3" customFormat="1" ht="29" customHeight="1">
      <c r="A4" s="46"/>
      <c r="B4" s="241"/>
      <c r="C4" s="242"/>
      <c r="D4" s="242"/>
      <c r="E4" s="242"/>
      <c r="F4" s="242"/>
      <c r="G4" s="242"/>
      <c r="H4" s="47"/>
      <c r="I4" s="78"/>
      <c r="J4" s="187"/>
      <c r="K4" s="187"/>
      <c r="L4" s="187"/>
      <c r="M4" s="187"/>
      <c r="N4" s="187"/>
      <c r="O4" s="187"/>
      <c r="P4" s="187"/>
      <c r="Q4" s="187"/>
      <c r="R4" s="187"/>
      <c r="S4" s="187"/>
      <c r="T4" s="187"/>
      <c r="U4" s="187"/>
      <c r="V4" s="187"/>
      <c r="W4" s="187"/>
      <c r="X4" s="4" cm="1">
        <f t="array" ref="X4:X9">IFERROR(
INDEX(
_xlfn._xlws.FILTER(
_xlfn.UNIQUE(
LineEntryOLD2,
),_xlfn.UNIQUE(
LineEntryOLD2,
)&lt;&gt;0
),_xlfn.SEQUENCE(6,1)
),"")</f>
        <v>204</v>
      </c>
      <c r="Y4" s="4" cm="1">
        <f t="array" ref="Y4">SUMPRODUCT(--(TRIM(X4:X12)&lt;&gt;""))</f>
        <v>6</v>
      </c>
      <c r="Z4" s="4" t="str" cm="1">
        <f t="array" ref="Z4:Z6">_xlfn._xlws.SORT(INDEX(AF7:AF16, 1):INDEX(AF7:AF9, AG7), 1, TRUE)</f>
        <v>CASH</v>
      </c>
      <c r="AA4" s="4" t="str" cm="1">
        <f t="array" ref="AA4">IF(Z4="","",IFERROR(INDEX(Description, MATCH(Z4, LINEOld, 0)), "Not Found"))</f>
        <v>Not Found</v>
      </c>
      <c r="AD4" s="120" cm="1">
        <f t="array" ref="AD4:AF9">IFERROR(
    INDEX(
        _xlfn._xlws.FILTER(
            _xlfn.UNIQUE(_xlfn.HSTACK(LineEntryOLD2, DateEntryOld, PayIDEntryOld2)),
            _xlfn.BYROW(_xlfn.UNIQUE(_xlfn.HSTACK(LineEntryOLD2, DateEntryOld, PayIDEntryOld2)), _xlfn.LAMBDA(_xlpm.row, SUM(_xlpm.row)&lt;&gt;0))
        ),
        _xlfn.SEQUENCE(6,1),
        {1,2,3}
    ),
    ""
)</f>
        <v>204</v>
      </c>
      <c r="AE4" s="126">
        <v>45849</v>
      </c>
      <c r="AF4" s="120" t="str">
        <v>CC 2456</v>
      </c>
      <c r="AM4" s="148" t="s">
        <v>335</v>
      </c>
      <c r="AO4" s="3" t="str" cm="1">
        <f t="array" ref="AO4">IFERROR(
    _xlfn.WRAPCOLS(
        INDEX(
            _xlfn._xlws.FILTER(
                _xlfn.UNIQUE(_xlfn.HSTACK(LineEntryOLD2, DateEntryOld, PayIDEntryOld2)),
                _xlfn.BYROW(_xlfn.UNIQUE(_xlfn.HSTACK(LineEntryOLD2, DateEntryOld, PayIDEntryOld2)), _xlfn.LAMBDA(_xlpm.row, SUM(_xlpm.row)&lt;&gt;0))
            ),
            _xlfn.SEQUENCE(6,1),
            {1,2,3}
        ),
        3
    ),
    ""
)</f>
        <v/>
      </c>
      <c r="AQ4" s="3" t="e" cm="1" vm="1">
        <f t="array" aca="1" ref="AQ4" ca="1">IFERROR(
    _xlfn.WRAPCOLS(
        _xlfn.TOCOL(
            INDEX(
                _xlfn._xlws.FILTER(
                    _xlfn.UNIQUE(_xlfn.HSTACK(LineEntryOLD2, DateEntryOld, PayIDEntryOld2)),
                    _xlfn.BYROW(_xlfn.UNIQUE(_xlfn.HSTACK(LineEntryOLD2, DateEntryOld, PayIDEntryOld2)), _xlfn.LAMBDA(_xlpm.row, SUM(_xlpm.row)&lt;&gt;0))
                ),
                _xlfn.SEQUENCE(6,1),
                {1,2,3}
            )
        ),
        3
    ),
    ""
)</f>
        <v>#VALUE!</v>
      </c>
      <c r="AR4" s="187">
        <v>205</v>
      </c>
      <c r="AS4" s="187">
        <v>112</v>
      </c>
      <c r="AT4" s="187">
        <v>1</v>
      </c>
      <c r="AU4" s="187"/>
    </row>
    <row r="5" spans="1:47" s="4" customFormat="1" ht="16" customHeight="1">
      <c r="A5" s="48"/>
      <c r="B5" s="79" t="s">
        <v>259</v>
      </c>
      <c r="C5" s="247"/>
      <c r="D5" s="248"/>
      <c r="E5" s="243"/>
      <c r="F5" s="243"/>
      <c r="G5" s="243"/>
      <c r="H5" s="243"/>
      <c r="I5" s="80"/>
      <c r="J5" s="188"/>
      <c r="K5" s="188"/>
      <c r="L5" s="188"/>
      <c r="M5" s="188"/>
      <c r="N5" s="188"/>
      <c r="O5" s="188"/>
      <c r="P5" s="188"/>
      <c r="Q5" s="188"/>
      <c r="R5" s="188"/>
      <c r="S5" s="188"/>
      <c r="T5" s="188"/>
      <c r="U5" s="188"/>
      <c r="V5" s="188"/>
      <c r="W5" s="188"/>
      <c r="X5" s="4">
        <v>205</v>
      </c>
      <c r="Z5" s="4" t="str">
        <v>CC 2456</v>
      </c>
      <c r="AA5" s="4" t="str" cm="1">
        <f t="array" ref="AA5">IF(Z5="","",IFERROR(INDEX(Description, MATCH(Z5, LINEOld, 0)), "Not Found"))</f>
        <v>Not Found</v>
      </c>
      <c r="AD5" s="121">
        <v>205</v>
      </c>
      <c r="AE5" s="127">
        <v>45849</v>
      </c>
      <c r="AF5" s="121" t="str">
        <v>CC 2456</v>
      </c>
      <c r="AH5" t="e" cm="1">
        <f t="array" ref="AH5">_xlfn._xlws.FILTER(_xlfn.UNIQUE(_xlfn.HSTACK(LineEntryOLD2, DateEntryOld, PayIDEntryOld2)), _xlfn.UNIQUE(_xlfn.HSTACK(LineEntryOLD2, DateEntryOld, PayIDEntryOld2))&lt;&gt;0)</f>
        <v>#VALUE!</v>
      </c>
      <c r="AR5" s="188">
        <v>45849</v>
      </c>
      <c r="AS5" s="188">
        <v>45848</v>
      </c>
      <c r="AT5" s="188">
        <v>45849</v>
      </c>
      <c r="AU5" s="188"/>
    </row>
    <row r="6" spans="1:47" s="4" customFormat="1" ht="16">
      <c r="A6" s="48"/>
      <c r="B6" s="81"/>
      <c r="C6" s="249"/>
      <c r="D6" s="250"/>
      <c r="E6" s="243"/>
      <c r="F6" s="243"/>
      <c r="G6" s="243"/>
      <c r="H6" s="243"/>
      <c r="I6" s="82"/>
      <c r="J6" s="188"/>
      <c r="K6" s="188"/>
      <c r="L6" s="188"/>
      <c r="M6" s="188"/>
      <c r="N6" s="188"/>
      <c r="O6" s="188"/>
      <c r="P6" s="188"/>
      <c r="Q6" s="188"/>
      <c r="R6" s="188"/>
      <c r="S6" s="188"/>
      <c r="T6" s="188"/>
      <c r="U6" s="188"/>
      <c r="V6" s="188"/>
      <c r="W6" s="188"/>
      <c r="X6" s="4" t="str">
        <v>PC</v>
      </c>
      <c r="Z6" s="4" t="str">
        <v>CC 2456</v>
      </c>
      <c r="AA6" s="4" t="str" cm="1">
        <f t="array" ref="AA6">IF(Z6="","",IFERROR(INDEX(Description, MATCH(Z6, LINEOld, 0)), "Not Found"))</f>
        <v>Not Found</v>
      </c>
      <c r="AD6" s="121" t="str">
        <v>PC</v>
      </c>
      <c r="AE6" s="127">
        <v>45848</v>
      </c>
      <c r="AF6" s="121" t="str">
        <v>CHK 101</v>
      </c>
      <c r="AR6" s="188" t="s">
        <v>313</v>
      </c>
      <c r="AS6" s="188" t="s">
        <v>327</v>
      </c>
      <c r="AT6" s="188" t="s">
        <v>5</v>
      </c>
      <c r="AU6" s="188"/>
    </row>
    <row r="7" spans="1:47" s="4" customFormat="1" ht="16">
      <c r="A7" s="48"/>
      <c r="B7" s="244"/>
      <c r="C7" s="245"/>
      <c r="D7" s="246"/>
      <c r="E7" s="246"/>
      <c r="F7" s="51"/>
      <c r="G7" s="51"/>
      <c r="H7" s="51"/>
      <c r="I7" s="84"/>
      <c r="J7" s="188"/>
      <c r="K7" s="188"/>
      <c r="L7" s="188"/>
      <c r="M7" s="188"/>
      <c r="N7" s="188"/>
      <c r="O7" s="188"/>
      <c r="P7" s="188"/>
      <c r="Q7" s="188"/>
      <c r="R7" s="188"/>
      <c r="S7" s="188"/>
      <c r="T7" s="188"/>
      <c r="U7" s="188"/>
      <c r="V7" s="188"/>
      <c r="W7" s="188"/>
      <c r="X7" s="4">
        <v>5</v>
      </c>
      <c r="AA7" s="4" t="str" cm="1">
        <f t="array" ref="AA7">IF(Z7="","",IFERROR(INDEX(Description, MATCH(Z7, LINEOld, 0)), "Not Found"))</f>
        <v/>
      </c>
      <c r="AD7" s="121" t="str">
        <v>PC</v>
      </c>
      <c r="AE7" s="127">
        <v>45849</v>
      </c>
      <c r="AF7" s="121" t="str">
        <v>CASH</v>
      </c>
      <c r="AR7" s="188"/>
      <c r="AS7" s="188"/>
      <c r="AT7" s="188"/>
      <c r="AU7" s="188"/>
    </row>
    <row r="8" spans="1:47" s="4" customFormat="1" ht="16">
      <c r="A8" s="48"/>
      <c r="B8" s="83"/>
      <c r="C8" s="49"/>
      <c r="D8" s="50"/>
      <c r="E8" s="50"/>
      <c r="F8" s="51"/>
      <c r="G8" s="51"/>
      <c r="H8" s="51"/>
      <c r="I8" s="84"/>
      <c r="J8" s="188"/>
      <c r="K8" s="188"/>
      <c r="L8" s="188"/>
      <c r="M8" s="188"/>
      <c r="N8" s="188"/>
      <c r="O8" s="188"/>
      <c r="P8" s="188"/>
      <c r="Q8" s="188"/>
      <c r="R8" s="188"/>
      <c r="S8" s="188"/>
      <c r="T8" s="188"/>
      <c r="U8" s="188"/>
      <c r="V8" s="188"/>
      <c r="W8" s="188"/>
      <c r="X8" s="4">
        <v>6</v>
      </c>
      <c r="AA8" s="4" t="str" cm="1">
        <f t="array" ref="AA8">IF(Z8="","",IFERROR(INDEX(Description, MATCH(Z8, LINEOld, 0)), "Not Found"))</f>
        <v/>
      </c>
      <c r="AD8" s="121">
        <v>5</v>
      </c>
      <c r="AE8" s="127">
        <v>45849</v>
      </c>
      <c r="AF8" s="121" t="str">
        <v>CC 2456</v>
      </c>
      <c r="AR8" s="188"/>
      <c r="AS8" s="188"/>
      <c r="AT8" s="188"/>
      <c r="AU8" s="188"/>
    </row>
    <row r="9" spans="1:47" s="4" customFormat="1" ht="16">
      <c r="A9" s="48"/>
      <c r="B9" s="85" t="s">
        <v>12</v>
      </c>
      <c r="C9" s="251" t="str">
        <f>IFERROR(
    IF(ISNUMBER(MATCH(Sheet_PO,#REF!, 0)),
       IF(INDEX(#REF!, MATCH(Sheet_PO,#REF!, 0)) = "", "",
          INDEX(#REF!, MATCH(Sheet_PO,#REF!, 0))),
       ""),
    "No match found")</f>
        <v/>
      </c>
      <c r="D9" s="251"/>
      <c r="E9" s="52" t="s">
        <v>11</v>
      </c>
      <c r="F9" s="252" t="str">
        <f>IF(TRIM(Job_Number)="", "", Job_Number)</f>
        <v/>
      </c>
      <c r="G9" s="252"/>
      <c r="H9" s="252"/>
      <c r="I9" s="253"/>
      <c r="J9" s="188"/>
      <c r="K9" s="188"/>
      <c r="L9" s="188"/>
      <c r="M9" s="188"/>
      <c r="N9" s="188"/>
      <c r="O9" s="188"/>
      <c r="P9" s="188"/>
      <c r="Q9" s="188"/>
      <c r="R9" s="188"/>
      <c r="S9" s="188"/>
      <c r="T9" s="188"/>
      <c r="U9" s="188"/>
      <c r="V9" s="188"/>
      <c r="W9" s="188"/>
      <c r="X9" s="4">
        <v>112</v>
      </c>
      <c r="AA9" s="4" t="str" cm="1">
        <f t="array" ref="AA9">IF(Z9="","",IFERROR(INDEX(Description, MATCH(Z9, LINEOld, 0)), "Not Found"))</f>
        <v/>
      </c>
      <c r="AD9" s="121">
        <v>6</v>
      </c>
      <c r="AE9" s="127">
        <v>45849</v>
      </c>
      <c r="AF9" s="121" t="str">
        <v>CC 2456</v>
      </c>
      <c r="AH9" s="4" t="b" cm="1">
        <f t="array" ref="AH9:AJ16">_xlfn.UNIQUE(_xlfn.HSTACK(LineEntryOLD2,DateEntryOld,PayIDEntryOld2))&lt;&gt;0</f>
        <v>1</v>
      </c>
      <c r="AI9" s="4" t="b">
        <v>1</v>
      </c>
      <c r="AJ9" s="4" t="b">
        <v>1</v>
      </c>
      <c r="AR9" s="188"/>
      <c r="AS9" s="188"/>
      <c r="AT9" s="188"/>
      <c r="AU9" s="188"/>
    </row>
    <row r="10" spans="1:47" s="4" customFormat="1" ht="14" customHeight="1">
      <c r="A10" s="48"/>
      <c r="B10" s="85" t="s">
        <v>10</v>
      </c>
      <c r="C10" s="223" t="s">
        <v>342</v>
      </c>
      <c r="D10" s="223"/>
      <c r="E10" s="52" t="s">
        <v>9</v>
      </c>
      <c r="F10" s="224" t="str">
        <f>IF(TRIM(Job_Name)="", "", Job_Name)</f>
        <v/>
      </c>
      <c r="G10" s="224"/>
      <c r="H10" s="224"/>
      <c r="I10" s="225"/>
      <c r="J10" s="188"/>
      <c r="K10" s="188"/>
      <c r="L10" s="188"/>
      <c r="M10" s="188"/>
      <c r="N10" s="188"/>
      <c r="O10" s="188"/>
      <c r="P10" s="188"/>
      <c r="Q10" s="188"/>
      <c r="R10" s="188"/>
      <c r="S10" s="188"/>
      <c r="T10" s="188"/>
      <c r="U10" s="188"/>
      <c r="V10" s="188"/>
      <c r="W10" s="187"/>
      <c r="AA10" s="4" t="str" cm="1">
        <f t="array" ref="AA10">IF(Z10="","",IFERROR(INDEX(Description, MATCH(Z10, LINEOld, 0)), "Not Found"))</f>
        <v/>
      </c>
      <c r="AH10" s="4" t="b">
        <v>1</v>
      </c>
      <c r="AI10" s="4" t="b">
        <v>1</v>
      </c>
      <c r="AJ10" s="4" t="b">
        <v>1</v>
      </c>
      <c r="AR10" s="188"/>
      <c r="AS10" s="188"/>
      <c r="AT10" s="188"/>
      <c r="AU10" s="188"/>
    </row>
    <row r="11" spans="1:47" s="4" customFormat="1" ht="17">
      <c r="A11" s="48"/>
      <c r="B11" s="86"/>
      <c r="C11" s="223"/>
      <c r="D11" s="223"/>
      <c r="E11" s="53"/>
      <c r="I11" s="87"/>
      <c r="J11" s="188"/>
      <c r="K11" s="188"/>
      <c r="L11" s="188"/>
      <c r="M11" s="188"/>
      <c r="N11" s="188"/>
      <c r="O11" s="188"/>
      <c r="P11" s="188"/>
      <c r="Q11" s="188"/>
      <c r="R11" s="188"/>
      <c r="S11" s="188"/>
      <c r="T11" s="188"/>
      <c r="U11" s="188"/>
      <c r="V11" s="188"/>
      <c r="W11" s="188"/>
      <c r="AA11" s="4" t="str" cm="1">
        <f t="array" ref="AA11">IF(Z11="","",IFERROR(INDEX(Description, MATCH(Z11, LINEOld, 0)), "Not Found"))</f>
        <v/>
      </c>
      <c r="AD11" s="119" t="e" cm="1" vm="3">
        <f t="array" aca="1" ref="AD11" ca="1">_xlfn.UNIQUE(_xlfn.HSTACK(LineEntryOLD2, DateEntryOld, PayIDEntryOld2))&lt;&gt;0</f>
        <v>#VALUE!</v>
      </c>
      <c r="AH11" s="4" t="b">
        <v>1</v>
      </c>
      <c r="AI11" s="4" t="b">
        <v>1</v>
      </c>
      <c r="AJ11" s="4" t="b">
        <v>1</v>
      </c>
      <c r="AR11" s="188"/>
      <c r="AS11" s="188"/>
      <c r="AT11" s="188"/>
      <c r="AU11" s="188"/>
    </row>
    <row r="12" spans="1:47" s="4" customFormat="1" ht="22" customHeight="1">
      <c r="A12" s="48"/>
      <c r="B12" s="85" t="s">
        <v>8</v>
      </c>
      <c r="C12" s="223"/>
      <c r="D12" s="223"/>
      <c r="E12" s="52" t="s">
        <v>7</v>
      </c>
      <c r="F12" s="7"/>
      <c r="G12" s="7"/>
      <c r="H12" s="7"/>
      <c r="I12" s="88"/>
      <c r="J12" s="188"/>
      <c r="K12" s="188"/>
      <c r="L12" s="188"/>
      <c r="M12" s="188"/>
      <c r="N12" s="188"/>
      <c r="O12" s="188"/>
      <c r="P12" s="188"/>
      <c r="Q12" s="188"/>
      <c r="R12" s="188"/>
      <c r="S12" s="188"/>
      <c r="T12" s="188"/>
      <c r="U12" s="188"/>
      <c r="V12" s="188"/>
      <c r="W12" s="188"/>
      <c r="AA12" s="4" t="str" cm="1">
        <f t="array" ref="AA12">IF(Z12="","",IFERROR(INDEX(Description, MATCH(Z12, LINEOld, 0)), "Not Found"))</f>
        <v/>
      </c>
      <c r="AH12" s="4" t="b">
        <v>1</v>
      </c>
      <c r="AI12" s="4" t="b">
        <v>1</v>
      </c>
      <c r="AJ12" s="4" t="b">
        <v>1</v>
      </c>
      <c r="AR12" s="188"/>
      <c r="AS12" s="188"/>
      <c r="AT12" s="188"/>
      <c r="AU12" s="188"/>
    </row>
    <row r="13" spans="1:47" s="4" customFormat="1" ht="16">
      <c r="A13" s="48"/>
      <c r="B13" s="89"/>
      <c r="C13" s="223"/>
      <c r="D13" s="223"/>
      <c r="F13" s="218"/>
      <c r="G13" s="219"/>
      <c r="H13" s="219"/>
      <c r="I13" s="220"/>
      <c r="J13" s="188"/>
      <c r="K13" s="188"/>
      <c r="L13" s="188"/>
      <c r="M13" s="188"/>
      <c r="N13" s="188"/>
      <c r="O13" s="188"/>
      <c r="P13" s="188"/>
      <c r="Q13" s="188"/>
      <c r="R13" s="188"/>
      <c r="S13" s="188"/>
      <c r="T13" s="188"/>
      <c r="U13" s="188"/>
      <c r="V13" s="188"/>
      <c r="W13" s="188"/>
      <c r="AA13" s="4" t="str" cm="1">
        <f t="array" ref="AA13">IF(Z13="","",IFERROR(INDEX(Description, MATCH(Z13, LINEOld, 0)), "Not Found"))</f>
        <v/>
      </c>
      <c r="AH13" s="4" t="b">
        <v>1</v>
      </c>
      <c r="AI13" s="4" t="b">
        <v>1</v>
      </c>
      <c r="AJ13" s="4" t="b">
        <v>1</v>
      </c>
      <c r="AR13" s="188"/>
      <c r="AS13" s="188"/>
      <c r="AT13" s="188"/>
      <c r="AU13" s="188"/>
    </row>
    <row r="14" spans="1:47" s="4" customFormat="1" ht="16">
      <c r="A14" s="48"/>
      <c r="B14" s="89"/>
      <c r="C14" s="226"/>
      <c r="D14" s="226"/>
      <c r="E14" s="52" t="s">
        <v>265</v>
      </c>
      <c r="F14" s="218"/>
      <c r="G14" s="219"/>
      <c r="H14" s="219"/>
      <c r="I14" s="220"/>
      <c r="J14" s="188"/>
      <c r="K14" s="188"/>
      <c r="L14" s="188"/>
      <c r="M14" s="188"/>
      <c r="N14" s="188"/>
      <c r="O14" s="188"/>
      <c r="P14" s="188"/>
      <c r="Q14" s="188"/>
      <c r="R14" s="188"/>
      <c r="S14" s="188"/>
      <c r="T14" s="188"/>
      <c r="U14" s="188"/>
      <c r="V14" s="188"/>
      <c r="W14" s="188"/>
      <c r="X14" s="188"/>
      <c r="Y14" s="188"/>
      <c r="Z14" s="188"/>
      <c r="AA14" s="188"/>
      <c r="AB14" s="188"/>
      <c r="AC14" s="188"/>
      <c r="AD14" s="188" t="b">
        <v>1</v>
      </c>
      <c r="AE14" s="188" t="b">
        <v>1</v>
      </c>
      <c r="AF14" s="188" t="b">
        <v>1</v>
      </c>
      <c r="AG14" s="188"/>
      <c r="AH14" s="188" t="b">
        <v>1</v>
      </c>
      <c r="AI14" s="188" t="b">
        <v>1</v>
      </c>
      <c r="AJ14" s="188" t="b">
        <v>1</v>
      </c>
      <c r="AK14" s="188"/>
      <c r="AL14" s="188"/>
      <c r="AM14" s="188"/>
      <c r="AN14" s="188"/>
      <c r="AO14" s="188"/>
      <c r="AP14" s="188"/>
      <c r="AQ14" s="188"/>
      <c r="AR14" s="188"/>
      <c r="AS14" s="188"/>
      <c r="AT14" s="188"/>
      <c r="AU14" s="188"/>
    </row>
    <row r="15" spans="1:47" s="4" customFormat="1" ht="16">
      <c r="A15" s="48"/>
      <c r="B15" s="90"/>
      <c r="C15" s="54"/>
      <c r="D15" s="54"/>
      <c r="I15" s="87"/>
      <c r="J15" s="188"/>
      <c r="K15" s="188"/>
      <c r="L15" s="188"/>
      <c r="M15" s="188"/>
      <c r="N15" s="188"/>
      <c r="O15" s="188"/>
      <c r="P15" s="188"/>
      <c r="Q15" s="188"/>
      <c r="R15" s="188"/>
      <c r="S15" s="188"/>
      <c r="T15" s="188"/>
      <c r="U15" s="188"/>
      <c r="V15" s="188"/>
      <c r="W15" s="188"/>
      <c r="X15" s="188"/>
      <c r="Y15" s="188"/>
      <c r="Z15" s="188"/>
      <c r="AA15" s="188"/>
      <c r="AB15" s="188"/>
      <c r="AC15" s="188"/>
      <c r="AD15" s="188" t="b">
        <v>0</v>
      </c>
      <c r="AE15" s="188" t="b">
        <v>0</v>
      </c>
      <c r="AF15" s="188" t="b">
        <v>0</v>
      </c>
      <c r="AG15" s="188"/>
      <c r="AH15" s="188" t="b">
        <v>1</v>
      </c>
      <c r="AI15" s="188" t="b">
        <v>1</v>
      </c>
      <c r="AJ15" s="188" t="b">
        <v>1</v>
      </c>
      <c r="AK15" s="188"/>
      <c r="AL15" s="188"/>
      <c r="AM15" s="188"/>
      <c r="AN15" s="188"/>
      <c r="AO15" s="188"/>
      <c r="AP15" s="188"/>
      <c r="AQ15" s="188"/>
      <c r="AR15" s="188"/>
      <c r="AS15" s="188"/>
      <c r="AT15" s="188"/>
      <c r="AU15" s="188"/>
    </row>
    <row r="16" spans="1:47" s="3" customFormat="1" ht="23" customHeight="1">
      <c r="A16" s="46"/>
      <c r="B16" s="91" t="s">
        <v>6</v>
      </c>
      <c r="C16" s="55"/>
      <c r="D16" s="55"/>
      <c r="E16" s="55"/>
      <c r="F16" s="55"/>
      <c r="G16" s="70"/>
      <c r="H16" s="40"/>
      <c r="I16" s="92"/>
      <c r="J16" s="187"/>
      <c r="K16" s="187"/>
      <c r="L16" s="187"/>
      <c r="M16" s="187"/>
      <c r="N16" s="187"/>
      <c r="O16" s="187"/>
      <c r="P16" s="187"/>
      <c r="Q16" s="187"/>
      <c r="R16" s="187"/>
      <c r="S16" s="187"/>
      <c r="T16" s="187"/>
      <c r="U16" s="187"/>
      <c r="V16" s="187"/>
      <c r="W16" s="187"/>
      <c r="X16" s="187"/>
      <c r="Y16" s="187"/>
      <c r="Z16" s="187"/>
      <c r="AA16" s="187"/>
      <c r="AB16" s="187"/>
      <c r="AC16" s="187"/>
      <c r="AD16" s="187"/>
      <c r="AE16" s="187"/>
      <c r="AF16" s="187"/>
      <c r="AG16" s="187"/>
      <c r="AH16" s="187" t="b">
        <v>0</v>
      </c>
      <c r="AI16" s="187" t="b">
        <v>0</v>
      </c>
      <c r="AJ16" s="187" t="b">
        <v>0</v>
      </c>
      <c r="AK16" s="187"/>
      <c r="AL16" s="187"/>
      <c r="AM16" s="187"/>
      <c r="AN16" s="187"/>
      <c r="AO16" s="187"/>
      <c r="AP16" s="187"/>
      <c r="AQ16" s="187"/>
      <c r="AR16" s="187"/>
      <c r="AS16" s="187"/>
      <c r="AT16" s="187"/>
      <c r="AU16" s="187"/>
    </row>
    <row r="17" spans="1:50" s="3" customFormat="1" ht="23" customHeight="1">
      <c r="A17" s="46"/>
      <c r="B17" s="91"/>
      <c r="C17" s="71"/>
      <c r="D17" s="71"/>
      <c r="E17" s="71"/>
      <c r="F17" s="71"/>
      <c r="G17" s="72"/>
      <c r="H17" s="40"/>
      <c r="I17" s="92"/>
      <c r="J17" s="187"/>
      <c r="K17" s="187"/>
      <c r="L17" s="187"/>
      <c r="M17" s="187"/>
      <c r="N17" s="187"/>
      <c r="O17" s="187"/>
      <c r="P17" s="187"/>
      <c r="Q17" s="187"/>
      <c r="R17" s="187"/>
      <c r="S17" s="187"/>
      <c r="T17" s="187"/>
      <c r="U17" s="187"/>
      <c r="V17" s="187"/>
      <c r="W17" s="187"/>
      <c r="X17" s="187"/>
      <c r="Y17" s="187"/>
      <c r="Z17" s="187"/>
      <c r="AA17" s="187"/>
      <c r="AB17" s="187"/>
      <c r="AC17" s="187"/>
      <c r="AD17" s="187"/>
      <c r="AE17" s="189"/>
      <c r="AF17" s="189"/>
      <c r="AG17" s="189"/>
      <c r="AH17" s="189"/>
      <c r="AI17" s="189"/>
      <c r="AJ17" s="187"/>
      <c r="AK17" s="187"/>
      <c r="AS17" s="187"/>
      <c r="AT17" s="187"/>
      <c r="AU17" s="187"/>
    </row>
    <row r="18" spans="1:50" s="3" customFormat="1" ht="23" customHeight="1">
      <c r="A18" s="46"/>
      <c r="B18" s="91"/>
      <c r="C18" s="221"/>
      <c r="D18" s="221"/>
      <c r="E18" s="221"/>
      <c r="F18" s="221"/>
      <c r="G18" s="221"/>
      <c r="H18" s="221"/>
      <c r="I18" s="222"/>
      <c r="AL18" s="119" t="s">
        <v>320</v>
      </c>
    </row>
    <row r="19" spans="1:50" s="3" customFormat="1" ht="13" customHeight="1" thickBot="1">
      <c r="A19" s="46"/>
      <c r="B19" s="91"/>
      <c r="C19" s="221"/>
      <c r="D19" s="221"/>
      <c r="E19" s="221"/>
      <c r="F19" s="221"/>
      <c r="G19" s="221"/>
      <c r="H19" s="221"/>
      <c r="I19" s="222"/>
      <c r="AE19" s="4"/>
      <c r="AF19" s="4"/>
      <c r="AG19" s="4"/>
      <c r="AH19" s="4"/>
      <c r="AI19" s="4"/>
      <c r="AJ19" s="4"/>
      <c r="AK19" s="4"/>
    </row>
    <row r="20" spans="1:50" s="3" customFormat="1" ht="34" customHeight="1">
      <c r="A20" s="46"/>
      <c r="B20" s="91"/>
      <c r="C20" s="56"/>
      <c r="D20" s="56"/>
      <c r="E20" s="56"/>
      <c r="F20" s="56"/>
      <c r="G20" s="56"/>
      <c r="H20" s="56"/>
      <c r="I20" s="93"/>
      <c r="K20" s="137" t="s">
        <v>328</v>
      </c>
      <c r="L20" s="191" cm="1">
        <f t="array" ref="L20:S22">IFERROR(
    _xlfn.WRAPCOLS(
        _xlfn.TOCOL(
            INDEX(
                _xlfn._xlws.FILTER(
                    _xlfn.UNIQUE(_xlfn.HSTACK(LineEntry, DateEntry, PayIDEntry)),
                    _xlfn.BYROW(_xlfn.UNIQUE(_xlfn.HSTACK(LineEntry, DateEntry, PayIDEntry)), _xlfn.LAMBDA(_xlpm.row, SUM(_xlpm.row)&lt;&gt;0))
                ),
                _xlfn.SEQUENCE(8,1),
                {1,2,3}
            )
        ),
        3
    ),
    ""
)</f>
        <v>204</v>
      </c>
      <c r="M20" s="192">
        <v>205</v>
      </c>
      <c r="N20" s="192" t="str">
        <v>PC</v>
      </c>
      <c r="O20" s="192" t="str">
        <v>PC</v>
      </c>
      <c r="P20" s="192">
        <v>5</v>
      </c>
      <c r="Q20" s="192">
        <v>6</v>
      </c>
      <c r="R20" s="192">
        <v>112</v>
      </c>
      <c r="S20" s="192" t="str">
        <v/>
      </c>
      <c r="T20" s="193"/>
      <c r="U20" s="3" cm="1">
        <f t="array" ref="U20">SUMPRODUCT(--(TRIM(L20:T20)&lt;&gt;""))</f>
        <v>7</v>
      </c>
      <c r="V20" s="137" t="s">
        <v>328</v>
      </c>
      <c r="W20" s="134" cm="1">
        <f t="array" ref="W20:AC22">TRANSPOSE(_xlfn._xlws.SORT(TRANSPOSE(INDEX(L20:T22, _xlfn.SEQUENCE(ROWS(L20:T22)), _xlfn.SEQUENCE(,U20))), 1, TRUE))</f>
        <v>5</v>
      </c>
      <c r="X20" s="134">
        <v>6</v>
      </c>
      <c r="Y20" s="134">
        <v>112</v>
      </c>
      <c r="Z20" s="134">
        <v>204</v>
      </c>
      <c r="AA20" s="134">
        <v>205</v>
      </c>
      <c r="AB20" s="134" t="str">
        <v>PC</v>
      </c>
      <c r="AC20" s="134" t="str">
        <v>PC</v>
      </c>
      <c r="AD20" s="134"/>
      <c r="AE20" s="134"/>
      <c r="AL20" s="208" t="s">
        <v>333</v>
      </c>
      <c r="AM20" s="208"/>
      <c r="AN20" s="208"/>
      <c r="AO20" s="208"/>
      <c r="AP20" s="208"/>
      <c r="AQ20" s="208"/>
      <c r="AR20" s="4" t="s">
        <v>334</v>
      </c>
    </row>
    <row r="21" spans="1:50" s="3" customFormat="1" ht="16" customHeight="1">
      <c r="A21" s="46"/>
      <c r="B21" s="91"/>
      <c r="C21" s="56"/>
      <c r="D21" s="56"/>
      <c r="E21" s="56"/>
      <c r="F21" s="56"/>
      <c r="G21" s="56"/>
      <c r="H21" s="56"/>
      <c r="I21" s="93"/>
      <c r="K21" s="137" t="s">
        <v>329</v>
      </c>
      <c r="L21" s="194">
        <v>45849</v>
      </c>
      <c r="M21" s="195">
        <v>45849</v>
      </c>
      <c r="N21" s="195">
        <v>45848</v>
      </c>
      <c r="O21" s="195">
        <v>45849</v>
      </c>
      <c r="P21" s="195">
        <v>45849</v>
      </c>
      <c r="Q21" s="195">
        <v>45849</v>
      </c>
      <c r="R21" s="195">
        <v>45849</v>
      </c>
      <c r="S21" s="195" t="str">
        <v/>
      </c>
      <c r="T21" s="196"/>
      <c r="V21" s="137" t="s">
        <v>329</v>
      </c>
      <c r="W21" s="135">
        <v>45849</v>
      </c>
      <c r="X21" s="135">
        <v>45849</v>
      </c>
      <c r="Y21" s="135">
        <v>45849</v>
      </c>
      <c r="Z21" s="135">
        <v>45849</v>
      </c>
      <c r="AA21" s="135">
        <v>45849</v>
      </c>
      <c r="AB21" s="135">
        <v>45848</v>
      </c>
      <c r="AC21" s="135">
        <v>45849</v>
      </c>
      <c r="AD21" s="135"/>
      <c r="AE21" s="135"/>
      <c r="AL21" s="144" cm="1">
        <f t="array" ref="AL21:AQ23">IFERROR(
    _xlfn.WRAPCOLS(
        _xlfn.TOCOL(
            INDEX(
                _xlfn._xlws.FILTER(
                    _xlfn.UNIQUE(_xlfn.HSTACK(LineEntryOld3, DateEntryOld3, PayIDEntryOld3)),
                    _xlfn.BYROW(_xlfn.UNIQUE(_xlfn.HSTACK(LineEntryOld3, DateEntryOld3, PayIDEntryOld3)), _xlfn.LAMBDA(_xlpm.row, SUM(_xlpm.row)&lt;&gt;0))
                ),
                _xlfn.SEQUENCE(6,1),
                {1,2,3}
            )
        ),
        3
    ),
    ""
)</f>
        <v>204</v>
      </c>
      <c r="AM21" s="145">
        <v>205</v>
      </c>
      <c r="AN21" s="145" t="str">
        <v>PC</v>
      </c>
      <c r="AO21" s="145" t="str">
        <v>PC</v>
      </c>
      <c r="AP21" s="145">
        <v>5</v>
      </c>
      <c r="AQ21" s="146">
        <v>6</v>
      </c>
      <c r="AR21" s="3" cm="1">
        <f t="array" ref="AR21">SUMPRODUCT(--(TRIM(AL21:AQ21)&lt;&gt;""))</f>
        <v>6</v>
      </c>
      <c r="AS21" s="3" cm="1">
        <f t="array" ref="AS21:AX23">_xlfn._xlws.SORT(AL21:AQ23, 1, TRUE, FALSE)</f>
        <v>204</v>
      </c>
      <c r="AT21" s="3">
        <v>205</v>
      </c>
      <c r="AU21" s="3" t="str">
        <v>PC</v>
      </c>
      <c r="AV21" s="3" t="str">
        <v>PC</v>
      </c>
      <c r="AW21" s="3">
        <v>5</v>
      </c>
      <c r="AX21" s="3">
        <v>6</v>
      </c>
    </row>
    <row r="22" spans="1:50" ht="30" customHeight="1" thickBot="1">
      <c r="A22" s="42"/>
      <c r="B22" s="212"/>
      <c r="C22" s="213"/>
      <c r="D22" s="214"/>
      <c r="E22" s="214"/>
      <c r="F22" s="214"/>
      <c r="G22" s="214"/>
      <c r="H22" s="214"/>
      <c r="I22" s="215"/>
      <c r="K22" s="137" t="s">
        <v>330</v>
      </c>
      <c r="L22" s="197" t="str">
        <v>CC 2456</v>
      </c>
      <c r="M22" s="198" t="str">
        <v>CC 2456</v>
      </c>
      <c r="N22" s="198" t="str">
        <v>CHK 101</v>
      </c>
      <c r="O22" s="198" t="str">
        <v>CASH</v>
      </c>
      <c r="P22" s="198" t="str">
        <v>CC 2456</v>
      </c>
      <c r="Q22" s="198" t="str">
        <v>CC 2456</v>
      </c>
      <c r="R22" s="198" t="str">
        <v>CC 2456</v>
      </c>
      <c r="S22" s="198" t="str">
        <v/>
      </c>
      <c r="T22" s="199"/>
      <c r="V22" s="137" t="s">
        <v>330</v>
      </c>
      <c r="W22" s="200" t="str">
        <v>CC 2456</v>
      </c>
      <c r="X22" s="200" t="str">
        <v>CC 2456</v>
      </c>
      <c r="Y22" s="200" t="str">
        <v>CC 2456</v>
      </c>
      <c r="Z22" s="200" t="str">
        <v>CC 2456</v>
      </c>
      <c r="AA22" s="200" t="str">
        <v>CC 2456</v>
      </c>
      <c r="AB22" s="200" t="str">
        <v>CHK 101</v>
      </c>
      <c r="AC22" s="200" t="str">
        <v>CASH</v>
      </c>
      <c r="AD22" s="200"/>
      <c r="AE22" s="136"/>
      <c r="AL22" s="46">
        <v>45849</v>
      </c>
      <c r="AM22" s="3">
        <v>45849</v>
      </c>
      <c r="AN22" s="3">
        <v>45848</v>
      </c>
      <c r="AO22" s="3">
        <v>45849</v>
      </c>
      <c r="AP22" s="3">
        <v>45849</v>
      </c>
      <c r="AQ22" s="147">
        <v>45849</v>
      </c>
      <c r="AR22" s="3"/>
      <c r="AS22" s="190">
        <v>45849</v>
      </c>
      <c r="AT22" s="190">
        <v>45849</v>
      </c>
      <c r="AU22" s="190">
        <v>45848</v>
      </c>
      <c r="AV22" s="190">
        <v>45849</v>
      </c>
      <c r="AW22" s="190">
        <v>45849</v>
      </c>
      <c r="AX22" s="190">
        <v>45849</v>
      </c>
    </row>
    <row r="23" spans="1:50" s="4" customFormat="1" ht="16" customHeight="1" thickBot="1">
      <c r="A23" s="48"/>
      <c r="B23" s="94" t="s">
        <v>4</v>
      </c>
      <c r="C23" s="216" t="s">
        <v>3</v>
      </c>
      <c r="D23" s="217"/>
      <c r="E23" s="65" t="s">
        <v>12</v>
      </c>
      <c r="F23" s="65" t="s">
        <v>18</v>
      </c>
      <c r="G23" s="65" t="s">
        <v>2</v>
      </c>
      <c r="H23" s="65" t="s">
        <v>1</v>
      </c>
      <c r="I23" s="95" t="s">
        <v>0</v>
      </c>
      <c r="W23" s="118" t="s">
        <v>314</v>
      </c>
      <c r="X23" s="118" t="s">
        <v>325</v>
      </c>
      <c r="Y23" s="118" t="s">
        <v>315</v>
      </c>
      <c r="Z23" s="118" t="s">
        <v>316</v>
      </c>
      <c r="AA23" s="118" t="s">
        <v>317</v>
      </c>
      <c r="AB23" s="118" t="s">
        <v>318</v>
      </c>
      <c r="AC23" s="118" t="s">
        <v>341</v>
      </c>
      <c r="AD23" s="118" t="s">
        <v>340</v>
      </c>
      <c r="AE23" s="118" t="s">
        <v>339</v>
      </c>
      <c r="AL23" s="62" t="str">
        <v>CC 2456</v>
      </c>
      <c r="AM23" s="63" t="str">
        <v>CC 2456</v>
      </c>
      <c r="AN23" s="63" t="str">
        <v>CHK 101</v>
      </c>
      <c r="AO23" s="63" t="str">
        <v>CASH</v>
      </c>
      <c r="AP23" s="63" t="str">
        <v>CC 2456</v>
      </c>
      <c r="AQ23" s="64" t="str">
        <v>CC 2456</v>
      </c>
      <c r="AR23" s="1"/>
      <c r="AS23" s="4" t="str">
        <v>CC 2456</v>
      </c>
      <c r="AT23" s="4" t="str">
        <v>CC 2456</v>
      </c>
      <c r="AU23" s="4" t="str">
        <v>CHK 101</v>
      </c>
      <c r="AV23" s="4" t="str">
        <v>CASH</v>
      </c>
      <c r="AW23" s="4" t="str">
        <v>CC 2456</v>
      </c>
      <c r="AX23" s="4" t="str">
        <v>CC 2456</v>
      </c>
    </row>
    <row r="24" spans="1:50" s="4" customFormat="1" ht="16" customHeight="1">
      <c r="A24" s="48"/>
      <c r="B24" s="122">
        <v>204</v>
      </c>
      <c r="C24" s="209" t="s">
        <v>312</v>
      </c>
      <c r="D24" s="210"/>
      <c r="E24" s="116">
        <v>45849</v>
      </c>
      <c r="F24" s="124" t="s">
        <v>313</v>
      </c>
      <c r="G24" s="6">
        <v>1</v>
      </c>
      <c r="H24" s="5">
        <v>100</v>
      </c>
      <c r="I24" s="96">
        <f>G24*H24</f>
        <v>100</v>
      </c>
      <c r="W24" s="133" t="str">
        <f>IF($B24="", "", IF(AND($I24, $B24=W$20, $E24=W$21, $F24=W$22, SUM($I$24)&gt;0), $I24, ""))</f>
        <v/>
      </c>
      <c r="X24" s="133" t="str">
        <f t="shared" ref="X24:AE24" si="0">IF($B24="", "", IF(AND($I24, $B24=X$20, $E24=X$21, $F24=X$22, SUM($I$24)&gt;0), $I24, ""))</f>
        <v/>
      </c>
      <c r="Y24" s="133" t="str">
        <f t="shared" si="0"/>
        <v/>
      </c>
      <c r="Z24" s="133">
        <f>IF($B24="", "", IF(AND($I24, $B24=Z$20, $E24=Z$21, $F24=Z$22, SUM($I$24)&gt;0), $I24, ""))</f>
        <v>100</v>
      </c>
      <c r="AA24" s="133" t="str">
        <f t="shared" si="0"/>
        <v/>
      </c>
      <c r="AB24" s="133" t="str">
        <f t="shared" si="0"/>
        <v/>
      </c>
      <c r="AC24" s="133" t="str">
        <f t="shared" si="0"/>
        <v/>
      </c>
      <c r="AD24" s="133" t="str">
        <f t="shared" si="0"/>
        <v/>
      </c>
      <c r="AE24" s="133" t="str">
        <f t="shared" si="0"/>
        <v/>
      </c>
    </row>
    <row r="25" spans="1:50" s="4" customFormat="1" ht="16" customHeight="1">
      <c r="A25" s="48"/>
      <c r="B25" s="122">
        <v>205</v>
      </c>
      <c r="C25" s="209"/>
      <c r="D25" s="210"/>
      <c r="E25" s="116">
        <v>45849</v>
      </c>
      <c r="F25" s="124" t="s">
        <v>313</v>
      </c>
      <c r="G25" s="6">
        <v>1</v>
      </c>
      <c r="H25" s="5">
        <v>50</v>
      </c>
      <c r="I25" s="96">
        <f t="shared" ref="I25:I35" si="1">G25*H25</f>
        <v>50</v>
      </c>
      <c r="W25" s="133" t="str">
        <f t="shared" ref="W25:AE35" si="2">IF($B25="", "", IF(AND($I25, $B25=W$20, $E25=W$21, $F25=W$22, SUM($I$24)&gt;0), $I25, ""))</f>
        <v/>
      </c>
      <c r="X25" s="133" t="str">
        <f t="shared" si="2"/>
        <v/>
      </c>
      <c r="Y25" s="133" t="str">
        <f t="shared" si="2"/>
        <v/>
      </c>
      <c r="Z25" s="133" t="str">
        <f t="shared" si="2"/>
        <v/>
      </c>
      <c r="AA25" s="133">
        <f t="shared" si="2"/>
        <v>50</v>
      </c>
      <c r="AB25" s="133" t="str">
        <f t="shared" si="2"/>
        <v/>
      </c>
      <c r="AC25" s="133" t="str">
        <f t="shared" si="2"/>
        <v/>
      </c>
      <c r="AD25" s="133" t="str">
        <f t="shared" si="2"/>
        <v/>
      </c>
      <c r="AE25" s="133" t="str">
        <f t="shared" si="2"/>
        <v/>
      </c>
    </row>
    <row r="26" spans="1:50" s="4" customFormat="1" ht="16" customHeight="1">
      <c r="A26" s="48"/>
      <c r="B26" s="122" t="s">
        <v>344</v>
      </c>
      <c r="C26" s="209" t="s">
        <v>326</v>
      </c>
      <c r="D26" s="210"/>
      <c r="E26" s="116">
        <v>45848</v>
      </c>
      <c r="F26" s="124" t="s">
        <v>327</v>
      </c>
      <c r="G26" s="6">
        <v>1</v>
      </c>
      <c r="H26" s="5">
        <v>1000</v>
      </c>
      <c r="I26" s="96">
        <f t="shared" si="1"/>
        <v>1000</v>
      </c>
      <c r="W26" s="133" t="str">
        <f t="shared" si="2"/>
        <v/>
      </c>
      <c r="X26" s="133" t="str">
        <f t="shared" si="2"/>
        <v/>
      </c>
      <c r="Y26" s="133" t="str">
        <f t="shared" si="2"/>
        <v/>
      </c>
      <c r="Z26" s="133" t="str">
        <f t="shared" si="2"/>
        <v/>
      </c>
      <c r="AA26" s="133" t="str">
        <f t="shared" si="2"/>
        <v/>
      </c>
      <c r="AB26" s="133">
        <f t="shared" si="2"/>
        <v>1000</v>
      </c>
      <c r="AC26" s="133" t="str">
        <f t="shared" si="2"/>
        <v/>
      </c>
      <c r="AD26" s="133" t="str">
        <f t="shared" si="2"/>
        <v/>
      </c>
      <c r="AE26" s="133" t="str">
        <f t="shared" si="2"/>
        <v/>
      </c>
    </row>
    <row r="27" spans="1:50" s="4" customFormat="1" ht="16">
      <c r="A27" s="48"/>
      <c r="B27" s="122">
        <v>204</v>
      </c>
      <c r="C27" s="209" t="s">
        <v>312</v>
      </c>
      <c r="D27" s="210"/>
      <c r="E27" s="116">
        <v>45849</v>
      </c>
      <c r="F27" s="124" t="s">
        <v>313</v>
      </c>
      <c r="G27" s="6">
        <v>1</v>
      </c>
      <c r="H27" s="5">
        <v>100</v>
      </c>
      <c r="I27" s="96">
        <f t="shared" si="1"/>
        <v>100</v>
      </c>
      <c r="W27" s="133" t="str">
        <f t="shared" si="2"/>
        <v/>
      </c>
      <c r="X27" s="133" t="str">
        <f t="shared" si="2"/>
        <v/>
      </c>
      <c r="Y27" s="133" t="str">
        <f t="shared" si="2"/>
        <v/>
      </c>
      <c r="Z27" s="133">
        <f t="shared" si="2"/>
        <v>100</v>
      </c>
      <c r="AA27" s="133" t="str">
        <f t="shared" si="2"/>
        <v/>
      </c>
      <c r="AB27" s="133" t="str">
        <f t="shared" si="2"/>
        <v/>
      </c>
      <c r="AC27" s="133" t="str">
        <f t="shared" si="2"/>
        <v/>
      </c>
      <c r="AD27" s="133" t="str">
        <f t="shared" si="2"/>
        <v/>
      </c>
      <c r="AE27" s="133" t="str">
        <f t="shared" si="2"/>
        <v/>
      </c>
    </row>
    <row r="28" spans="1:50" s="4" customFormat="1" ht="16" customHeight="1">
      <c r="A28" s="48"/>
      <c r="B28" s="122" t="s">
        <v>344</v>
      </c>
      <c r="C28" s="209" t="s">
        <v>336</v>
      </c>
      <c r="D28" s="210"/>
      <c r="E28" s="116">
        <v>45849</v>
      </c>
      <c r="F28" s="124" t="s">
        <v>5</v>
      </c>
      <c r="G28" s="6">
        <v>1</v>
      </c>
      <c r="H28" s="5">
        <v>1000</v>
      </c>
      <c r="I28" s="96">
        <f t="shared" si="1"/>
        <v>1000</v>
      </c>
      <c r="W28" s="133" t="str">
        <f t="shared" si="2"/>
        <v/>
      </c>
      <c r="X28" s="133" t="str">
        <f t="shared" si="2"/>
        <v/>
      </c>
      <c r="Y28" s="133" t="str">
        <f t="shared" si="2"/>
        <v/>
      </c>
      <c r="Z28" s="133" t="str">
        <f t="shared" si="2"/>
        <v/>
      </c>
      <c r="AA28" s="133" t="str">
        <f t="shared" si="2"/>
        <v/>
      </c>
      <c r="AB28" s="133" t="str">
        <f t="shared" si="2"/>
        <v/>
      </c>
      <c r="AC28" s="133">
        <f t="shared" si="2"/>
        <v>1000</v>
      </c>
      <c r="AD28" s="133" t="str">
        <f t="shared" si="2"/>
        <v/>
      </c>
      <c r="AE28" s="133" t="str">
        <f t="shared" si="2"/>
        <v/>
      </c>
    </row>
    <row r="29" spans="1:50" s="4" customFormat="1" ht="16" customHeight="1">
      <c r="A29" s="48"/>
      <c r="B29" s="122">
        <v>5</v>
      </c>
      <c r="C29" s="209" t="s">
        <v>312</v>
      </c>
      <c r="D29" s="210"/>
      <c r="E29" s="116">
        <v>45849</v>
      </c>
      <c r="F29" s="124" t="s">
        <v>313</v>
      </c>
      <c r="G29" s="6">
        <v>1</v>
      </c>
      <c r="H29" s="5">
        <v>100</v>
      </c>
      <c r="I29" s="96">
        <f t="shared" si="1"/>
        <v>100</v>
      </c>
      <c r="W29" s="133">
        <f t="shared" si="2"/>
        <v>100</v>
      </c>
      <c r="X29" s="133" t="str">
        <f t="shared" si="2"/>
        <v/>
      </c>
      <c r="Y29" s="133" t="str">
        <f t="shared" si="2"/>
        <v/>
      </c>
      <c r="Z29" s="133" t="str">
        <f t="shared" si="2"/>
        <v/>
      </c>
      <c r="AA29" s="133" t="str">
        <f t="shared" si="2"/>
        <v/>
      </c>
      <c r="AB29" s="133" t="str">
        <f t="shared" si="2"/>
        <v/>
      </c>
      <c r="AC29" s="133" t="str">
        <f t="shared" si="2"/>
        <v/>
      </c>
      <c r="AD29" s="133" t="str">
        <f t="shared" si="2"/>
        <v/>
      </c>
      <c r="AE29" s="133" t="str">
        <f t="shared" si="2"/>
        <v/>
      </c>
    </row>
    <row r="30" spans="1:50" s="4" customFormat="1" ht="16" customHeight="1">
      <c r="A30" s="48"/>
      <c r="B30" s="122">
        <v>6</v>
      </c>
      <c r="C30" s="209" t="s">
        <v>312</v>
      </c>
      <c r="D30" s="210"/>
      <c r="E30" s="116">
        <v>45849</v>
      </c>
      <c r="F30" s="124" t="s">
        <v>313</v>
      </c>
      <c r="G30" s="6">
        <v>1</v>
      </c>
      <c r="H30" s="5">
        <v>100</v>
      </c>
      <c r="I30" s="96">
        <f t="shared" si="1"/>
        <v>100</v>
      </c>
      <c r="W30" s="133" t="str">
        <f t="shared" si="2"/>
        <v/>
      </c>
      <c r="X30" s="133">
        <f t="shared" si="2"/>
        <v>100</v>
      </c>
      <c r="Y30" s="133" t="str">
        <f t="shared" si="2"/>
        <v/>
      </c>
      <c r="Z30" s="133" t="str">
        <f t="shared" si="2"/>
        <v/>
      </c>
      <c r="AA30" s="133" t="str">
        <f t="shared" si="2"/>
        <v/>
      </c>
      <c r="AB30" s="133" t="str">
        <f t="shared" si="2"/>
        <v/>
      </c>
      <c r="AC30" s="133" t="str">
        <f t="shared" si="2"/>
        <v/>
      </c>
      <c r="AD30" s="133" t="str">
        <f t="shared" si="2"/>
        <v/>
      </c>
      <c r="AE30" s="133" t="str">
        <f t="shared" si="2"/>
        <v/>
      </c>
    </row>
    <row r="31" spans="1:50" s="4" customFormat="1" ht="16" customHeight="1">
      <c r="A31" s="48"/>
      <c r="B31" s="122">
        <v>204</v>
      </c>
      <c r="C31" s="209" t="s">
        <v>312</v>
      </c>
      <c r="D31" s="210"/>
      <c r="E31" s="116">
        <v>45849</v>
      </c>
      <c r="F31" s="124" t="s">
        <v>313</v>
      </c>
      <c r="G31" s="6">
        <v>1</v>
      </c>
      <c r="H31" s="5">
        <v>100</v>
      </c>
      <c r="I31" s="96">
        <f t="shared" si="1"/>
        <v>100</v>
      </c>
      <c r="W31" s="133" t="str">
        <f t="shared" si="2"/>
        <v/>
      </c>
      <c r="X31" s="133" t="str">
        <f t="shared" si="2"/>
        <v/>
      </c>
      <c r="Y31" s="133" t="str">
        <f t="shared" si="2"/>
        <v/>
      </c>
      <c r="Z31" s="133">
        <f t="shared" si="2"/>
        <v>100</v>
      </c>
      <c r="AA31" s="133" t="str">
        <f t="shared" si="2"/>
        <v/>
      </c>
      <c r="AB31" s="133" t="str">
        <f t="shared" si="2"/>
        <v/>
      </c>
      <c r="AC31" s="133" t="str">
        <f t="shared" si="2"/>
        <v/>
      </c>
      <c r="AD31" s="133" t="str">
        <f t="shared" si="2"/>
        <v/>
      </c>
      <c r="AE31" s="133" t="str">
        <f t="shared" si="2"/>
        <v/>
      </c>
    </row>
    <row r="32" spans="1:50" s="4" customFormat="1" ht="16" customHeight="1">
      <c r="A32" s="48"/>
      <c r="B32" s="122">
        <v>112</v>
      </c>
      <c r="C32" s="209" t="s">
        <v>312</v>
      </c>
      <c r="D32" s="210"/>
      <c r="E32" s="116">
        <v>45849</v>
      </c>
      <c r="F32" s="124" t="s">
        <v>313</v>
      </c>
      <c r="G32" s="6">
        <v>1</v>
      </c>
      <c r="H32" s="5">
        <v>100</v>
      </c>
      <c r="I32" s="96">
        <f t="shared" si="1"/>
        <v>100</v>
      </c>
      <c r="W32" s="133" t="str">
        <f t="shared" si="2"/>
        <v/>
      </c>
      <c r="X32" s="133" t="str">
        <f t="shared" si="2"/>
        <v/>
      </c>
      <c r="Y32" s="133">
        <f t="shared" si="2"/>
        <v>100</v>
      </c>
      <c r="Z32" s="133" t="str">
        <f t="shared" si="2"/>
        <v/>
      </c>
      <c r="AA32" s="133" t="str">
        <f t="shared" si="2"/>
        <v/>
      </c>
      <c r="AB32" s="133" t="str">
        <f t="shared" si="2"/>
        <v/>
      </c>
      <c r="AC32" s="133" t="str">
        <f t="shared" si="2"/>
        <v/>
      </c>
      <c r="AD32" s="133" t="str">
        <f t="shared" si="2"/>
        <v/>
      </c>
      <c r="AE32" s="133" t="str">
        <f t="shared" si="2"/>
        <v/>
      </c>
    </row>
    <row r="33" spans="1:31" s="4" customFormat="1" ht="16" customHeight="1">
      <c r="A33" s="48"/>
      <c r="B33" s="122">
        <v>204</v>
      </c>
      <c r="C33" s="209" t="s">
        <v>312</v>
      </c>
      <c r="D33" s="210"/>
      <c r="E33" s="116">
        <v>45849</v>
      </c>
      <c r="F33" s="124" t="s">
        <v>313</v>
      </c>
      <c r="G33" s="6">
        <v>1</v>
      </c>
      <c r="H33" s="5">
        <v>100</v>
      </c>
      <c r="I33" s="96">
        <f t="shared" si="1"/>
        <v>100</v>
      </c>
      <c r="W33" s="133" t="str">
        <f t="shared" si="2"/>
        <v/>
      </c>
      <c r="X33" s="133" t="str">
        <f t="shared" si="2"/>
        <v/>
      </c>
      <c r="Y33" s="133" t="str">
        <f t="shared" si="2"/>
        <v/>
      </c>
      <c r="Z33" s="133">
        <f t="shared" si="2"/>
        <v>100</v>
      </c>
      <c r="AA33" s="133" t="str">
        <f t="shared" si="2"/>
        <v/>
      </c>
      <c r="AB33" s="133" t="str">
        <f t="shared" si="2"/>
        <v/>
      </c>
      <c r="AC33" s="133" t="str">
        <f t="shared" si="2"/>
        <v/>
      </c>
      <c r="AD33" s="133" t="str">
        <f t="shared" si="2"/>
        <v/>
      </c>
      <c r="AE33" s="133" t="str">
        <f t="shared" si="2"/>
        <v/>
      </c>
    </row>
    <row r="34" spans="1:31" s="4" customFormat="1" ht="16" customHeight="1">
      <c r="A34" s="48"/>
      <c r="B34" s="122">
        <v>204</v>
      </c>
      <c r="C34" s="209" t="s">
        <v>312</v>
      </c>
      <c r="D34" s="210"/>
      <c r="E34" s="116">
        <v>45849</v>
      </c>
      <c r="F34" s="124" t="s">
        <v>313</v>
      </c>
      <c r="G34" s="6">
        <v>1</v>
      </c>
      <c r="H34" s="5">
        <v>100</v>
      </c>
      <c r="I34" s="96">
        <f t="shared" si="1"/>
        <v>100</v>
      </c>
      <c r="W34" s="133" t="str">
        <f t="shared" si="2"/>
        <v/>
      </c>
      <c r="X34" s="133" t="str">
        <f t="shared" si="2"/>
        <v/>
      </c>
      <c r="Y34" s="133" t="str">
        <f t="shared" si="2"/>
        <v/>
      </c>
      <c r="Z34" s="133">
        <f t="shared" si="2"/>
        <v>100</v>
      </c>
      <c r="AA34" s="133" t="str">
        <f t="shared" si="2"/>
        <v/>
      </c>
      <c r="AB34" s="133" t="str">
        <f t="shared" si="2"/>
        <v/>
      </c>
      <c r="AC34" s="133" t="str">
        <f t="shared" si="2"/>
        <v/>
      </c>
      <c r="AD34" s="133" t="str">
        <f t="shared" si="2"/>
        <v/>
      </c>
      <c r="AE34" s="133" t="str">
        <f t="shared" si="2"/>
        <v/>
      </c>
    </row>
    <row r="35" spans="1:31" s="4" customFormat="1" ht="16" customHeight="1" thickBot="1">
      <c r="A35" s="48"/>
      <c r="B35" s="123"/>
      <c r="C35" s="227"/>
      <c r="D35" s="228"/>
      <c r="E35" s="66"/>
      <c r="F35" s="125"/>
      <c r="G35" s="66"/>
      <c r="H35" s="67"/>
      <c r="I35" s="97">
        <f t="shared" si="1"/>
        <v>0</v>
      </c>
      <c r="W35" s="4" t="str">
        <f t="shared" si="2"/>
        <v/>
      </c>
      <c r="X35" s="4" t="str">
        <f t="shared" si="2"/>
        <v/>
      </c>
      <c r="Y35" s="4" t="str">
        <f t="shared" si="2"/>
        <v/>
      </c>
      <c r="Z35" s="4" t="str">
        <f t="shared" si="2"/>
        <v/>
      </c>
      <c r="AA35" s="4" t="str">
        <f t="shared" si="2"/>
        <v/>
      </c>
      <c r="AB35" s="4" t="str">
        <f t="shared" si="2"/>
        <v/>
      </c>
      <c r="AC35" s="4" t="str">
        <f t="shared" si="2"/>
        <v/>
      </c>
      <c r="AD35" s="4" t="str">
        <f t="shared" si="2"/>
        <v/>
      </c>
      <c r="AE35" s="4" t="str">
        <f t="shared" si="2"/>
        <v/>
      </c>
    </row>
    <row r="36" spans="1:31" s="4" customFormat="1" ht="16" customHeight="1" thickBot="1">
      <c r="A36" s="48"/>
      <c r="B36" s="98"/>
      <c r="C36" s="68"/>
      <c r="D36" s="68"/>
      <c r="E36" s="68"/>
      <c r="F36" s="68"/>
      <c r="G36" s="69"/>
      <c r="H36" s="69"/>
      <c r="I36" s="99"/>
      <c r="W36" s="138">
        <f>IF(SUM(W24:W35), SUM(W24:W35),"")</f>
        <v>100</v>
      </c>
      <c r="X36" s="139">
        <f t="shared" ref="X36:AE36" si="3">IF(SUM(X24:X35), SUM(X24:X35),"")</f>
        <v>100</v>
      </c>
      <c r="Y36" s="140">
        <f t="shared" si="3"/>
        <v>100</v>
      </c>
      <c r="Z36" s="140">
        <f>IF(SUM(Z24:Z35), SUM(Z24:Z35),"")</f>
        <v>500</v>
      </c>
      <c r="AA36" s="140">
        <f t="shared" si="3"/>
        <v>50</v>
      </c>
      <c r="AB36" s="141">
        <f t="shared" si="3"/>
        <v>1000</v>
      </c>
      <c r="AC36" s="141">
        <f t="shared" si="3"/>
        <v>1000</v>
      </c>
      <c r="AD36" s="141" t="str">
        <f t="shared" si="3"/>
        <v/>
      </c>
      <c r="AE36" s="141" t="str">
        <f t="shared" si="3"/>
        <v/>
      </c>
    </row>
    <row r="37" spans="1:31" s="4" customFormat="1" ht="16" customHeight="1" thickBot="1">
      <c r="A37" s="48"/>
      <c r="B37" s="100" t="s">
        <v>263</v>
      </c>
      <c r="C37" s="2"/>
      <c r="D37" s="2"/>
      <c r="E37" s="58"/>
      <c r="F37" s="59"/>
      <c r="G37" s="107" t="s">
        <v>261</v>
      </c>
      <c r="H37" s="108"/>
      <c r="I37" s="109">
        <f>SUM(I23:I35)</f>
        <v>2850</v>
      </c>
      <c r="W37" s="129" t="s">
        <v>314</v>
      </c>
      <c r="X37" s="130" t="s">
        <v>325</v>
      </c>
      <c r="Y37" s="131" t="s">
        <v>315</v>
      </c>
      <c r="Z37" s="131" t="s">
        <v>316</v>
      </c>
      <c r="AA37" s="131" t="s">
        <v>317</v>
      </c>
      <c r="AB37" s="132" t="s">
        <v>318</v>
      </c>
      <c r="AC37" s="118" t="s">
        <v>341</v>
      </c>
      <c r="AD37" s="118" t="s">
        <v>340</v>
      </c>
      <c r="AE37" s="118" t="s">
        <v>339</v>
      </c>
    </row>
    <row r="38" spans="1:31" s="4" customFormat="1" ht="16" customHeight="1" thickBot="1">
      <c r="A38" s="48"/>
      <c r="B38" s="100"/>
      <c r="C38" s="211"/>
      <c r="D38" s="211"/>
      <c r="E38" s="61"/>
      <c r="F38" s="60"/>
      <c r="G38" s="110"/>
      <c r="H38" s="57"/>
      <c r="I38" s="101"/>
    </row>
    <row r="39" spans="1:31" s="4" customFormat="1" ht="16" customHeight="1">
      <c r="A39" s="48"/>
      <c r="B39" s="100"/>
      <c r="C39" s="1"/>
      <c r="D39" s="1"/>
      <c r="E39" s="60"/>
      <c r="F39" s="60"/>
      <c r="G39" s="110" t="s">
        <v>260</v>
      </c>
      <c r="H39" s="60" t="s">
        <v>262</v>
      </c>
      <c r="I39" s="102"/>
      <c r="W39" s="229" t="s">
        <v>331</v>
      </c>
      <c r="X39" s="230"/>
      <c r="Y39" s="230"/>
      <c r="Z39" s="230"/>
      <c r="AA39" s="230"/>
      <c r="AB39" s="230"/>
      <c r="AC39" s="231"/>
    </row>
    <row r="40" spans="1:31" ht="16" customHeight="1" thickBot="1">
      <c r="A40" s="42"/>
      <c r="B40" s="100" t="s">
        <v>264</v>
      </c>
      <c r="C40" s="2"/>
      <c r="D40" s="2"/>
      <c r="E40" s="59"/>
      <c r="F40" s="59"/>
      <c r="G40" s="110" t="s">
        <v>21</v>
      </c>
      <c r="H40" s="60"/>
      <c r="I40" s="103">
        <f>SUM(I37:I39)</f>
        <v>2850</v>
      </c>
      <c r="W40" s="169" t="s">
        <v>337</v>
      </c>
      <c r="X40" s="149" t="s">
        <v>4</v>
      </c>
      <c r="Y40" s="170" t="s">
        <v>16</v>
      </c>
      <c r="Z40" s="170" t="s">
        <v>17</v>
      </c>
      <c r="AA40" s="171" t="s">
        <v>12</v>
      </c>
      <c r="AB40" s="170" t="s">
        <v>18</v>
      </c>
      <c r="AC40" s="172" t="s">
        <v>242</v>
      </c>
      <c r="AD40" s="173" t="s">
        <v>19</v>
      </c>
    </row>
    <row r="41" spans="1:31" ht="16" customHeight="1" thickBot="1">
      <c r="B41" s="104"/>
      <c r="C41" s="105"/>
      <c r="D41" s="105"/>
      <c r="E41" s="105"/>
      <c r="F41" s="105"/>
      <c r="G41" s="104"/>
      <c r="H41" s="105"/>
      <c r="I41" s="106"/>
      <c r="W41" s="165" t="str">
        <f>IF(SUM($W$24:$W$35), "#A","")</f>
        <v>#A</v>
      </c>
      <c r="X41" s="153">
        <f>IF('2499-001'!$W41="#A", W20,"")</f>
        <v>5</v>
      </c>
      <c r="Y41" s="154" t="str">
        <f>IF('2499-001'!$W41="#A", Vendor,"")</f>
        <v>Gandolf</v>
      </c>
      <c r="Z41" s="155" t="str">
        <f>IF('2499-001'!$W41="#A", Sheet_PO,"")</f>
        <v>2499-001</v>
      </c>
      <c r="AA41" s="156">
        <f>IF('2499-001'!$W41="#A", W$21,"")</f>
        <v>45849</v>
      </c>
      <c r="AB41" s="155" t="str">
        <f>IF('2499-001'!$W41="#A", W$22,"")</f>
        <v>CC 2456</v>
      </c>
      <c r="AC41" s="157">
        <f>IF('2499-001'!$W41="#A", W$36,"")</f>
        <v>100</v>
      </c>
      <c r="AD41" s="155" t="str">
        <f>IF('2499-001'!$W41="#A",
      INDEX('Line No'!$B$1:$B$342, MATCH('2499-001'!$X41, 'Line No'!$A$1:$A$342, 0)),
      "")</f>
        <v>1st AC</v>
      </c>
    </row>
    <row r="42" spans="1:31" ht="16" customHeight="1">
      <c r="W42" s="166" t="str">
        <f>IF(SUM($X$24:$X$34), "#B", "")</f>
        <v>#B</v>
      </c>
      <c r="X42" s="158">
        <f>IF('2499-001'!$W42="#B", X20,"")</f>
        <v>6</v>
      </c>
      <c r="Y42" s="158" t="str">
        <f>IF('2499-001'!$W42="#B", Vendor,"")</f>
        <v>Gandolf</v>
      </c>
      <c r="Z42" s="158" t="str">
        <f>IF('2499-001'!$W42="#B", Sheet_PO,"")</f>
        <v>2499-001</v>
      </c>
      <c r="AA42" s="159">
        <f>IF('2499-001'!$W42="#B", X21,"")</f>
        <v>45849</v>
      </c>
      <c r="AB42" s="158" t="str">
        <f>IF('2499-001'!$W42="#B", X22,"")</f>
        <v>CC 2456</v>
      </c>
      <c r="AC42" s="160">
        <f>IF('2499-001'!$W42="#B", X36,"")</f>
        <v>100</v>
      </c>
      <c r="AD42" s="158" t="str">
        <f>IF('2499-001'!$W42="#B",
      INDEX('Line No'!$B$1:$B$342, MATCH('2499-001'!$X42, 'Line No'!$A$1:$A$342, 0)),
      "")</f>
        <v>2nd AC</v>
      </c>
    </row>
    <row r="43" spans="1:31" ht="16" customHeight="1">
      <c r="G43" s="73"/>
      <c r="H43" s="73"/>
      <c r="I43" s="73"/>
      <c r="W43" s="167" t="str">
        <f>IF(SUM($Y$24:$Y$34), "#C", "")</f>
        <v>#C</v>
      </c>
      <c r="X43" s="155">
        <f>IF('2499-001'!$W43="#C", Y20,"")</f>
        <v>112</v>
      </c>
      <c r="Y43" s="154" t="str">
        <f>IF('2499-001'!$W43="#C", Vendor,"")</f>
        <v>Gandolf</v>
      </c>
      <c r="Z43" s="155" t="str">
        <f>IF('2499-001'!$W43="#C", Sheet_PO,"")</f>
        <v>2499-001</v>
      </c>
      <c r="AA43" s="156">
        <f>IF('2499-001'!$W43="#C", Y21,"")</f>
        <v>45849</v>
      </c>
      <c r="AB43" s="155" t="str">
        <f>IF('2499-001'!$W43="#C", Y22,"")</f>
        <v>CC 2456</v>
      </c>
      <c r="AC43" s="157">
        <f>IF('2499-001'!$W43="#C", Y36,"")</f>
        <v>100</v>
      </c>
      <c r="AD43" s="155" t="str">
        <f>IF('2499-001'!$W43="#C",
      INDEX('Line No'!$B$1:$B$342, MATCH('2499-001'!$X43, 'Line No'!$A$1:$A$342, 0)),
      "")</f>
        <v>Pre Pro Meals</v>
      </c>
    </row>
    <row r="44" spans="1:31" ht="16" customHeight="1">
      <c r="G44" s="73"/>
      <c r="H44" s="128"/>
      <c r="I44" s="73"/>
      <c r="W44" s="168" t="str">
        <f>IF(SUM($Z$24:$Z$34), "#D", "")</f>
        <v>#D</v>
      </c>
      <c r="X44" s="158">
        <f>IF('2499-001'!$W44="#D", Z20,"")</f>
        <v>204</v>
      </c>
      <c r="Y44" s="158" t="str">
        <f>IF('2499-001'!$W44="#D", Vendor,"")</f>
        <v>Gandolf</v>
      </c>
      <c r="Z44" s="158" t="str">
        <f>IF('2499-001'!$W44="#D", Sheet_PO,"")</f>
        <v>2499-001</v>
      </c>
      <c r="AA44" s="159">
        <f>IF('2499-001'!$W44="#D", Z21,"")</f>
        <v>45849</v>
      </c>
      <c r="AB44" s="158" t="str">
        <f>IF('2499-001'!$W44="#D", Z22,"")</f>
        <v>CC 2456</v>
      </c>
      <c r="AC44" s="160">
        <f>IF('2499-001'!$W44="#D", Z36,"")</f>
        <v>500</v>
      </c>
      <c r="AD44" s="158" t="str">
        <f>IF('2499-001'!$W44="#D",
      INDEX('Line No'!$B$1:$B$342, MATCH('2499-001'!$X44, 'Line No'!$A$1:$A$342, 0)),
      "")</f>
        <v>Production Supplies</v>
      </c>
    </row>
    <row r="45" spans="1:31" ht="16" customHeight="1">
      <c r="C45" s="142"/>
      <c r="D45" s="142"/>
      <c r="E45" s="142"/>
      <c r="F45" s="142"/>
      <c r="G45" s="74"/>
      <c r="H45" s="74"/>
      <c r="I45" s="75"/>
      <c r="W45" s="167" t="str">
        <f>IF(SUM($AA$24:$AA$34), "#E", "")</f>
        <v>#E</v>
      </c>
      <c r="X45" s="155">
        <f>IF('2499-001'!$W45="#E", AA20,"")</f>
        <v>205</v>
      </c>
      <c r="Y45" s="154" t="str">
        <f>IF('2499-001'!$W45="#E", Vendor,"")</f>
        <v>Gandolf</v>
      </c>
      <c r="Z45" s="155" t="str">
        <f>IF('2499-001'!$W45="#E", Sheet_PO,"")</f>
        <v>2499-001</v>
      </c>
      <c r="AA45" s="156">
        <f>IF('2499-001'!$W45="#E", AA21,"")</f>
        <v>45849</v>
      </c>
      <c r="AB45" s="155" t="str">
        <f>IF('2499-001'!$W45="#E", AA22,"")</f>
        <v>CC 2456</v>
      </c>
      <c r="AC45" s="157">
        <f>IF('2499-001'!$W45="#E", AA36,"")</f>
        <v>50</v>
      </c>
      <c r="AD45" s="155" t="str">
        <f>IF('2499-001'!$W45="#E",
      INDEX('Line No'!$B$1:$B$342, MATCH('2499-001'!$X45, 'Line No'!$A$1:$A$342, 0)),
      "")</f>
        <v>Location Supplies</v>
      </c>
    </row>
    <row r="46" spans="1:31" ht="16" customHeight="1">
      <c r="W46" s="168" t="str">
        <f>IF(SUM($AB$24:$AB$34), "#F", "")</f>
        <v>#F</v>
      </c>
      <c r="X46" s="158" t="str">
        <f>IF('2499-001'!$W46="#F", AB20,"")</f>
        <v>PC</v>
      </c>
      <c r="Y46" s="158" t="str">
        <f>IF('2499-001'!$W46="#F", Vendor,"")</f>
        <v>Gandolf</v>
      </c>
      <c r="Z46" s="158" t="str">
        <f>IF('2499-001'!$W46="#F", Sheet_PO,"")</f>
        <v>2499-001</v>
      </c>
      <c r="AA46" s="159">
        <f>IF('2499-001'!$W46="#F", AB21,"")</f>
        <v>45848</v>
      </c>
      <c r="AB46" s="158" t="str">
        <f>IF('2499-001'!$W46="#F", AB22,"")</f>
        <v>CHK 101</v>
      </c>
      <c r="AC46" s="160">
        <f>IF('2499-001'!$W46="#F", AB36,"")</f>
        <v>1000</v>
      </c>
      <c r="AD46" s="158" t="e">
        <f>IF('2499-001'!$W46="#F",
      INDEX('Line No'!$B$1:$B$342, MATCH('2499-001'!$X46, 'Line No'!$A$1:$A$342, 0)),
      "")</f>
        <v>#N/A</v>
      </c>
    </row>
    <row r="47" spans="1:31" ht="16" customHeight="1">
      <c r="W47" s="167" t="str">
        <f>IF(SUM($AC$24:$AC$34), "#G", "")</f>
        <v>#G</v>
      </c>
      <c r="X47" s="155" t="str">
        <f>IF('2499-001'!$W47="#G", AC20,"")</f>
        <v>PC</v>
      </c>
      <c r="Y47" s="154" t="str">
        <f>IF('2499-001'!$W47="#G", Vendor,"")</f>
        <v>Gandolf</v>
      </c>
      <c r="Z47" s="155" t="str">
        <f>IF('2499-001'!$W47="#G", Sheet_PO,"")</f>
        <v>2499-001</v>
      </c>
      <c r="AA47" s="161">
        <f>IF('2499-001'!$W47="#G", AC21,"")</f>
        <v>45849</v>
      </c>
      <c r="AB47" s="162" t="str">
        <f>IF('2499-001'!$W47="#G", AC22,"")</f>
        <v>CASH</v>
      </c>
      <c r="AC47" s="157">
        <f>IF('2499-001'!$W47="#G", AC36,"")</f>
        <v>1000</v>
      </c>
      <c r="AD47" s="155" t="e">
        <f>IF('2499-001'!$W47="#G",
      INDEX('Line No'!$B$1:$B$342, MATCH('2499-001'!$X47, 'Line No'!$A$1:$A$342, 0)),
      "")</f>
        <v>#N/A</v>
      </c>
    </row>
    <row r="48" spans="1:31" ht="16" customHeight="1">
      <c r="W48" s="168" t="str">
        <f>IF(SUM($AD$24:$AD$34), "#H", "")</f>
        <v/>
      </c>
      <c r="X48" s="158" t="str">
        <f>IF('2499-001'!$W48="#H", AD20,"")</f>
        <v/>
      </c>
      <c r="Y48" s="158" t="str">
        <f>IF('2499-001'!$W48="#H", Vendor,"")</f>
        <v/>
      </c>
      <c r="Z48" s="158" t="str">
        <f>IF('2499-001'!$W48="#H", Sheet_PO,"")</f>
        <v/>
      </c>
      <c r="AA48" s="163" t="str">
        <f>IF('2499-001'!$W48="#H", AE21,"")</f>
        <v/>
      </c>
      <c r="AB48" s="164" t="str">
        <f>IF('2499-001'!$W48="#H", AE22,"")</f>
        <v/>
      </c>
      <c r="AC48" s="160" t="str">
        <f>IF('2499-001'!$W48="#H", AE36,"")</f>
        <v/>
      </c>
      <c r="AD48" s="158" t="str">
        <f>IF('2499-001'!$W48="#H",
      INDEX('Line No'!$B$1:$B$342, MATCH('2499-001'!$X48, 'Line No'!$A$1:$A$342, 0)),
      "")</f>
        <v/>
      </c>
    </row>
    <row r="49" spans="22:30" ht="16" customHeight="1">
      <c r="V49" s="1" cm="1">
        <f t="array" ref="V49">SUMPRODUCT(--(W41:W49&lt;&gt;""))</f>
        <v>7</v>
      </c>
      <c r="W49" s="167" t="str">
        <f>IF(SUM($AE$24:$AE$34), "#OTHER", "")</f>
        <v/>
      </c>
      <c r="X49" s="155" t="str">
        <f>IF('2499-001'!$W49="#I", AE20,"")</f>
        <v/>
      </c>
      <c r="Y49" s="154" t="str">
        <f>IF('2499-001'!$W49="#I", Vendor,"")</f>
        <v/>
      </c>
      <c r="Z49" s="155" t="str">
        <f>IF('2499-001'!$W49="#I", Sheet_PO,"")</f>
        <v/>
      </c>
      <c r="AA49" s="161" t="str">
        <f>IF('2499-001'!$W49="#I", AF21,"")</f>
        <v/>
      </c>
      <c r="AB49" s="162" t="str">
        <f>IF('2499-001'!$W49="#I", AF22,"")</f>
        <v/>
      </c>
      <c r="AC49" s="157" t="str">
        <f>IF('2499-001'!$W49="#I", AF36,"")</f>
        <v/>
      </c>
      <c r="AD49" s="155" t="str">
        <f>IF('2499-001'!$W49="#I",
      INDEX('Line No'!$B$1:$B$342, MATCH('2499-001'!$X49, 'Line No'!$A$1:$A$342, 0)),
      "")</f>
        <v/>
      </c>
    </row>
    <row r="50" spans="22:30" ht="16" customHeight="1">
      <c r="W50" s="174"/>
      <c r="X50" s="174"/>
      <c r="Y50" s="175"/>
      <c r="Z50" s="174"/>
      <c r="AA50" s="174"/>
      <c r="AB50" s="174"/>
      <c r="AC50" s="176"/>
      <c r="AD50" s="174"/>
    </row>
  </sheetData>
  <sheetProtection formatCells="0" formatColumns="0" formatRows="0" insertColumns="0" insertRows="0" deleteRows="0" selectLockedCells="1"/>
  <mergeCells count="42">
    <mergeCell ref="J3:W3"/>
    <mergeCell ref="B4:G4"/>
    <mergeCell ref="C9:D9"/>
    <mergeCell ref="F9:I9"/>
    <mergeCell ref="G1:I1"/>
    <mergeCell ref="B2:C2"/>
    <mergeCell ref="D2:G2"/>
    <mergeCell ref="G3:I3"/>
    <mergeCell ref="C5:D5"/>
    <mergeCell ref="E5:H6"/>
    <mergeCell ref="C6:D6"/>
    <mergeCell ref="B7:C7"/>
    <mergeCell ref="D7:E7"/>
    <mergeCell ref="C10:D10"/>
    <mergeCell ref="F10:I10"/>
    <mergeCell ref="C11:D11"/>
    <mergeCell ref="C12:D12"/>
    <mergeCell ref="C13:D13"/>
    <mergeCell ref="F13:I13"/>
    <mergeCell ref="C14:D14"/>
    <mergeCell ref="F14:I14"/>
    <mergeCell ref="C18:E18"/>
    <mergeCell ref="F18:I18"/>
    <mergeCell ref="C19:E19"/>
    <mergeCell ref="F19:I19"/>
    <mergeCell ref="C32:D32"/>
    <mergeCell ref="AL20:AQ20"/>
    <mergeCell ref="B22:I22"/>
    <mergeCell ref="C23:D23"/>
    <mergeCell ref="C24:D24"/>
    <mergeCell ref="C25:D25"/>
    <mergeCell ref="C26:D26"/>
    <mergeCell ref="C27:D27"/>
    <mergeCell ref="C28:D28"/>
    <mergeCell ref="C29:D29"/>
    <mergeCell ref="C30:D30"/>
    <mergeCell ref="C31:D31"/>
    <mergeCell ref="C33:D33"/>
    <mergeCell ref="C34:D34"/>
    <mergeCell ref="C35:D35"/>
    <mergeCell ref="C38:D38"/>
    <mergeCell ref="W39:AC39"/>
  </mergeCells>
  <conditionalFormatting sqref="AD41:AD49">
    <cfRule type="containsText" dxfId="9" priority="1" operator="containsText" text="zzzz">
      <formula>NOT(ISERROR(SEARCH("zzzz",AD41)))</formula>
    </cfRule>
  </conditionalFormatting>
  <printOptions horizontalCentered="1"/>
  <pageMargins left="0.75" right="0.75" top="0.5" bottom="0.5" header="0.5" footer="0.5"/>
  <pageSetup scale="81" orientation="portrait" r:id="rId1"/>
  <headerFooter alignWithMargins="0"/>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530EC9-0EDE-B340-9B35-3542770E4EE0}">
  <sheetPr codeName="Sheet8">
    <pageSetUpPr fitToPage="1"/>
  </sheetPr>
  <dimension ref="A1:AX50"/>
  <sheetViews>
    <sheetView zoomScale="75" zoomScaleNormal="100" workbookViewId="0">
      <selection activeCell="B25" sqref="B25"/>
    </sheetView>
    <sheetView topLeftCell="I19" workbookViewId="1">
      <selection activeCell="B34" sqref="B34"/>
    </sheetView>
  </sheetViews>
  <sheetFormatPr baseColWidth="10" defaultColWidth="8.83203125" defaultRowHeight="14"/>
  <cols>
    <col min="1" max="1" width="0.83203125" style="1" customWidth="1"/>
    <col min="2" max="2" width="10.1640625" style="1" customWidth="1"/>
    <col min="3" max="3" width="14.6640625" style="1" customWidth="1"/>
    <col min="4" max="4" width="10.1640625" style="1" customWidth="1"/>
    <col min="5" max="5" width="13.5" style="1" customWidth="1"/>
    <col min="6" max="6" width="11.6640625" style="1" bestFit="1" customWidth="1"/>
    <col min="7" max="7" width="10.1640625" style="1" customWidth="1"/>
    <col min="8" max="8" width="18.83203125" style="1" customWidth="1"/>
    <col min="9" max="9" width="13.33203125" style="1" customWidth="1"/>
    <col min="10" max="11" width="5.83203125" style="1" customWidth="1"/>
    <col min="12" max="12" width="6.33203125" style="1" customWidth="1"/>
    <col min="13" max="13" width="6.1640625" style="1" customWidth="1"/>
    <col min="14" max="14" width="5.6640625" style="1" customWidth="1"/>
    <col min="15" max="15" width="5.33203125" style="1" customWidth="1"/>
    <col min="16" max="16" width="5.6640625" style="1" customWidth="1"/>
    <col min="17" max="18" width="5" style="1" customWidth="1"/>
    <col min="19" max="21" width="5.83203125" style="1" customWidth="1"/>
    <col min="22" max="22" width="6.1640625" style="1" customWidth="1"/>
    <col min="23" max="23" width="13.6640625" style="1" customWidth="1"/>
    <col min="24" max="24" width="8" style="1" customWidth="1"/>
    <col min="25" max="25" width="10.33203125" style="1" customWidth="1"/>
    <col min="26" max="26" width="11.83203125" style="1" customWidth="1"/>
    <col min="27" max="27" width="11" style="1" customWidth="1"/>
    <col min="28" max="29" width="11.83203125" style="1" customWidth="1"/>
    <col min="30" max="30" width="23.33203125" style="1" customWidth="1"/>
    <col min="31" max="31" width="8.83203125" style="1"/>
    <col min="32" max="32" width="3.33203125" style="1" customWidth="1"/>
    <col min="33" max="33" width="5.1640625" style="1" customWidth="1"/>
    <col min="34" max="37" width="8.83203125" style="1"/>
    <col min="38" max="38" width="8.83203125" style="1" customWidth="1"/>
    <col min="39" max="16384" width="8.83203125" style="1"/>
  </cols>
  <sheetData>
    <row r="1" spans="1:47" ht="45" customHeight="1">
      <c r="A1" s="41"/>
      <c r="B1" s="143" t="s">
        <v>258</v>
      </c>
      <c r="C1" s="143"/>
      <c r="D1" s="143"/>
      <c r="E1" s="143"/>
      <c r="G1" s="234"/>
      <c r="H1" s="234"/>
      <c r="I1" s="235"/>
      <c r="J1" s="185"/>
      <c r="K1" s="185"/>
      <c r="L1" s="185"/>
      <c r="M1" s="185"/>
      <c r="N1" s="185"/>
      <c r="O1" s="185"/>
      <c r="P1" s="185"/>
      <c r="Q1" s="185"/>
      <c r="R1" s="185"/>
      <c r="S1" s="185"/>
      <c r="T1" s="185"/>
      <c r="U1" s="185"/>
      <c r="V1" s="185"/>
      <c r="W1" s="185"/>
      <c r="X1" s="185"/>
      <c r="Y1" s="185"/>
      <c r="Z1" s="185"/>
      <c r="AA1" s="185"/>
      <c r="AB1" s="185"/>
      <c r="AC1" s="185"/>
      <c r="AD1" s="185"/>
      <c r="AE1" s="185"/>
      <c r="AF1" s="185"/>
      <c r="AG1" s="185"/>
      <c r="AH1" s="185"/>
      <c r="AI1" s="186" t="s">
        <v>321</v>
      </c>
      <c r="AJ1" s="185"/>
      <c r="AK1" s="185"/>
      <c r="AL1" s="185"/>
      <c r="AM1" s="185"/>
      <c r="AN1" s="185"/>
      <c r="AO1" s="185"/>
      <c r="AP1" s="185"/>
      <c r="AQ1" s="185"/>
      <c r="AR1" s="185"/>
      <c r="AS1" s="185"/>
      <c r="AT1" s="185"/>
      <c r="AU1" s="185"/>
    </row>
    <row r="2" spans="1:47" ht="12.75" customHeight="1">
      <c r="A2" s="42"/>
      <c r="B2" s="236"/>
      <c r="C2" s="237"/>
      <c r="D2" s="238"/>
      <c r="E2" s="238"/>
      <c r="F2" s="238"/>
      <c r="G2" s="238"/>
      <c r="I2" s="76"/>
      <c r="J2" s="185"/>
      <c r="K2" s="185"/>
      <c r="L2" s="185"/>
      <c r="M2" s="185"/>
      <c r="N2" s="185"/>
      <c r="O2" s="185"/>
      <c r="P2" s="185"/>
      <c r="Q2" s="185"/>
      <c r="R2" s="185"/>
      <c r="S2" s="185"/>
      <c r="T2" s="185"/>
      <c r="U2" s="185"/>
      <c r="V2" s="185"/>
      <c r="W2" s="185"/>
      <c r="X2" s="185"/>
      <c r="Y2" s="185"/>
      <c r="Z2" s="185"/>
      <c r="AA2" s="185"/>
      <c r="AB2" s="185"/>
      <c r="AC2" s="185"/>
      <c r="AD2" s="186" t="s">
        <v>323</v>
      </c>
      <c r="AE2" s="185"/>
      <c r="AF2" s="185"/>
      <c r="AG2" s="185"/>
      <c r="AH2" s="185"/>
      <c r="AI2" s="185" t="s">
        <v>322</v>
      </c>
      <c r="AJ2" s="185"/>
      <c r="AK2" s="185"/>
      <c r="AL2" s="185"/>
      <c r="AM2" s="185"/>
      <c r="AN2" s="185"/>
      <c r="AO2" s="185"/>
      <c r="AP2" s="185"/>
      <c r="AQ2" s="185"/>
      <c r="AR2" s="185"/>
      <c r="AS2" s="185"/>
      <c r="AT2" s="185"/>
      <c r="AU2" s="185"/>
    </row>
    <row r="3" spans="1:47" ht="22">
      <c r="A3" s="42"/>
      <c r="B3" s="77" t="s">
        <v>14</v>
      </c>
      <c r="C3" s="43"/>
      <c r="D3" s="44"/>
      <c r="E3" s="44"/>
      <c r="F3" s="45" t="s">
        <v>13</v>
      </c>
      <c r="G3" s="239" t="s">
        <v>306</v>
      </c>
      <c r="H3" s="239"/>
      <c r="I3" s="240"/>
      <c r="J3" s="232"/>
      <c r="K3" s="233"/>
      <c r="L3" s="233"/>
      <c r="M3" s="233"/>
      <c r="N3" s="233"/>
      <c r="O3" s="233"/>
      <c r="P3" s="233"/>
      <c r="Q3" s="233"/>
      <c r="R3" s="233"/>
      <c r="S3" s="233"/>
      <c r="T3" s="233"/>
      <c r="U3" s="233"/>
      <c r="V3" s="233"/>
      <c r="W3" s="233"/>
      <c r="X3" s="115" t="s">
        <v>308</v>
      </c>
      <c r="Y3" s="117" t="s">
        <v>309</v>
      </c>
      <c r="Z3" s="117" t="s">
        <v>310</v>
      </c>
      <c r="AA3" s="117" t="s">
        <v>311</v>
      </c>
      <c r="AD3" s="115" t="s">
        <v>319</v>
      </c>
      <c r="AM3" s="1" t="s">
        <v>324</v>
      </c>
      <c r="AR3" s="185"/>
      <c r="AS3" s="185"/>
      <c r="AT3" s="185"/>
      <c r="AU3" s="185"/>
    </row>
    <row r="4" spans="1:47" s="3" customFormat="1" ht="29" customHeight="1">
      <c r="A4" s="46"/>
      <c r="B4" s="241"/>
      <c r="C4" s="242"/>
      <c r="D4" s="242"/>
      <c r="E4" s="242"/>
      <c r="F4" s="242"/>
      <c r="G4" s="242"/>
      <c r="H4" s="47"/>
      <c r="I4" s="78"/>
      <c r="J4" s="187"/>
      <c r="K4" s="187"/>
      <c r="L4" s="187"/>
      <c r="M4" s="187"/>
      <c r="N4" s="187"/>
      <c r="O4" s="187"/>
      <c r="P4" s="187"/>
      <c r="Q4" s="187"/>
      <c r="R4" s="187"/>
      <c r="S4" s="187"/>
      <c r="T4" s="187"/>
      <c r="U4" s="187"/>
      <c r="V4" s="187"/>
      <c r="W4" s="187"/>
      <c r="X4" s="4" t="str" cm="1">
        <f t="array" ref="X4:X9">IFERROR(
INDEX(
_xlfn._xlws.FILTER(
_xlfn.UNIQUE(
LineEntryOLD2,
),_xlfn.UNIQUE(
LineEntryOLD2,
)&lt;&gt;0
),_xlfn.SEQUENCE(6,1)
),"")</f>
        <v>A</v>
      </c>
      <c r="Y4" s="4" cm="1">
        <f t="array" ref="Y4">SUMPRODUCT(--(TRIM(X4:X12)&lt;&gt;""))</f>
        <v>6</v>
      </c>
      <c r="Z4" s="4" t="str" cm="1">
        <f t="array" ref="Z4:Z6">_xlfn._xlws.SORT(INDEX(AF7:AF16, 1):INDEX(AF7:AF9, AG7), 1, TRUE)</f>
        <v>CASH</v>
      </c>
      <c r="AA4" s="4" t="str" cm="1">
        <f t="array" ref="AA4">IF(Z4="","",IFERROR(INDEX(Description, MATCH(Z4, LINEOld, 0)), "Not Found"))</f>
        <v>Not Found</v>
      </c>
      <c r="AD4" s="120" t="str" cm="1">
        <f t="array" ref="AD4:AF9">IFERROR(
    INDEX(
        _xlfn._xlws.FILTER(
            _xlfn.UNIQUE(_xlfn.HSTACK(LineEntryOLD2, DateEntryOld, PayIDEntryOld2)),
            _xlfn.BYROW(_xlfn.UNIQUE(_xlfn.HSTACK(LineEntryOLD2, DateEntryOld, PayIDEntryOld2)), _xlfn.LAMBDA(_xlpm.row, SUM(_xlpm.row)&lt;&gt;0))
        ),
        _xlfn.SEQUENCE(6,1),
        {1,2,3}
    ),
    ""
)</f>
        <v>A</v>
      </c>
      <c r="AE4" s="126">
        <v>45849</v>
      </c>
      <c r="AF4" s="120" t="str">
        <v>CC 2456</v>
      </c>
      <c r="AM4" s="148" t="s">
        <v>335</v>
      </c>
      <c r="AO4" s="3" t="str" cm="1">
        <f t="array" ref="AO4">IFERROR(
    _xlfn.WRAPCOLS(
        INDEX(
            _xlfn._xlws.FILTER(
                _xlfn.UNIQUE(_xlfn.HSTACK(LineEntryOLD2, DateEntryOld, PayIDEntryOld2)),
                _xlfn.BYROW(_xlfn.UNIQUE(_xlfn.HSTACK(LineEntryOLD2, DateEntryOld, PayIDEntryOld2)), _xlfn.LAMBDA(_xlpm.row, SUM(_xlpm.row)&lt;&gt;0))
            ),
            _xlfn.SEQUENCE(6,1),
            {1,2,3}
        ),
        3
    ),
    ""
)</f>
        <v/>
      </c>
      <c r="AQ4" s="3" t="e" cm="1" vm="1">
        <f t="array" aca="1" ref="AQ4" ca="1">IFERROR(
    _xlfn.WRAPCOLS(
        _xlfn.TOCOL(
            INDEX(
                _xlfn._xlws.FILTER(
                    _xlfn.UNIQUE(_xlfn.HSTACK(LineEntryOLD2, DateEntryOld, PayIDEntryOld2)),
                    _xlfn.BYROW(_xlfn.UNIQUE(_xlfn.HSTACK(LineEntryOLD2, DateEntryOld, PayIDEntryOld2)), _xlfn.LAMBDA(_xlpm.row, SUM(_xlpm.row)&lt;&gt;0))
                ),
                _xlfn.SEQUENCE(6,1),
                {1,2,3}
            )
        ),
        3
    ),
    ""
)</f>
        <v>#VALUE!</v>
      </c>
      <c r="AR4" s="187">
        <v>205</v>
      </c>
      <c r="AS4" s="187">
        <v>112</v>
      </c>
      <c r="AT4" s="187">
        <v>1</v>
      </c>
      <c r="AU4" s="187"/>
    </row>
    <row r="5" spans="1:47" s="4" customFormat="1" ht="16" customHeight="1">
      <c r="A5" s="48"/>
      <c r="B5" s="79" t="s">
        <v>259</v>
      </c>
      <c r="C5" s="247"/>
      <c r="D5" s="248"/>
      <c r="E5" s="243"/>
      <c r="F5" s="243"/>
      <c r="G5" s="243"/>
      <c r="H5" s="243"/>
      <c r="I5" s="80"/>
      <c r="J5" s="188"/>
      <c r="K5" s="188"/>
      <c r="L5" s="188"/>
      <c r="M5" s="188"/>
      <c r="N5" s="188"/>
      <c r="O5" s="188"/>
      <c r="P5" s="188"/>
      <c r="Q5" s="188"/>
      <c r="R5" s="188"/>
      <c r="S5" s="188"/>
      <c r="T5" s="188"/>
      <c r="U5" s="188"/>
      <c r="V5" s="188"/>
      <c r="W5" s="188"/>
      <c r="X5" s="4">
        <v>205</v>
      </c>
      <c r="Z5" s="4" t="str">
        <v>CC 2456</v>
      </c>
      <c r="AA5" s="4" t="str" cm="1">
        <f t="array" ref="AA5">IF(Z5="","",IFERROR(INDEX(Description, MATCH(Z5, LINEOld, 0)), "Not Found"))</f>
        <v>Not Found</v>
      </c>
      <c r="AD5" s="121">
        <v>205</v>
      </c>
      <c r="AE5" s="127">
        <v>45849</v>
      </c>
      <c r="AF5" s="121" t="str">
        <v>CC 2456</v>
      </c>
      <c r="AH5" t="e" cm="1">
        <f t="array" ref="AH5">_xlfn._xlws.FILTER(_xlfn.UNIQUE(_xlfn.HSTACK(LineEntryOLD2, DateEntryOld, PayIDEntryOld2)), _xlfn.UNIQUE(_xlfn.HSTACK(LineEntryOLD2, DateEntryOld, PayIDEntryOld2))&lt;&gt;0)</f>
        <v>#VALUE!</v>
      </c>
      <c r="AR5" s="188">
        <v>45849</v>
      </c>
      <c r="AS5" s="188">
        <v>45848</v>
      </c>
      <c r="AT5" s="188">
        <v>45849</v>
      </c>
      <c r="AU5" s="188"/>
    </row>
    <row r="6" spans="1:47" s="4" customFormat="1" ht="16">
      <c r="A6" s="48"/>
      <c r="B6" s="81"/>
      <c r="C6" s="249"/>
      <c r="D6" s="250"/>
      <c r="E6" s="243"/>
      <c r="F6" s="243"/>
      <c r="G6" s="243"/>
      <c r="H6" s="243"/>
      <c r="I6" s="82"/>
      <c r="J6" s="188"/>
      <c r="K6" s="188"/>
      <c r="L6" s="188"/>
      <c r="M6" s="188"/>
      <c r="N6" s="188"/>
      <c r="O6" s="188"/>
      <c r="P6" s="188"/>
      <c r="Q6" s="188"/>
      <c r="R6" s="188"/>
      <c r="S6" s="188"/>
      <c r="T6" s="188"/>
      <c r="U6" s="188"/>
      <c r="V6" s="188"/>
      <c r="W6" s="188"/>
      <c r="X6" s="4">
        <v>112</v>
      </c>
      <c r="Z6" s="4" t="str">
        <v>CC 2456</v>
      </c>
      <c r="AA6" s="4" t="str" cm="1">
        <f t="array" ref="AA6">IF(Z6="","",IFERROR(INDEX(Description, MATCH(Z6, LINEOld, 0)), "Not Found"))</f>
        <v>Not Found</v>
      </c>
      <c r="AD6" s="121">
        <v>112</v>
      </c>
      <c r="AE6" s="127">
        <v>45848</v>
      </c>
      <c r="AF6" s="121" t="str">
        <v>CHK 101</v>
      </c>
      <c r="AR6" s="188" t="s">
        <v>313</v>
      </c>
      <c r="AS6" s="188" t="s">
        <v>327</v>
      </c>
      <c r="AT6" s="188" t="s">
        <v>5</v>
      </c>
      <c r="AU6" s="188"/>
    </row>
    <row r="7" spans="1:47" s="4" customFormat="1" ht="16">
      <c r="A7" s="48"/>
      <c r="B7" s="244"/>
      <c r="C7" s="245"/>
      <c r="D7" s="246"/>
      <c r="E7" s="246"/>
      <c r="F7" s="51"/>
      <c r="G7" s="51"/>
      <c r="H7" s="51"/>
      <c r="I7" s="84"/>
      <c r="J7" s="188"/>
      <c r="K7" s="188"/>
      <c r="L7" s="188"/>
      <c r="M7" s="188"/>
      <c r="N7" s="188"/>
      <c r="O7" s="188"/>
      <c r="P7" s="188"/>
      <c r="Q7" s="188"/>
      <c r="R7" s="188"/>
      <c r="S7" s="188"/>
      <c r="T7" s="188"/>
      <c r="U7" s="188"/>
      <c r="V7" s="188"/>
      <c r="W7" s="188"/>
      <c r="X7" s="4">
        <v>204</v>
      </c>
      <c r="AA7" s="4" t="str" cm="1">
        <f t="array" ref="AA7">IF(Z7="","",IFERROR(INDEX(Description, MATCH(Z7, LINEOld, 0)), "Not Found"))</f>
        <v/>
      </c>
      <c r="AD7" s="121">
        <v>204</v>
      </c>
      <c r="AE7" s="127">
        <v>45849</v>
      </c>
      <c r="AF7" s="121" t="str">
        <v>CC 2456</v>
      </c>
      <c r="AR7" s="188"/>
      <c r="AS7" s="188"/>
      <c r="AT7" s="188"/>
      <c r="AU7" s="188"/>
    </row>
    <row r="8" spans="1:47" s="4" customFormat="1" ht="16">
      <c r="A8" s="48"/>
      <c r="B8" s="83"/>
      <c r="C8" s="49"/>
      <c r="D8" s="50"/>
      <c r="E8" s="50"/>
      <c r="F8" s="51"/>
      <c r="G8" s="51"/>
      <c r="H8" s="51"/>
      <c r="I8" s="84"/>
      <c r="J8" s="188"/>
      <c r="K8" s="188"/>
      <c r="L8" s="188"/>
      <c r="M8" s="188"/>
      <c r="N8" s="188"/>
      <c r="O8" s="188"/>
      <c r="P8" s="188"/>
      <c r="Q8" s="188"/>
      <c r="R8" s="188"/>
      <c r="S8" s="188"/>
      <c r="T8" s="188"/>
      <c r="U8" s="188"/>
      <c r="V8" s="188"/>
      <c r="W8" s="188"/>
      <c r="X8" s="4">
        <v>1</v>
      </c>
      <c r="AA8" s="4" t="str" cm="1">
        <f t="array" ref="AA8">IF(Z8="","",IFERROR(INDEX(Description, MATCH(Z8, LINEOld, 0)), "Not Found"))</f>
        <v/>
      </c>
      <c r="AD8" s="121">
        <v>1</v>
      </c>
      <c r="AE8" s="127">
        <v>45849</v>
      </c>
      <c r="AF8" s="121" t="str">
        <v>CASH</v>
      </c>
      <c r="AR8" s="188"/>
      <c r="AS8" s="188"/>
      <c r="AT8" s="188"/>
      <c r="AU8" s="188"/>
    </row>
    <row r="9" spans="1:47" s="4" customFormat="1" ht="16">
      <c r="A9" s="48"/>
      <c r="B9" s="85" t="s">
        <v>12</v>
      </c>
      <c r="C9" s="251" t="str">
        <f>IFERROR(
    IF(ISNUMBER(MATCH(Sheet_PO,#REF!, 0)),
       IF(INDEX(#REF!, MATCH(Sheet_PO,#REF!, 0)) = "", "",
          INDEX(#REF!, MATCH(Sheet_PO,#REF!, 0))),
       ""),
    "No match found")</f>
        <v/>
      </c>
      <c r="D9" s="251"/>
      <c r="E9" s="52" t="s">
        <v>11</v>
      </c>
      <c r="F9" s="252" t="str">
        <f>IF(TRIM(Job_Number)="", "", Job_Number)</f>
        <v/>
      </c>
      <c r="G9" s="252"/>
      <c r="H9" s="252"/>
      <c r="I9" s="253"/>
      <c r="J9" s="188"/>
      <c r="K9" s="188"/>
      <c r="L9" s="188"/>
      <c r="M9" s="188"/>
      <c r="N9" s="188"/>
      <c r="O9" s="188"/>
      <c r="P9" s="188"/>
      <c r="Q9" s="188"/>
      <c r="R9" s="188"/>
      <c r="S9" s="188"/>
      <c r="T9" s="188"/>
      <c r="U9" s="188"/>
      <c r="V9" s="188"/>
      <c r="W9" s="188"/>
      <c r="X9" s="4">
        <v>5</v>
      </c>
      <c r="AA9" s="4" t="str" cm="1">
        <f t="array" ref="AA9">IF(Z9="","",IFERROR(INDEX(Description, MATCH(Z9, LINEOld, 0)), "Not Found"))</f>
        <v/>
      </c>
      <c r="AD9" s="121">
        <v>5</v>
      </c>
      <c r="AE9" s="127">
        <v>45849</v>
      </c>
      <c r="AF9" s="121" t="str">
        <v>CC 2456</v>
      </c>
      <c r="AH9" s="4" t="b" cm="1">
        <f t="array" ref="AH9:AJ18">_xlfn.UNIQUE(_xlfn.HSTACK(LineEntryOLD2,DateEntryOld,PayIDEntryOld2))&lt;&gt;0</f>
        <v>1</v>
      </c>
      <c r="AI9" s="4" t="b">
        <v>1</v>
      </c>
      <c r="AJ9" s="4" t="b">
        <v>1</v>
      </c>
      <c r="AR9" s="188"/>
      <c r="AS9" s="188"/>
      <c r="AT9" s="188"/>
      <c r="AU9" s="188"/>
    </row>
    <row r="10" spans="1:47" s="4" customFormat="1" ht="14" customHeight="1">
      <c r="A10" s="48"/>
      <c r="B10" s="85" t="s">
        <v>10</v>
      </c>
      <c r="C10" s="223" t="s">
        <v>332</v>
      </c>
      <c r="D10" s="223"/>
      <c r="E10" s="52" t="s">
        <v>9</v>
      </c>
      <c r="F10" s="224" t="str">
        <f>IF(TRIM(Job_Name)="", "", Job_Name)</f>
        <v/>
      </c>
      <c r="G10" s="224"/>
      <c r="H10" s="224"/>
      <c r="I10" s="225"/>
      <c r="J10" s="188"/>
      <c r="K10" s="188"/>
      <c r="L10" s="188"/>
      <c r="M10" s="188"/>
      <c r="N10" s="188"/>
      <c r="O10" s="188"/>
      <c r="P10" s="188"/>
      <c r="Q10" s="188"/>
      <c r="R10" s="188"/>
      <c r="S10" s="188"/>
      <c r="T10" s="188"/>
      <c r="U10" s="188"/>
      <c r="V10" s="188"/>
      <c r="W10" s="187"/>
      <c r="AA10" s="4" t="str" cm="1">
        <f t="array" ref="AA10">IF(Z10="","",IFERROR(INDEX(Description, MATCH(Z10, LINEOld, 0)), "Not Found"))</f>
        <v/>
      </c>
      <c r="AH10" s="4" t="b">
        <v>1</v>
      </c>
      <c r="AI10" s="4" t="b">
        <v>1</v>
      </c>
      <c r="AJ10" s="4" t="b">
        <v>1</v>
      </c>
      <c r="AR10" s="188"/>
      <c r="AS10" s="188"/>
      <c r="AT10" s="188"/>
      <c r="AU10" s="188"/>
    </row>
    <row r="11" spans="1:47" s="4" customFormat="1" ht="17">
      <c r="A11" s="48"/>
      <c r="B11" s="86"/>
      <c r="C11" s="223"/>
      <c r="D11" s="223"/>
      <c r="E11" s="53"/>
      <c r="I11" s="87"/>
      <c r="J11" s="188"/>
      <c r="K11" s="188"/>
      <c r="L11" s="188"/>
      <c r="M11" s="188"/>
      <c r="N11" s="188"/>
      <c r="O11" s="188"/>
      <c r="P11" s="188"/>
      <c r="Q11" s="188"/>
      <c r="R11" s="188"/>
      <c r="S11" s="188"/>
      <c r="T11" s="188"/>
      <c r="U11" s="188"/>
      <c r="V11" s="188"/>
      <c r="W11" s="188"/>
      <c r="AA11" s="4" t="str" cm="1">
        <f t="array" ref="AA11">IF(Z11="","",IFERROR(INDEX(Description, MATCH(Z11, LINEOld, 0)), "Not Found"))</f>
        <v/>
      </c>
      <c r="AD11" s="119" t="e" cm="1" vm="4">
        <f t="array" aca="1" ref="AD11" ca="1">_xlfn.UNIQUE(_xlfn.HSTACK(LineEntryOLD2, DateEntryOld, PayIDEntryOld2))&lt;&gt;0</f>
        <v>#VALUE!</v>
      </c>
      <c r="AH11" s="4" t="b">
        <v>1</v>
      </c>
      <c r="AI11" s="4" t="b">
        <v>1</v>
      </c>
      <c r="AJ11" s="4" t="b">
        <v>1</v>
      </c>
      <c r="AR11" s="188"/>
      <c r="AS11" s="188"/>
      <c r="AT11" s="188"/>
      <c r="AU11" s="188"/>
    </row>
    <row r="12" spans="1:47" s="4" customFormat="1" ht="22" customHeight="1">
      <c r="A12" s="48"/>
      <c r="B12" s="85" t="s">
        <v>8</v>
      </c>
      <c r="C12" s="223"/>
      <c r="D12" s="223"/>
      <c r="E12" s="52" t="s">
        <v>7</v>
      </c>
      <c r="F12" s="7"/>
      <c r="G12" s="7"/>
      <c r="H12" s="7"/>
      <c r="I12" s="88"/>
      <c r="J12" s="188"/>
      <c r="K12" s="188"/>
      <c r="L12" s="188"/>
      <c r="M12" s="188"/>
      <c r="N12" s="188"/>
      <c r="O12" s="188"/>
      <c r="P12" s="188"/>
      <c r="Q12" s="188"/>
      <c r="R12" s="188"/>
      <c r="S12" s="188"/>
      <c r="T12" s="188"/>
      <c r="U12" s="188"/>
      <c r="V12" s="188"/>
      <c r="W12" s="188"/>
      <c r="AA12" s="4" t="str" cm="1">
        <f t="array" ref="AA12">IF(Z12="","",IFERROR(INDEX(Description, MATCH(Z12, LINEOld, 0)), "Not Found"))</f>
        <v/>
      </c>
      <c r="AH12" s="4" t="b">
        <v>1</v>
      </c>
      <c r="AI12" s="4" t="b">
        <v>1</v>
      </c>
      <c r="AJ12" s="4" t="b">
        <v>1</v>
      </c>
      <c r="AR12" s="188"/>
      <c r="AS12" s="188"/>
      <c r="AT12" s="188"/>
      <c r="AU12" s="188"/>
    </row>
    <row r="13" spans="1:47" s="4" customFormat="1" ht="16">
      <c r="A13" s="48"/>
      <c r="B13" s="89"/>
      <c r="C13" s="223"/>
      <c r="D13" s="223"/>
      <c r="F13" s="218"/>
      <c r="G13" s="219"/>
      <c r="H13" s="219"/>
      <c r="I13" s="220"/>
      <c r="J13" s="188"/>
      <c r="K13" s="188"/>
      <c r="L13" s="188"/>
      <c r="M13" s="188"/>
      <c r="N13" s="188"/>
      <c r="O13" s="188"/>
      <c r="P13" s="188"/>
      <c r="Q13" s="188"/>
      <c r="R13" s="188"/>
      <c r="S13" s="188"/>
      <c r="T13" s="188"/>
      <c r="U13" s="188"/>
      <c r="V13" s="188"/>
      <c r="W13" s="188"/>
      <c r="AA13" s="4" t="str" cm="1">
        <f t="array" ref="AA13">IF(Z13="","",IFERROR(INDEX(Description, MATCH(Z13, LINEOld, 0)), "Not Found"))</f>
        <v/>
      </c>
      <c r="AH13" s="4" t="b">
        <v>1</v>
      </c>
      <c r="AI13" s="4" t="b">
        <v>1</v>
      </c>
      <c r="AJ13" s="4" t="b">
        <v>1</v>
      </c>
      <c r="AR13" s="188"/>
      <c r="AS13" s="188"/>
      <c r="AT13" s="188"/>
      <c r="AU13" s="188"/>
    </row>
    <row r="14" spans="1:47" s="4" customFormat="1" ht="16">
      <c r="A14" s="48"/>
      <c r="B14" s="89"/>
      <c r="C14" s="226"/>
      <c r="D14" s="226"/>
      <c r="E14" s="52" t="s">
        <v>265</v>
      </c>
      <c r="F14" s="218"/>
      <c r="G14" s="219"/>
      <c r="H14" s="219"/>
      <c r="I14" s="220"/>
      <c r="J14" s="188"/>
      <c r="K14" s="188"/>
      <c r="L14" s="188"/>
      <c r="M14" s="188"/>
      <c r="N14" s="188"/>
      <c r="O14" s="188"/>
      <c r="P14" s="188"/>
      <c r="Q14" s="188"/>
      <c r="R14" s="188"/>
      <c r="S14" s="188"/>
      <c r="T14" s="188"/>
      <c r="U14" s="188"/>
      <c r="V14" s="188"/>
      <c r="W14" s="188"/>
      <c r="X14" s="188"/>
      <c r="Y14" s="188"/>
      <c r="Z14" s="188"/>
      <c r="AA14" s="188"/>
      <c r="AB14" s="188"/>
      <c r="AC14" s="188"/>
      <c r="AD14" s="188" t="b">
        <v>1</v>
      </c>
      <c r="AE14" s="188" t="b">
        <v>1</v>
      </c>
      <c r="AF14" s="188" t="b">
        <v>1</v>
      </c>
      <c r="AG14" s="188"/>
      <c r="AH14" s="188" t="b">
        <v>1</v>
      </c>
      <c r="AI14" s="188" t="b">
        <v>1</v>
      </c>
      <c r="AJ14" s="188" t="b">
        <v>1</v>
      </c>
      <c r="AK14" s="188"/>
      <c r="AL14" s="188"/>
      <c r="AM14" s="188"/>
      <c r="AN14" s="188"/>
      <c r="AO14" s="188"/>
      <c r="AP14" s="188"/>
      <c r="AQ14" s="188"/>
      <c r="AR14" s="188"/>
      <c r="AS14" s="188"/>
      <c r="AT14" s="188"/>
      <c r="AU14" s="188"/>
    </row>
    <row r="15" spans="1:47" s="4" customFormat="1" ht="16">
      <c r="A15" s="48"/>
      <c r="B15" s="90"/>
      <c r="C15" s="54"/>
      <c r="D15" s="54"/>
      <c r="I15" s="87"/>
      <c r="J15" s="188"/>
      <c r="K15" s="188"/>
      <c r="L15" s="188"/>
      <c r="M15" s="188"/>
      <c r="N15" s="188"/>
      <c r="O15" s="188"/>
      <c r="P15" s="188"/>
      <c r="Q15" s="188"/>
      <c r="R15" s="188"/>
      <c r="S15" s="188"/>
      <c r="T15" s="188"/>
      <c r="U15" s="188"/>
      <c r="V15" s="188"/>
      <c r="W15" s="188"/>
      <c r="X15" s="188"/>
      <c r="Y15" s="188"/>
      <c r="Z15" s="188"/>
      <c r="AA15" s="188"/>
      <c r="AB15" s="188"/>
      <c r="AC15" s="188"/>
      <c r="AD15" s="188" t="b">
        <v>0</v>
      </c>
      <c r="AE15" s="188" t="b">
        <v>0</v>
      </c>
      <c r="AF15" s="188" t="b">
        <v>0</v>
      </c>
      <c r="AG15" s="188"/>
      <c r="AH15" s="188" t="b">
        <v>1</v>
      </c>
      <c r="AI15" s="188" t="b">
        <v>1</v>
      </c>
      <c r="AJ15" s="188" t="b">
        <v>1</v>
      </c>
      <c r="AK15" s="188"/>
      <c r="AL15" s="188"/>
      <c r="AM15" s="188"/>
      <c r="AN15" s="188"/>
      <c r="AO15" s="188"/>
      <c r="AP15" s="188"/>
      <c r="AQ15" s="188"/>
      <c r="AR15" s="188"/>
      <c r="AS15" s="188"/>
      <c r="AT15" s="188"/>
      <c r="AU15" s="188"/>
    </row>
    <row r="16" spans="1:47" s="3" customFormat="1" ht="23" customHeight="1">
      <c r="A16" s="46"/>
      <c r="B16" s="91" t="s">
        <v>6</v>
      </c>
      <c r="C16" s="55"/>
      <c r="D16" s="55"/>
      <c r="E16" s="55"/>
      <c r="F16" s="55"/>
      <c r="G16" s="70"/>
      <c r="H16" s="40"/>
      <c r="I16" s="92"/>
      <c r="J16" s="187"/>
      <c r="K16" s="187"/>
      <c r="L16" s="187"/>
      <c r="M16" s="187"/>
      <c r="N16" s="187"/>
      <c r="O16" s="187"/>
      <c r="P16" s="187"/>
      <c r="Q16" s="187"/>
      <c r="R16" s="187"/>
      <c r="S16" s="187"/>
      <c r="T16" s="187"/>
      <c r="U16" s="187"/>
      <c r="V16" s="187"/>
      <c r="W16" s="187"/>
      <c r="X16" s="187"/>
      <c r="Y16" s="187"/>
      <c r="Z16" s="187"/>
      <c r="AA16" s="187"/>
      <c r="AB16" s="187"/>
      <c r="AC16" s="187"/>
      <c r="AD16" s="187"/>
      <c r="AE16" s="187"/>
      <c r="AF16" s="187"/>
      <c r="AG16" s="187"/>
      <c r="AH16" s="187" t="b">
        <v>1</v>
      </c>
      <c r="AI16" s="187" t="b">
        <v>1</v>
      </c>
      <c r="AJ16" s="187" t="b">
        <v>1</v>
      </c>
      <c r="AK16" s="187"/>
      <c r="AL16" s="187"/>
      <c r="AM16" s="187"/>
      <c r="AN16" s="187"/>
      <c r="AO16" s="187"/>
      <c r="AP16" s="187"/>
      <c r="AQ16" s="187"/>
      <c r="AR16" s="187"/>
      <c r="AS16" s="187"/>
      <c r="AT16" s="187"/>
      <c r="AU16" s="187"/>
    </row>
    <row r="17" spans="1:50" s="3" customFormat="1" ht="23" customHeight="1">
      <c r="A17" s="46"/>
      <c r="B17" s="91"/>
      <c r="C17" s="71"/>
      <c r="D17" s="71"/>
      <c r="E17" s="71"/>
      <c r="F17" s="71"/>
      <c r="G17" s="72"/>
      <c r="H17" s="40"/>
      <c r="I17" s="92"/>
      <c r="J17" s="187"/>
      <c r="K17" s="187"/>
      <c r="L17" s="187"/>
      <c r="M17" s="187"/>
      <c r="N17" s="187"/>
      <c r="O17" s="187"/>
      <c r="P17" s="187"/>
      <c r="Q17" s="187"/>
      <c r="R17" s="187"/>
      <c r="S17" s="187"/>
      <c r="T17" s="187"/>
      <c r="U17" s="187"/>
      <c r="V17" s="187"/>
      <c r="W17" s="187"/>
      <c r="X17" s="187"/>
      <c r="Y17" s="187"/>
      <c r="Z17" s="187"/>
      <c r="AA17" s="187"/>
      <c r="AB17" s="187"/>
      <c r="AC17" s="187"/>
      <c r="AD17" s="187"/>
      <c r="AE17" s="189"/>
      <c r="AF17" s="189"/>
      <c r="AG17" s="189"/>
      <c r="AH17" s="189" t="b">
        <v>1</v>
      </c>
      <c r="AI17" s="189" t="b">
        <v>1</v>
      </c>
      <c r="AJ17" s="187" t="b">
        <v>1</v>
      </c>
      <c r="AK17" s="187"/>
      <c r="AS17" s="187"/>
      <c r="AT17" s="187"/>
      <c r="AU17" s="187"/>
    </row>
    <row r="18" spans="1:50" s="3" customFormat="1" ht="23" customHeight="1">
      <c r="A18" s="46"/>
      <c r="B18" s="91"/>
      <c r="C18" s="221"/>
      <c r="D18" s="221"/>
      <c r="E18" s="221"/>
      <c r="F18" s="221"/>
      <c r="G18" s="221"/>
      <c r="H18" s="221"/>
      <c r="I18" s="222"/>
      <c r="AH18" s="3" t="b">
        <v>0</v>
      </c>
      <c r="AI18" s="3" t="b">
        <v>0</v>
      </c>
      <c r="AJ18" s="3" t="b">
        <v>0</v>
      </c>
      <c r="AL18" s="119" t="s">
        <v>320</v>
      </c>
    </row>
    <row r="19" spans="1:50" s="3" customFormat="1" ht="13" customHeight="1" thickBot="1">
      <c r="A19" s="46"/>
      <c r="B19" s="91"/>
      <c r="C19" s="221"/>
      <c r="D19" s="221"/>
      <c r="E19" s="221"/>
      <c r="F19" s="221"/>
      <c r="G19" s="221"/>
      <c r="H19" s="221"/>
      <c r="I19" s="222"/>
      <c r="AE19" s="4"/>
      <c r="AF19" s="4"/>
      <c r="AG19" s="4"/>
      <c r="AH19" s="4"/>
      <c r="AI19" s="4"/>
      <c r="AJ19" s="4"/>
      <c r="AK19" s="4"/>
    </row>
    <row r="20" spans="1:50" s="3" customFormat="1" ht="34" customHeight="1">
      <c r="A20" s="46"/>
      <c r="B20" s="91"/>
      <c r="C20" s="56"/>
      <c r="D20" s="56"/>
      <c r="E20" s="56"/>
      <c r="F20" s="56"/>
      <c r="G20" s="56"/>
      <c r="H20" s="56"/>
      <c r="I20" s="93"/>
      <c r="K20" s="137" t="s">
        <v>328</v>
      </c>
      <c r="L20" s="191" t="str" cm="1">
        <f t="array" ref="L20:S22">IFERROR(
    _xlfn.WRAPCOLS(
        _xlfn.TOCOL(
            INDEX(
                _xlfn._xlws.FILTER(
                    _xlfn.UNIQUE(_xlfn.HSTACK(LineEntry, DateEntry, PayIDEntry)),
                    _xlfn.BYROW(_xlfn.UNIQUE(_xlfn.HSTACK(LineEntry, DateEntry, PayIDEntry)), _xlfn.LAMBDA(_xlpm.row, SUM(_xlpm.row)&lt;&gt;0))
                ),
                _xlfn.SEQUENCE(8,1),
                {1,2,3}
            )
        ),
        3
    ),
    ""
)</f>
        <v>A</v>
      </c>
      <c r="M20" s="192">
        <v>205</v>
      </c>
      <c r="N20" s="192">
        <v>112</v>
      </c>
      <c r="O20" s="192">
        <v>204</v>
      </c>
      <c r="P20" s="192">
        <v>1</v>
      </c>
      <c r="Q20" s="192">
        <v>5</v>
      </c>
      <c r="R20" s="192">
        <v>6</v>
      </c>
      <c r="S20" s="192">
        <v>115</v>
      </c>
      <c r="T20" s="193"/>
      <c r="V20" s="137" t="s">
        <v>328</v>
      </c>
      <c r="W20" s="134" cm="1">
        <f t="array" ref="W20:AE22">TRANSPOSE(_xlfn._xlws.SORT(TRANSPOSE(L20:T22), 1, TRUE))</f>
        <v>1</v>
      </c>
      <c r="X20" s="134">
        <v>5</v>
      </c>
      <c r="Y20" s="134">
        <v>6</v>
      </c>
      <c r="Z20" s="134">
        <v>112</v>
      </c>
      <c r="AA20" s="134">
        <v>115</v>
      </c>
      <c r="AB20" s="134">
        <v>204</v>
      </c>
      <c r="AC20" s="134">
        <v>205</v>
      </c>
      <c r="AD20" s="134" t="str">
        <v>A</v>
      </c>
      <c r="AE20" s="134">
        <v>0</v>
      </c>
      <c r="AL20" s="208" t="s">
        <v>333</v>
      </c>
      <c r="AM20" s="208"/>
      <c r="AN20" s="208"/>
      <c r="AO20" s="208"/>
      <c r="AP20" s="208"/>
      <c r="AQ20" s="208"/>
      <c r="AR20" s="4" t="s">
        <v>334</v>
      </c>
    </row>
    <row r="21" spans="1:50" s="3" customFormat="1" ht="16" customHeight="1">
      <c r="A21" s="46"/>
      <c r="B21" s="91"/>
      <c r="C21" s="56"/>
      <c r="D21" s="56"/>
      <c r="E21" s="56"/>
      <c r="F21" s="56"/>
      <c r="G21" s="56"/>
      <c r="H21" s="56"/>
      <c r="I21" s="93"/>
      <c r="K21" s="137" t="s">
        <v>329</v>
      </c>
      <c r="L21" s="194">
        <v>45849</v>
      </c>
      <c r="M21" s="195">
        <v>45849</v>
      </c>
      <c r="N21" s="195">
        <v>45848</v>
      </c>
      <c r="O21" s="195">
        <v>45849</v>
      </c>
      <c r="P21" s="195">
        <v>45849</v>
      </c>
      <c r="Q21" s="195">
        <v>45849</v>
      </c>
      <c r="R21" s="195">
        <v>45849</v>
      </c>
      <c r="S21" s="195">
        <v>45849</v>
      </c>
      <c r="T21" s="196"/>
      <c r="V21" s="137" t="s">
        <v>329</v>
      </c>
      <c r="W21" s="135">
        <v>45849</v>
      </c>
      <c r="X21" s="135">
        <v>45849</v>
      </c>
      <c r="Y21" s="135">
        <v>45849</v>
      </c>
      <c r="Z21" s="135">
        <v>45848</v>
      </c>
      <c r="AA21" s="135">
        <v>45849</v>
      </c>
      <c r="AB21" s="135">
        <v>45849</v>
      </c>
      <c r="AC21" s="135">
        <v>45849</v>
      </c>
      <c r="AD21" s="135">
        <v>45849</v>
      </c>
      <c r="AE21" s="135">
        <v>0</v>
      </c>
      <c r="AL21" s="144" t="str" cm="1">
        <f t="array" ref="AL21:AQ23">IFERROR(
    _xlfn.WRAPCOLS(
        _xlfn.TOCOL(
            INDEX(
                _xlfn._xlws.FILTER(
                    _xlfn.UNIQUE(_xlfn.HSTACK(LineEntryOld3, DateEntryOld3, PayIDEntryOld3)),
                    _xlfn.BYROW(_xlfn.UNIQUE(_xlfn.HSTACK(LineEntryOld3, DateEntryOld3, PayIDEntryOld3)), _xlfn.LAMBDA(_xlpm.row, SUM(_xlpm.row)&lt;&gt;0))
                ),
                _xlfn.SEQUENCE(6,1),
                {1,2,3}
            )
        ),
        3
    ),
    ""
)</f>
        <v>A</v>
      </c>
      <c r="AM21" s="145">
        <v>205</v>
      </c>
      <c r="AN21" s="145">
        <v>112</v>
      </c>
      <c r="AO21" s="145">
        <v>204</v>
      </c>
      <c r="AP21" s="145">
        <v>1</v>
      </c>
      <c r="AQ21" s="146">
        <v>5</v>
      </c>
      <c r="AR21" s="3" cm="1">
        <f t="array" ref="AR21">SUMPRODUCT(--(TRIM(AL21:AQ21)&lt;&gt;""))</f>
        <v>6</v>
      </c>
      <c r="AS21" s="3" cm="1">
        <f t="array" ref="AS21:AX23">_xlfn._xlws.SORT(AL21:AQ23, 1, TRUE, FALSE)</f>
        <v>45849</v>
      </c>
      <c r="AT21" s="3">
        <v>45849</v>
      </c>
      <c r="AU21" s="3">
        <v>45848</v>
      </c>
      <c r="AV21" s="3">
        <v>45849</v>
      </c>
      <c r="AW21" s="3">
        <v>45849</v>
      </c>
      <c r="AX21" s="3">
        <v>45849</v>
      </c>
    </row>
    <row r="22" spans="1:50" ht="30" customHeight="1" thickBot="1">
      <c r="A22" s="42"/>
      <c r="B22" s="212"/>
      <c r="C22" s="213"/>
      <c r="D22" s="214"/>
      <c r="E22" s="214"/>
      <c r="F22" s="214"/>
      <c r="G22" s="214"/>
      <c r="H22" s="214"/>
      <c r="I22" s="215"/>
      <c r="K22" s="137" t="s">
        <v>330</v>
      </c>
      <c r="L22" s="197" t="str">
        <v>CC 2456</v>
      </c>
      <c r="M22" s="198" t="str">
        <v>CC 2456</v>
      </c>
      <c r="N22" s="198" t="str">
        <v>CHK 101</v>
      </c>
      <c r="O22" s="198" t="str">
        <v>CC 2456</v>
      </c>
      <c r="P22" s="198" t="str">
        <v>CASH</v>
      </c>
      <c r="Q22" s="198" t="str">
        <v>CC 2456</v>
      </c>
      <c r="R22" s="198" t="str">
        <v>CC 2456</v>
      </c>
      <c r="S22" s="198" t="str">
        <v>CC 2456</v>
      </c>
      <c r="T22" s="199"/>
      <c r="V22" s="137" t="s">
        <v>330</v>
      </c>
      <c r="W22" s="200" t="str">
        <v>CASH</v>
      </c>
      <c r="X22" s="200" t="str">
        <v>CC 2456</v>
      </c>
      <c r="Y22" s="200" t="str">
        <v>CC 2456</v>
      </c>
      <c r="Z22" s="200" t="str">
        <v>CHK 101</v>
      </c>
      <c r="AA22" s="200" t="str">
        <v>CC 2456</v>
      </c>
      <c r="AB22" s="200" t="str">
        <v>CC 2456</v>
      </c>
      <c r="AC22" s="200" t="str">
        <v>CC 2456</v>
      </c>
      <c r="AD22" s="200" t="str">
        <v>CC 2456</v>
      </c>
      <c r="AE22" s="136">
        <v>0</v>
      </c>
      <c r="AL22" s="46">
        <v>45849</v>
      </c>
      <c r="AM22" s="3">
        <v>45849</v>
      </c>
      <c r="AN22" s="3">
        <v>45848</v>
      </c>
      <c r="AO22" s="3">
        <v>45849</v>
      </c>
      <c r="AP22" s="3">
        <v>45849</v>
      </c>
      <c r="AQ22" s="147">
        <v>45849</v>
      </c>
      <c r="AR22" s="3"/>
      <c r="AS22" s="190" t="str">
        <v>A</v>
      </c>
      <c r="AT22" s="190">
        <v>205</v>
      </c>
      <c r="AU22" s="190">
        <v>112</v>
      </c>
      <c r="AV22" s="190">
        <v>204</v>
      </c>
      <c r="AW22" s="190">
        <v>1</v>
      </c>
      <c r="AX22" s="190">
        <v>5</v>
      </c>
    </row>
    <row r="23" spans="1:50" s="4" customFormat="1" ht="16" customHeight="1" thickBot="1">
      <c r="A23" s="48"/>
      <c r="B23" s="94" t="s">
        <v>4</v>
      </c>
      <c r="C23" s="216" t="s">
        <v>3</v>
      </c>
      <c r="D23" s="217"/>
      <c r="E23" s="65" t="s">
        <v>12</v>
      </c>
      <c r="F23" s="65" t="s">
        <v>18</v>
      </c>
      <c r="G23" s="65" t="s">
        <v>2</v>
      </c>
      <c r="H23" s="65" t="s">
        <v>1</v>
      </c>
      <c r="I23" s="95" t="s">
        <v>0</v>
      </c>
      <c r="W23" s="118" t="s">
        <v>314</v>
      </c>
      <c r="X23" s="118" t="s">
        <v>325</v>
      </c>
      <c r="Y23" s="118" t="s">
        <v>315</v>
      </c>
      <c r="Z23" s="118" t="s">
        <v>316</v>
      </c>
      <c r="AA23" s="118" t="s">
        <v>317</v>
      </c>
      <c r="AB23" s="118" t="s">
        <v>318</v>
      </c>
      <c r="AC23" s="118" t="s">
        <v>341</v>
      </c>
      <c r="AD23" s="118" t="s">
        <v>340</v>
      </c>
      <c r="AE23" s="118" t="s">
        <v>339</v>
      </c>
      <c r="AL23" s="62" t="str">
        <v>CC 2456</v>
      </c>
      <c r="AM23" s="63" t="str">
        <v>CC 2456</v>
      </c>
      <c r="AN23" s="63" t="str">
        <v>CHK 101</v>
      </c>
      <c r="AO23" s="63" t="str">
        <v>CC 2456</v>
      </c>
      <c r="AP23" s="63" t="str">
        <v>CASH</v>
      </c>
      <c r="AQ23" s="64" t="str">
        <v>CC 2456</v>
      </c>
      <c r="AR23" s="1"/>
      <c r="AS23" s="4" t="str">
        <v>CC 2456</v>
      </c>
      <c r="AT23" s="4" t="str">
        <v>CC 2456</v>
      </c>
      <c r="AU23" s="4" t="str">
        <v>CHK 101</v>
      </c>
      <c r="AV23" s="4" t="str">
        <v>CC 2456</v>
      </c>
      <c r="AW23" s="4" t="str">
        <v>CASH</v>
      </c>
      <c r="AX23" s="4" t="str">
        <v>CC 2456</v>
      </c>
    </row>
    <row r="24" spans="1:50" s="4" customFormat="1" ht="16" customHeight="1">
      <c r="A24" s="48"/>
      <c r="B24" s="122" t="s">
        <v>22</v>
      </c>
      <c r="C24" s="209" t="s">
        <v>312</v>
      </c>
      <c r="D24" s="210"/>
      <c r="E24" s="116">
        <v>45849</v>
      </c>
      <c r="F24" s="124" t="s">
        <v>313</v>
      </c>
      <c r="G24" s="6">
        <v>1</v>
      </c>
      <c r="H24" s="5">
        <v>100</v>
      </c>
      <c r="I24" s="96">
        <f>G24*H24</f>
        <v>100</v>
      </c>
      <c r="W24" s="133" t="str">
        <f>IF($B24="", "", IF(AND($I24, $B24=W$20, $E24=W$21, $F24=W$22, SUM($I$24)&gt;0), $I24, ""))</f>
        <v/>
      </c>
      <c r="X24" s="133" t="str">
        <f t="shared" ref="X24:AE24" si="0">IF($B24="", "", IF(AND($I24, $B24=X$20, $E24=X$21, $F24=X$22, SUM($I$24)&gt;0), $I24, ""))</f>
        <v/>
      </c>
      <c r="Y24" s="133" t="str">
        <f t="shared" si="0"/>
        <v/>
      </c>
      <c r="Z24" s="133" t="str">
        <f>IF($B24="", "", IF(AND($I24, $B24=Z$20, $E24=Z$21, $F24=Z$22, SUM($I$24)&gt;0), $I24, ""))</f>
        <v/>
      </c>
      <c r="AA24" s="133" t="str">
        <f t="shared" si="0"/>
        <v/>
      </c>
      <c r="AB24" s="133" t="str">
        <f t="shared" si="0"/>
        <v/>
      </c>
      <c r="AC24" s="133" t="str">
        <f t="shared" si="0"/>
        <v/>
      </c>
      <c r="AD24" s="133">
        <f t="shared" si="0"/>
        <v>100</v>
      </c>
      <c r="AE24" s="133" t="str">
        <f t="shared" si="0"/>
        <v/>
      </c>
    </row>
    <row r="25" spans="1:50" s="4" customFormat="1" ht="16" customHeight="1">
      <c r="A25" s="48"/>
      <c r="B25" s="122">
        <v>205</v>
      </c>
      <c r="C25" s="209"/>
      <c r="D25" s="210"/>
      <c r="E25" s="116">
        <v>45849</v>
      </c>
      <c r="F25" s="124" t="s">
        <v>313</v>
      </c>
      <c r="G25" s="6">
        <v>1</v>
      </c>
      <c r="H25" s="5">
        <v>50</v>
      </c>
      <c r="I25" s="96">
        <f t="shared" ref="I25:I35" si="1">G25*H25</f>
        <v>50</v>
      </c>
      <c r="W25" s="133" t="str">
        <f t="shared" ref="W25:AE35" si="2">IF($B25="", "", IF(AND($I25, $B25=W$20, $E25=W$21, $F25=W$22, SUM($I$24)&gt;0), $I25, ""))</f>
        <v/>
      </c>
      <c r="X25" s="133" t="str">
        <f t="shared" si="2"/>
        <v/>
      </c>
      <c r="Y25" s="133" t="str">
        <f t="shared" si="2"/>
        <v/>
      </c>
      <c r="Z25" s="133" t="str">
        <f t="shared" si="2"/>
        <v/>
      </c>
      <c r="AA25" s="133" t="str">
        <f t="shared" si="2"/>
        <v/>
      </c>
      <c r="AB25" s="133" t="str">
        <f t="shared" si="2"/>
        <v/>
      </c>
      <c r="AC25" s="133">
        <f t="shared" si="2"/>
        <v>50</v>
      </c>
      <c r="AD25" s="133" t="str">
        <f t="shared" si="2"/>
        <v/>
      </c>
      <c r="AE25" s="133" t="str">
        <f t="shared" si="2"/>
        <v/>
      </c>
    </row>
    <row r="26" spans="1:50" s="4" customFormat="1" ht="16" customHeight="1">
      <c r="A26" s="48"/>
      <c r="B26" s="122">
        <v>112</v>
      </c>
      <c r="C26" s="209" t="s">
        <v>326</v>
      </c>
      <c r="D26" s="210"/>
      <c r="E26" s="116">
        <v>45848</v>
      </c>
      <c r="F26" s="124" t="s">
        <v>327</v>
      </c>
      <c r="G26" s="6">
        <v>1</v>
      </c>
      <c r="H26" s="5">
        <v>1000</v>
      </c>
      <c r="I26" s="96">
        <f t="shared" si="1"/>
        <v>1000</v>
      </c>
      <c r="W26" s="133" t="str">
        <f t="shared" si="2"/>
        <v/>
      </c>
      <c r="X26" s="133" t="str">
        <f t="shared" si="2"/>
        <v/>
      </c>
      <c r="Y26" s="133" t="str">
        <f t="shared" si="2"/>
        <v/>
      </c>
      <c r="Z26" s="133">
        <f t="shared" si="2"/>
        <v>1000</v>
      </c>
      <c r="AA26" s="133" t="str">
        <f t="shared" si="2"/>
        <v/>
      </c>
      <c r="AB26" s="133" t="str">
        <f t="shared" si="2"/>
        <v/>
      </c>
      <c r="AC26" s="133" t="str">
        <f t="shared" si="2"/>
        <v/>
      </c>
      <c r="AD26" s="133" t="str">
        <f t="shared" si="2"/>
        <v/>
      </c>
      <c r="AE26" s="133" t="str">
        <f t="shared" si="2"/>
        <v/>
      </c>
    </row>
    <row r="27" spans="1:50" s="4" customFormat="1" ht="16">
      <c r="A27" s="48"/>
      <c r="B27" s="122">
        <v>204</v>
      </c>
      <c r="C27" s="209" t="s">
        <v>312</v>
      </c>
      <c r="D27" s="210"/>
      <c r="E27" s="116">
        <v>45849</v>
      </c>
      <c r="F27" s="124" t="s">
        <v>313</v>
      </c>
      <c r="G27" s="6">
        <v>1</v>
      </c>
      <c r="H27" s="5">
        <v>100</v>
      </c>
      <c r="I27" s="96">
        <f t="shared" si="1"/>
        <v>100</v>
      </c>
      <c r="W27" s="133" t="str">
        <f t="shared" si="2"/>
        <v/>
      </c>
      <c r="X27" s="133" t="str">
        <f t="shared" si="2"/>
        <v/>
      </c>
      <c r="Y27" s="133" t="str">
        <f t="shared" si="2"/>
        <v/>
      </c>
      <c r="Z27" s="133" t="str">
        <f t="shared" si="2"/>
        <v/>
      </c>
      <c r="AA27" s="133" t="str">
        <f t="shared" si="2"/>
        <v/>
      </c>
      <c r="AB27" s="133">
        <f t="shared" si="2"/>
        <v>100</v>
      </c>
      <c r="AC27" s="133" t="str">
        <f t="shared" si="2"/>
        <v/>
      </c>
      <c r="AD27" s="133" t="str">
        <f t="shared" si="2"/>
        <v/>
      </c>
      <c r="AE27" s="133" t="str">
        <f t="shared" si="2"/>
        <v/>
      </c>
    </row>
    <row r="28" spans="1:50" s="4" customFormat="1" ht="16" customHeight="1">
      <c r="A28" s="48"/>
      <c r="B28" s="122">
        <v>1</v>
      </c>
      <c r="C28" s="209" t="s">
        <v>336</v>
      </c>
      <c r="D28" s="210"/>
      <c r="E28" s="116">
        <v>45849</v>
      </c>
      <c r="F28" s="124" t="s">
        <v>5</v>
      </c>
      <c r="G28" s="6">
        <v>1</v>
      </c>
      <c r="H28" s="5">
        <v>1000</v>
      </c>
      <c r="I28" s="96">
        <f t="shared" si="1"/>
        <v>1000</v>
      </c>
      <c r="W28" s="133">
        <f t="shared" si="2"/>
        <v>1000</v>
      </c>
      <c r="X28" s="133" t="str">
        <f t="shared" si="2"/>
        <v/>
      </c>
      <c r="Y28" s="133" t="str">
        <f t="shared" si="2"/>
        <v/>
      </c>
      <c r="Z28" s="133" t="str">
        <f t="shared" si="2"/>
        <v/>
      </c>
      <c r="AA28" s="133" t="str">
        <f t="shared" si="2"/>
        <v/>
      </c>
      <c r="AB28" s="133" t="str">
        <f t="shared" si="2"/>
        <v/>
      </c>
      <c r="AC28" s="133" t="str">
        <f t="shared" si="2"/>
        <v/>
      </c>
      <c r="AD28" s="133" t="str">
        <f t="shared" si="2"/>
        <v/>
      </c>
      <c r="AE28" s="133" t="str">
        <f t="shared" si="2"/>
        <v/>
      </c>
    </row>
    <row r="29" spans="1:50" s="4" customFormat="1" ht="16" customHeight="1">
      <c r="A29" s="48"/>
      <c r="B29" s="122">
        <v>5</v>
      </c>
      <c r="C29" s="209" t="s">
        <v>312</v>
      </c>
      <c r="D29" s="210"/>
      <c r="E29" s="116">
        <v>45849</v>
      </c>
      <c r="F29" s="124" t="s">
        <v>313</v>
      </c>
      <c r="G29" s="6">
        <v>1</v>
      </c>
      <c r="H29" s="5">
        <v>100</v>
      </c>
      <c r="I29" s="96">
        <f t="shared" si="1"/>
        <v>100</v>
      </c>
      <c r="W29" s="133" t="str">
        <f t="shared" si="2"/>
        <v/>
      </c>
      <c r="X29" s="133">
        <f t="shared" si="2"/>
        <v>100</v>
      </c>
      <c r="Y29" s="133" t="str">
        <f t="shared" si="2"/>
        <v/>
      </c>
      <c r="Z29" s="133" t="str">
        <f t="shared" si="2"/>
        <v/>
      </c>
      <c r="AA29" s="133" t="str">
        <f t="shared" si="2"/>
        <v/>
      </c>
      <c r="AB29" s="133" t="str">
        <f t="shared" si="2"/>
        <v/>
      </c>
      <c r="AC29" s="133" t="str">
        <f t="shared" si="2"/>
        <v/>
      </c>
      <c r="AD29" s="133" t="str">
        <f t="shared" si="2"/>
        <v/>
      </c>
      <c r="AE29" s="133" t="str">
        <f t="shared" si="2"/>
        <v/>
      </c>
    </row>
    <row r="30" spans="1:50" s="4" customFormat="1" ht="16" customHeight="1">
      <c r="A30" s="48"/>
      <c r="B30" s="122">
        <v>6</v>
      </c>
      <c r="C30" s="209" t="s">
        <v>312</v>
      </c>
      <c r="D30" s="210"/>
      <c r="E30" s="116">
        <v>45849</v>
      </c>
      <c r="F30" s="124" t="s">
        <v>313</v>
      </c>
      <c r="G30" s="6">
        <v>1</v>
      </c>
      <c r="H30" s="5">
        <v>100</v>
      </c>
      <c r="I30" s="96">
        <f t="shared" si="1"/>
        <v>100</v>
      </c>
      <c r="W30" s="133" t="str">
        <f t="shared" si="2"/>
        <v/>
      </c>
      <c r="X30" s="133" t="str">
        <f t="shared" si="2"/>
        <v/>
      </c>
      <c r="Y30" s="133">
        <f t="shared" si="2"/>
        <v>100</v>
      </c>
      <c r="Z30" s="133" t="str">
        <f t="shared" si="2"/>
        <v/>
      </c>
      <c r="AA30" s="133" t="str">
        <f t="shared" si="2"/>
        <v/>
      </c>
      <c r="AB30" s="133" t="str">
        <f t="shared" si="2"/>
        <v/>
      </c>
      <c r="AC30" s="133" t="str">
        <f t="shared" si="2"/>
        <v/>
      </c>
      <c r="AD30" s="133" t="str">
        <f t="shared" si="2"/>
        <v/>
      </c>
      <c r="AE30" s="133" t="str">
        <f t="shared" si="2"/>
        <v/>
      </c>
    </row>
    <row r="31" spans="1:50" s="4" customFormat="1" ht="16" customHeight="1">
      <c r="A31" s="48"/>
      <c r="B31" s="122">
        <v>204</v>
      </c>
      <c r="C31" s="209" t="s">
        <v>312</v>
      </c>
      <c r="D31" s="210"/>
      <c r="E31" s="116">
        <v>45849</v>
      </c>
      <c r="F31" s="124" t="s">
        <v>313</v>
      </c>
      <c r="G31" s="6">
        <v>1</v>
      </c>
      <c r="H31" s="5">
        <v>100</v>
      </c>
      <c r="I31" s="96">
        <f t="shared" si="1"/>
        <v>100</v>
      </c>
      <c r="W31" s="133" t="str">
        <f t="shared" si="2"/>
        <v/>
      </c>
      <c r="X31" s="133" t="str">
        <f t="shared" si="2"/>
        <v/>
      </c>
      <c r="Y31" s="133" t="str">
        <f t="shared" si="2"/>
        <v/>
      </c>
      <c r="Z31" s="133" t="str">
        <f t="shared" si="2"/>
        <v/>
      </c>
      <c r="AA31" s="133" t="str">
        <f t="shared" si="2"/>
        <v/>
      </c>
      <c r="AB31" s="133">
        <f t="shared" si="2"/>
        <v>100</v>
      </c>
      <c r="AC31" s="133" t="str">
        <f t="shared" si="2"/>
        <v/>
      </c>
      <c r="AD31" s="133" t="str">
        <f t="shared" si="2"/>
        <v/>
      </c>
      <c r="AE31" s="133" t="str">
        <f t="shared" si="2"/>
        <v/>
      </c>
    </row>
    <row r="32" spans="1:50" s="4" customFormat="1" ht="16" customHeight="1">
      <c r="A32" s="48"/>
      <c r="B32" s="122">
        <v>115</v>
      </c>
      <c r="C32" s="209" t="s">
        <v>312</v>
      </c>
      <c r="D32" s="210"/>
      <c r="E32" s="116">
        <v>45849</v>
      </c>
      <c r="F32" s="124" t="s">
        <v>313</v>
      </c>
      <c r="G32" s="6">
        <v>1</v>
      </c>
      <c r="H32" s="5">
        <v>100</v>
      </c>
      <c r="I32" s="96">
        <f t="shared" si="1"/>
        <v>100</v>
      </c>
      <c r="W32" s="133" t="str">
        <f t="shared" si="2"/>
        <v/>
      </c>
      <c r="X32" s="133" t="str">
        <f t="shared" si="2"/>
        <v/>
      </c>
      <c r="Y32" s="133" t="str">
        <f t="shared" si="2"/>
        <v/>
      </c>
      <c r="Z32" s="133" t="str">
        <f t="shared" si="2"/>
        <v/>
      </c>
      <c r="AA32" s="133">
        <f t="shared" si="2"/>
        <v>100</v>
      </c>
      <c r="AB32" s="133" t="str">
        <f t="shared" si="2"/>
        <v/>
      </c>
      <c r="AC32" s="133" t="str">
        <f t="shared" si="2"/>
        <v/>
      </c>
      <c r="AD32" s="133" t="str">
        <f t="shared" si="2"/>
        <v/>
      </c>
      <c r="AE32" s="133" t="str">
        <f t="shared" si="2"/>
        <v/>
      </c>
    </row>
    <row r="33" spans="1:31" s="4" customFormat="1" ht="16" customHeight="1">
      <c r="A33" s="48"/>
      <c r="B33" s="122">
        <v>206</v>
      </c>
      <c r="C33" s="209" t="s">
        <v>312</v>
      </c>
      <c r="D33" s="210"/>
      <c r="E33" s="116">
        <v>45849</v>
      </c>
      <c r="F33" s="124" t="s">
        <v>313</v>
      </c>
      <c r="G33" s="6">
        <v>1</v>
      </c>
      <c r="H33" s="5">
        <v>100</v>
      </c>
      <c r="I33" s="96">
        <f t="shared" si="1"/>
        <v>100</v>
      </c>
      <c r="W33" s="133" t="str">
        <f t="shared" si="2"/>
        <v/>
      </c>
      <c r="X33" s="133" t="str">
        <f t="shared" si="2"/>
        <v/>
      </c>
      <c r="Y33" s="133" t="str">
        <f t="shared" si="2"/>
        <v/>
      </c>
      <c r="Z33" s="133" t="str">
        <f t="shared" si="2"/>
        <v/>
      </c>
      <c r="AA33" s="133" t="str">
        <f t="shared" si="2"/>
        <v/>
      </c>
      <c r="AB33" s="133" t="str">
        <f t="shared" si="2"/>
        <v/>
      </c>
      <c r="AC33" s="133" t="str">
        <f t="shared" si="2"/>
        <v/>
      </c>
      <c r="AD33" s="133" t="str">
        <f t="shared" si="2"/>
        <v/>
      </c>
      <c r="AE33" s="133" t="str">
        <f t="shared" si="2"/>
        <v/>
      </c>
    </row>
    <row r="34" spans="1:31" s="4" customFormat="1" ht="16" customHeight="1">
      <c r="A34" s="48"/>
      <c r="B34" s="122">
        <v>204</v>
      </c>
      <c r="C34" s="209" t="s">
        <v>312</v>
      </c>
      <c r="D34" s="210"/>
      <c r="E34" s="116">
        <v>45849</v>
      </c>
      <c r="F34" s="124" t="s">
        <v>313</v>
      </c>
      <c r="G34" s="6">
        <v>1</v>
      </c>
      <c r="H34" s="5">
        <v>100</v>
      </c>
      <c r="I34" s="96">
        <f t="shared" si="1"/>
        <v>100</v>
      </c>
      <c r="W34" s="133" t="str">
        <f t="shared" si="2"/>
        <v/>
      </c>
      <c r="X34" s="133" t="str">
        <f t="shared" si="2"/>
        <v/>
      </c>
      <c r="Y34" s="133" t="str">
        <f t="shared" si="2"/>
        <v/>
      </c>
      <c r="Z34" s="133" t="str">
        <f t="shared" si="2"/>
        <v/>
      </c>
      <c r="AA34" s="133" t="str">
        <f t="shared" si="2"/>
        <v/>
      </c>
      <c r="AB34" s="133">
        <f t="shared" si="2"/>
        <v>100</v>
      </c>
      <c r="AC34" s="133" t="str">
        <f t="shared" si="2"/>
        <v/>
      </c>
      <c r="AD34" s="133" t="str">
        <f t="shared" si="2"/>
        <v/>
      </c>
      <c r="AE34" s="133" t="str">
        <f t="shared" si="2"/>
        <v/>
      </c>
    </row>
    <row r="35" spans="1:31" s="4" customFormat="1" ht="16" customHeight="1" thickBot="1">
      <c r="A35" s="48"/>
      <c r="B35" s="123"/>
      <c r="C35" s="227"/>
      <c r="D35" s="228"/>
      <c r="E35" s="66"/>
      <c r="F35" s="125"/>
      <c r="G35" s="66"/>
      <c r="H35" s="67"/>
      <c r="I35" s="97">
        <f t="shared" si="1"/>
        <v>0</v>
      </c>
      <c r="W35" s="4" t="str">
        <f t="shared" si="2"/>
        <v/>
      </c>
      <c r="X35" s="4" t="str">
        <f t="shared" si="2"/>
        <v/>
      </c>
      <c r="Y35" s="4" t="str">
        <f t="shared" si="2"/>
        <v/>
      </c>
      <c r="Z35" s="4" t="str">
        <f t="shared" si="2"/>
        <v/>
      </c>
      <c r="AA35" s="4" t="str">
        <f t="shared" si="2"/>
        <v/>
      </c>
      <c r="AB35" s="4" t="str">
        <f t="shared" si="2"/>
        <v/>
      </c>
      <c r="AC35" s="4" t="str">
        <f t="shared" si="2"/>
        <v/>
      </c>
      <c r="AD35" s="4" t="str">
        <f t="shared" si="2"/>
        <v/>
      </c>
      <c r="AE35" s="4" t="str">
        <f t="shared" si="2"/>
        <v/>
      </c>
    </row>
    <row r="36" spans="1:31" s="4" customFormat="1" ht="16" customHeight="1" thickBot="1">
      <c r="A36" s="48"/>
      <c r="B36" s="98"/>
      <c r="C36" s="68"/>
      <c r="D36" s="68"/>
      <c r="E36" s="68"/>
      <c r="F36" s="68"/>
      <c r="G36" s="69"/>
      <c r="H36" s="69"/>
      <c r="I36" s="99"/>
      <c r="W36" s="138">
        <f>IF(SUM(W24:W35), SUM(W24:W35),"")</f>
        <v>1000</v>
      </c>
      <c r="X36" s="139">
        <f t="shared" ref="X36:AE36" si="3">IF(SUM(X24:X35), SUM(X24:X35),"")</f>
        <v>100</v>
      </c>
      <c r="Y36" s="140">
        <f t="shared" si="3"/>
        <v>100</v>
      </c>
      <c r="Z36" s="140">
        <f>IF(SUM(Z24:Z35), SUM(Z24:Z35),"")</f>
        <v>1000</v>
      </c>
      <c r="AA36" s="140">
        <f t="shared" si="3"/>
        <v>100</v>
      </c>
      <c r="AB36" s="141">
        <f t="shared" si="3"/>
        <v>300</v>
      </c>
      <c r="AC36" s="141">
        <f t="shared" si="3"/>
        <v>50</v>
      </c>
      <c r="AD36" s="141">
        <f t="shared" si="3"/>
        <v>100</v>
      </c>
      <c r="AE36" s="141" t="str">
        <f t="shared" si="3"/>
        <v/>
      </c>
    </row>
    <row r="37" spans="1:31" s="4" customFormat="1" ht="16" customHeight="1" thickBot="1">
      <c r="A37" s="48"/>
      <c r="B37" s="100" t="s">
        <v>263</v>
      </c>
      <c r="C37" s="2"/>
      <c r="D37" s="2"/>
      <c r="E37" s="58"/>
      <c r="F37" s="59"/>
      <c r="G37" s="107" t="s">
        <v>261</v>
      </c>
      <c r="H37" s="108"/>
      <c r="I37" s="109">
        <f>SUM(I23:I35)</f>
        <v>2850</v>
      </c>
      <c r="W37" s="129" t="s">
        <v>314</v>
      </c>
      <c r="X37" s="130" t="s">
        <v>325</v>
      </c>
      <c r="Y37" s="131" t="s">
        <v>315</v>
      </c>
      <c r="Z37" s="131" t="s">
        <v>316</v>
      </c>
      <c r="AA37" s="131" t="s">
        <v>317</v>
      </c>
      <c r="AB37" s="132" t="s">
        <v>318</v>
      </c>
      <c r="AC37" s="118" t="s">
        <v>341</v>
      </c>
      <c r="AD37" s="118" t="s">
        <v>340</v>
      </c>
      <c r="AE37" s="118" t="s">
        <v>339</v>
      </c>
    </row>
    <row r="38" spans="1:31" s="4" customFormat="1" ht="16" customHeight="1" thickBot="1">
      <c r="A38" s="48"/>
      <c r="B38" s="100"/>
      <c r="C38" s="211"/>
      <c r="D38" s="211"/>
      <c r="E38" s="61"/>
      <c r="F38" s="60"/>
      <c r="G38" s="110"/>
      <c r="H38" s="57"/>
      <c r="I38" s="101"/>
    </row>
    <row r="39" spans="1:31" s="4" customFormat="1" ht="16" customHeight="1">
      <c r="A39" s="48"/>
      <c r="B39" s="100"/>
      <c r="C39" s="1"/>
      <c r="D39" s="1"/>
      <c r="E39" s="60"/>
      <c r="F39" s="60"/>
      <c r="G39" s="110" t="s">
        <v>260</v>
      </c>
      <c r="H39" s="60" t="s">
        <v>262</v>
      </c>
      <c r="I39" s="102"/>
      <c r="W39" s="229" t="s">
        <v>331</v>
      </c>
      <c r="X39" s="230"/>
      <c r="Y39" s="230"/>
      <c r="Z39" s="230"/>
      <c r="AA39" s="230"/>
      <c r="AB39" s="230"/>
      <c r="AC39" s="231"/>
    </row>
    <row r="40" spans="1:31" ht="16" customHeight="1" thickBot="1">
      <c r="A40" s="42"/>
      <c r="B40" s="100" t="s">
        <v>264</v>
      </c>
      <c r="C40" s="2"/>
      <c r="D40" s="2"/>
      <c r="E40" s="59"/>
      <c r="F40" s="59"/>
      <c r="G40" s="110" t="s">
        <v>21</v>
      </c>
      <c r="H40" s="60"/>
      <c r="I40" s="103">
        <f>SUM(I37:I39)</f>
        <v>2850</v>
      </c>
      <c r="W40" s="169" t="s">
        <v>337</v>
      </c>
      <c r="X40" s="149" t="s">
        <v>4</v>
      </c>
      <c r="Y40" s="170" t="s">
        <v>16</v>
      </c>
      <c r="Z40" s="170" t="s">
        <v>17</v>
      </c>
      <c r="AA40" s="171" t="s">
        <v>12</v>
      </c>
      <c r="AB40" s="170" t="s">
        <v>18</v>
      </c>
      <c r="AC40" s="172" t="s">
        <v>242</v>
      </c>
      <c r="AD40" s="173" t="s">
        <v>19</v>
      </c>
    </row>
    <row r="41" spans="1:31" ht="16" customHeight="1" thickBot="1">
      <c r="B41" s="104"/>
      <c r="C41" s="105"/>
      <c r="D41" s="105"/>
      <c r="E41" s="105"/>
      <c r="F41" s="105"/>
      <c r="G41" s="104"/>
      <c r="H41" s="105"/>
      <c r="I41" s="106"/>
      <c r="W41" s="165" t="str">
        <f>IF(SUM($W$24:$W$35), "#A","")</f>
        <v>#A</v>
      </c>
      <c r="X41" s="153">
        <f>IF('2499-002'!$W41="#A", W20,"")</f>
        <v>1</v>
      </c>
      <c r="Y41" s="154" t="str">
        <f>IF('2499-002'!$W41="#A", Vendor,"")</f>
        <v>Vendor</v>
      </c>
      <c r="Z41" s="155" t="str">
        <f>IF('2499-002'!$W41="#A", Sheet_PO,"")</f>
        <v>2499-002</v>
      </c>
      <c r="AA41" s="156">
        <f>IF('2499-002'!$W41="#A", W$21,"")</f>
        <v>45849</v>
      </c>
      <c r="AB41" s="155" t="str">
        <f>IF('2499-002'!$W41="#A", W$22,"")</f>
        <v>CASH</v>
      </c>
      <c r="AC41" s="157">
        <f>IF('2499-002'!$W41="#A", W$36,"")</f>
        <v>1000</v>
      </c>
      <c r="AD41" s="155" t="str">
        <f>IF('2499-002'!$W41="#A",
      INDEX('Line No'!$B$1:$B$342, MATCH('2499-002'!$X41, 'Line No'!$A$1:$A$342, 0)),
      "")</f>
        <v>Line Producer</v>
      </c>
    </row>
    <row r="42" spans="1:31" ht="16" customHeight="1">
      <c r="W42" s="166" t="str">
        <f>IF(SUM($X$24:$X$34), "#B", "")</f>
        <v>#B</v>
      </c>
      <c r="X42" s="158">
        <f>IF('2499-002'!$W42="#B", X20,"")</f>
        <v>5</v>
      </c>
      <c r="Y42" s="158" t="str">
        <f>IF('2499-002'!$W42="#B", Vendor,"")</f>
        <v>Vendor</v>
      </c>
      <c r="Z42" s="158" t="str">
        <f>IF('2499-002'!$W42="#B", Sheet_PO,"")</f>
        <v>2499-002</v>
      </c>
      <c r="AA42" s="159">
        <f>IF('2499-002'!$W42="#B", X21,"")</f>
        <v>45849</v>
      </c>
      <c r="AB42" s="158" t="str">
        <f>IF('2499-002'!$W42="#B", X22,"")</f>
        <v>CC 2456</v>
      </c>
      <c r="AC42" s="160">
        <f>IF('2499-002'!$W42="#B", X36,"")</f>
        <v>100</v>
      </c>
      <c r="AD42" s="158" t="str">
        <f>IF('2499-002'!$W42="#B",
      INDEX('Line No'!$B$1:$B$342, MATCH('2499-002'!$X42, 'Line No'!$A$1:$A$342, 0)),
      "")</f>
        <v>1st AC</v>
      </c>
    </row>
    <row r="43" spans="1:31" ht="16" customHeight="1">
      <c r="G43" s="73"/>
      <c r="H43" s="73"/>
      <c r="I43" s="73"/>
      <c r="W43" s="167" t="str">
        <f>IF(SUM($Y$24:$Y$34), "#C", "")</f>
        <v>#C</v>
      </c>
      <c r="X43" s="155">
        <f>IF('2499-002'!$W43="#C", Y20,"")</f>
        <v>6</v>
      </c>
      <c r="Y43" s="154" t="str">
        <f>IF('2499-002'!$W43="#C", Vendor,"")</f>
        <v>Vendor</v>
      </c>
      <c r="Z43" s="155" t="str">
        <f>IF('2499-002'!$W43="#C", Sheet_PO,"")</f>
        <v>2499-002</v>
      </c>
      <c r="AA43" s="156">
        <f>IF('2499-002'!$W43="#C", Y21,"")</f>
        <v>45849</v>
      </c>
      <c r="AB43" s="155" t="str">
        <f>IF('2499-002'!$W43="#C", Y22,"")</f>
        <v>CC 2456</v>
      </c>
      <c r="AC43" s="157">
        <f>IF('2499-002'!$W43="#C", Y36,"")</f>
        <v>100</v>
      </c>
      <c r="AD43" s="155" t="str">
        <f>IF('2499-002'!$W43="#C",
      INDEX('Line No'!$B$1:$B$342, MATCH('2499-002'!$X43, 'Line No'!$A$1:$A$342, 0)),
      "")</f>
        <v>2nd AC</v>
      </c>
    </row>
    <row r="44" spans="1:31" ht="16" customHeight="1">
      <c r="G44" s="73"/>
      <c r="H44" s="128"/>
      <c r="I44" s="73"/>
      <c r="W44" s="168" t="str">
        <f>IF(SUM($Z$24:$Z$34), "#D", "")</f>
        <v>#D</v>
      </c>
      <c r="X44" s="158">
        <f>IF('2499-002'!$W44="#D", Z20,"")</f>
        <v>112</v>
      </c>
      <c r="Y44" s="158" t="str">
        <f>IF('2499-002'!$W44="#D", Vendor,"")</f>
        <v>Vendor</v>
      </c>
      <c r="Z44" s="158" t="str">
        <f>IF('2499-002'!$W44="#D", Sheet_PO,"")</f>
        <v>2499-002</v>
      </c>
      <c r="AA44" s="159">
        <f>IF('2499-002'!$W44="#D", Z21,"")</f>
        <v>45848</v>
      </c>
      <c r="AB44" s="158" t="str">
        <f>IF('2499-002'!$W44="#D", Z22,"")</f>
        <v>CHK 101</v>
      </c>
      <c r="AC44" s="160">
        <f>IF('2499-002'!$W44="#D", Z36,"")</f>
        <v>1000</v>
      </c>
      <c r="AD44" s="158" t="str">
        <f>IF('2499-002'!$W44="#D",
      INDEX('Line No'!$B$1:$B$342, MATCH('2499-002'!$X44, 'Line No'!$A$1:$A$342, 0)),
      "")</f>
        <v>Pre Pro Meals</v>
      </c>
    </row>
    <row r="45" spans="1:31" ht="16" customHeight="1">
      <c r="C45" s="142"/>
      <c r="D45" s="142"/>
      <c r="E45" s="142"/>
      <c r="F45" s="142"/>
      <c r="G45" s="74"/>
      <c r="H45" s="74"/>
      <c r="I45" s="75"/>
      <c r="W45" s="167" t="str">
        <f>IF(SUM($AA$24:$AA$34), "#E", "")</f>
        <v>#E</v>
      </c>
      <c r="X45" s="155">
        <f>IF('2499-002'!$W45="#E", AA20,"")</f>
        <v>115</v>
      </c>
      <c r="Y45" s="154" t="str">
        <f>IF('2499-002'!$W45="#E", Vendor,"")</f>
        <v>Vendor</v>
      </c>
      <c r="Z45" s="155" t="str">
        <f>IF('2499-002'!$W45="#E", Sheet_PO,"")</f>
        <v>2499-002</v>
      </c>
      <c r="AA45" s="156">
        <f>IF('2499-002'!$W45="#E", AA21,"")</f>
        <v>45849</v>
      </c>
      <c r="AB45" s="155" t="str">
        <f>IF('2499-002'!$W45="#E", AA22,"")</f>
        <v>CC 2456</v>
      </c>
      <c r="AC45" s="157">
        <f>IF('2499-002'!$W45="#E", AA36,"")</f>
        <v>100</v>
      </c>
      <c r="AD45" s="155" t="str">
        <f>IF('2499-002'!$W45="#E",
      INDEX('Line No'!$B$1:$B$342, MATCH('2499-002'!$X45, 'Line No'!$A$1:$A$342, 0)),
      "")</f>
        <v>Permit Fees</v>
      </c>
    </row>
    <row r="46" spans="1:31" ht="16" customHeight="1">
      <c r="W46" s="168" t="str">
        <f>IF(SUM($AB$24:$AB$34), "#F", "")</f>
        <v>#F</v>
      </c>
      <c r="X46" s="158">
        <f>IF('2499-002'!$W46="#F", AB20,"")</f>
        <v>204</v>
      </c>
      <c r="Y46" s="158" t="str">
        <f>IF('2499-002'!$W46="#F", Vendor,"")</f>
        <v>Vendor</v>
      </c>
      <c r="Z46" s="158" t="str">
        <f>IF('2499-002'!$W46="#F", Sheet_PO,"")</f>
        <v>2499-002</v>
      </c>
      <c r="AA46" s="159">
        <f>IF('2499-002'!$W46="#F", AB21,"")</f>
        <v>45849</v>
      </c>
      <c r="AB46" s="158" t="str">
        <f>IF('2499-002'!$W46="#F", AB22,"")</f>
        <v>CC 2456</v>
      </c>
      <c r="AC46" s="160">
        <f>IF('2499-002'!$W46="#F", AB36,"")</f>
        <v>300</v>
      </c>
      <c r="AD46" s="158" t="str">
        <f>IF('2499-002'!$W46="#F",
      INDEX('Line No'!$B$1:$B$342, MATCH('2499-002'!$X46, 'Line No'!$A$1:$A$342, 0)),
      "")</f>
        <v>Production Supplies</v>
      </c>
    </row>
    <row r="47" spans="1:31" ht="16" customHeight="1">
      <c r="W47" s="167" t="str">
        <f>IF(SUM($AC$24:$AC$34), "#G", "")</f>
        <v>#G</v>
      </c>
      <c r="X47" s="155">
        <f>IF('2499-002'!$W47="#G", AC20,"")</f>
        <v>205</v>
      </c>
      <c r="Y47" s="154" t="str">
        <f>IF('2499-002'!$W47="#G", Vendor,"")</f>
        <v>Vendor</v>
      </c>
      <c r="Z47" s="155" t="str">
        <f>IF('2499-002'!$W47="#G", Sheet_PO,"")</f>
        <v>2499-002</v>
      </c>
      <c r="AA47" s="161">
        <f>IF('2499-002'!$W47="#G", AC21,"")</f>
        <v>45849</v>
      </c>
      <c r="AB47" s="162" t="str">
        <f>IF('2499-002'!$W47="#G", AC22,"")</f>
        <v>CC 2456</v>
      </c>
      <c r="AC47" s="157">
        <f>IF('2499-002'!$W47="#G", AC36,"")</f>
        <v>50</v>
      </c>
      <c r="AD47" s="155" t="str">
        <f>IF('2499-002'!$W47="#G",
      INDEX('Line No'!$B$1:$B$342, MATCH('2499-002'!$X47, 'Line No'!$A$1:$A$342, 0)),
      "")</f>
        <v>Location Supplies</v>
      </c>
    </row>
    <row r="48" spans="1:31" ht="16" customHeight="1">
      <c r="W48" s="168" t="str">
        <f>IF(SUM($AD$24:$AD$34), "#H", "")</f>
        <v>#H</v>
      </c>
      <c r="X48" s="158" t="str">
        <f>IF('2499-002'!$W48="#H", AD20,"")</f>
        <v>A</v>
      </c>
      <c r="Y48" s="158" t="str">
        <f>IF('2499-002'!$W48="#H", Vendor,"")</f>
        <v>Vendor</v>
      </c>
      <c r="Z48" s="158" t="str">
        <f>IF('2499-002'!$W48="#H", Sheet_PO,"")</f>
        <v>2499-002</v>
      </c>
      <c r="AA48" s="163">
        <f>IF('2499-002'!$W48="#H", AE21,"")</f>
        <v>0</v>
      </c>
      <c r="AB48" s="164">
        <f>IF('2499-002'!$W48="#H", AE22,"")</f>
        <v>0</v>
      </c>
      <c r="AC48" s="160" t="str">
        <f>IF('2499-002'!$W48="#H", AE36,"")</f>
        <v/>
      </c>
      <c r="AD48" s="158" t="str">
        <f>IF('2499-002'!$W48="#H",
      INDEX('Line No'!$B$1:$B$342, MATCH('2499-002'!$X48, 'Line No'!$A$1:$A$342, 0)),
      "")</f>
        <v>PRE-PRO &amp; WRAP CREW</v>
      </c>
    </row>
    <row r="49" spans="22:30" ht="16" customHeight="1">
      <c r="V49" s="1" cm="1">
        <f t="array" ref="V49">SUMPRODUCT(--(W41:W49&lt;&gt;""))</f>
        <v>8</v>
      </c>
      <c r="W49" s="167" t="str">
        <f>IF(SUM($AE$24:$AE$34), "#OTHER", "")</f>
        <v/>
      </c>
      <c r="X49" s="155" t="str">
        <f>IF('2499-002'!$W49="#I", AE20,"")</f>
        <v/>
      </c>
      <c r="Y49" s="154" t="str">
        <f>IF('2499-002'!$W49="#I", Vendor,"")</f>
        <v/>
      </c>
      <c r="Z49" s="155" t="str">
        <f>IF('2499-002'!$W49="#I", Sheet_PO,"")</f>
        <v/>
      </c>
      <c r="AA49" s="161" t="str">
        <f>IF('2499-002'!$W49="#I", AF21,"")</f>
        <v/>
      </c>
      <c r="AB49" s="162" t="str">
        <f>IF('2499-002'!$W49="#I", AF22,"")</f>
        <v/>
      </c>
      <c r="AC49" s="157" t="str">
        <f>IF('2499-002'!$W49="#I", AF36,"")</f>
        <v/>
      </c>
      <c r="AD49" s="155" t="str">
        <f>IF('2499-002'!$W49="#I",
      INDEX('Line No'!$B$1:$B$342, MATCH('2499-002'!$X49, 'Line No'!$A$1:$A$342, 0)),
      "")</f>
        <v/>
      </c>
    </row>
    <row r="50" spans="22:30" ht="16" customHeight="1">
      <c r="W50" s="174"/>
      <c r="X50" s="174"/>
      <c r="Y50" s="175"/>
      <c r="Z50" s="174"/>
      <c r="AA50" s="174"/>
      <c r="AB50" s="174"/>
      <c r="AC50" s="176"/>
      <c r="AD50" s="174"/>
    </row>
  </sheetData>
  <sheetProtection formatCells="0" formatColumns="0" formatRows="0" insertColumns="0" insertRows="0" deleteRows="0" selectLockedCells="1"/>
  <mergeCells count="42">
    <mergeCell ref="J3:W3"/>
    <mergeCell ref="B4:G4"/>
    <mergeCell ref="C9:D9"/>
    <mergeCell ref="F9:I9"/>
    <mergeCell ref="G1:I1"/>
    <mergeCell ref="B2:C2"/>
    <mergeCell ref="D2:G2"/>
    <mergeCell ref="G3:I3"/>
    <mergeCell ref="C5:D5"/>
    <mergeCell ref="E5:H6"/>
    <mergeCell ref="C6:D6"/>
    <mergeCell ref="B7:C7"/>
    <mergeCell ref="D7:E7"/>
    <mergeCell ref="C10:D10"/>
    <mergeCell ref="F10:I10"/>
    <mergeCell ref="C11:D11"/>
    <mergeCell ref="C12:D12"/>
    <mergeCell ref="C13:D13"/>
    <mergeCell ref="F13:I13"/>
    <mergeCell ref="C14:D14"/>
    <mergeCell ref="F14:I14"/>
    <mergeCell ref="C18:E18"/>
    <mergeCell ref="F18:I18"/>
    <mergeCell ref="C19:E19"/>
    <mergeCell ref="F19:I19"/>
    <mergeCell ref="C32:D32"/>
    <mergeCell ref="AL20:AQ20"/>
    <mergeCell ref="B22:I22"/>
    <mergeCell ref="C23:D23"/>
    <mergeCell ref="C24:D24"/>
    <mergeCell ref="C25:D25"/>
    <mergeCell ref="C26:D26"/>
    <mergeCell ref="C27:D27"/>
    <mergeCell ref="C28:D28"/>
    <mergeCell ref="C29:D29"/>
    <mergeCell ref="C30:D30"/>
    <mergeCell ref="C31:D31"/>
    <mergeCell ref="C33:D33"/>
    <mergeCell ref="C34:D34"/>
    <mergeCell ref="C35:D35"/>
    <mergeCell ref="C38:D38"/>
    <mergeCell ref="W39:AC39"/>
  </mergeCells>
  <conditionalFormatting sqref="AD41:AD49">
    <cfRule type="containsText" dxfId="8" priority="1" operator="containsText" text="zzzz">
      <formula>NOT(ISERROR(SEARCH("zzzz",AD41)))</formula>
    </cfRule>
  </conditionalFormatting>
  <printOptions horizontalCentered="1"/>
  <pageMargins left="0.75" right="0.75" top="0.5" bottom="0.5" header="0.5" footer="0.5"/>
  <pageSetup scale="81" orientation="portrait" r:id="rId1"/>
  <headerFooter alignWithMargins="0"/>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61BB32-C136-FA4A-A44E-B9E7E70856BE}">
  <sheetPr codeName="Sheet9">
    <pageSetUpPr fitToPage="1"/>
  </sheetPr>
  <dimension ref="A1:AX50"/>
  <sheetViews>
    <sheetView topLeftCell="A30" zoomScale="75" zoomScaleNormal="100" workbookViewId="0">
      <selection activeCell="R16" sqref="R16"/>
    </sheetView>
    <sheetView topLeftCell="P20" workbookViewId="1">
      <selection activeCell="B32" sqref="B32"/>
    </sheetView>
  </sheetViews>
  <sheetFormatPr baseColWidth="10" defaultColWidth="8.83203125" defaultRowHeight="14"/>
  <cols>
    <col min="1" max="1" width="0.83203125" style="1" customWidth="1"/>
    <col min="2" max="2" width="10.1640625" style="1" customWidth="1"/>
    <col min="3" max="3" width="14.6640625" style="1" customWidth="1"/>
    <col min="4" max="4" width="10.1640625" style="1" customWidth="1"/>
    <col min="5" max="5" width="13.5" style="1" customWidth="1"/>
    <col min="6" max="6" width="11.6640625" style="1" bestFit="1" customWidth="1"/>
    <col min="7" max="7" width="10.1640625" style="1" customWidth="1"/>
    <col min="8" max="8" width="18.83203125" style="1" customWidth="1"/>
    <col min="9" max="9" width="13.33203125" style="1" customWidth="1"/>
    <col min="10" max="11" width="5.83203125" style="1" customWidth="1"/>
    <col min="12" max="12" width="6.33203125" style="1" customWidth="1"/>
    <col min="13" max="13" width="6.1640625" style="1" customWidth="1"/>
    <col min="14" max="14" width="5.6640625" style="1" customWidth="1"/>
    <col min="15" max="15" width="5.33203125" style="1" customWidth="1"/>
    <col min="16" max="16" width="5.6640625" style="1" customWidth="1"/>
    <col min="17" max="18" width="5" style="1" customWidth="1"/>
    <col min="19" max="21" width="5.83203125" style="1" customWidth="1"/>
    <col min="22" max="22" width="6.1640625" style="1" customWidth="1"/>
    <col min="23" max="23" width="13.6640625" style="1" customWidth="1"/>
    <col min="24" max="24" width="8" style="1" customWidth="1"/>
    <col min="25" max="25" width="10.33203125" style="1" customWidth="1"/>
    <col min="26" max="26" width="11.83203125" style="1" customWidth="1"/>
    <col min="27" max="27" width="11" style="1" customWidth="1"/>
    <col min="28" max="29" width="11.83203125" style="1" customWidth="1"/>
    <col min="30" max="30" width="23.33203125" style="1" customWidth="1"/>
    <col min="31" max="31" width="8.83203125" style="1"/>
    <col min="32" max="32" width="3.33203125" style="1" customWidth="1"/>
    <col min="33" max="33" width="5.1640625" style="1" customWidth="1"/>
    <col min="34" max="37" width="8.83203125" style="1"/>
    <col min="38" max="38" width="8.83203125" style="1" customWidth="1"/>
    <col min="39" max="16384" width="8.83203125" style="1"/>
  </cols>
  <sheetData>
    <row r="1" spans="1:47" ht="45" customHeight="1">
      <c r="A1" s="41"/>
      <c r="B1" s="143" t="s">
        <v>258</v>
      </c>
      <c r="C1" s="143"/>
      <c r="D1" s="143"/>
      <c r="E1" s="143"/>
      <c r="G1" s="234"/>
      <c r="H1" s="234"/>
      <c r="I1" s="235"/>
      <c r="J1" s="185"/>
      <c r="K1" s="185"/>
      <c r="L1" s="185"/>
      <c r="M1" s="185"/>
      <c r="N1" s="185"/>
      <c r="O1" s="185"/>
      <c r="P1" s="185"/>
      <c r="Q1" s="185"/>
      <c r="R1" s="185"/>
      <c r="S1" s="185"/>
      <c r="T1" s="185"/>
      <c r="U1" s="185"/>
      <c r="V1" s="185"/>
      <c r="W1" s="185"/>
      <c r="X1" s="185"/>
      <c r="Y1" s="185"/>
      <c r="Z1" s="185"/>
      <c r="AA1" s="185"/>
      <c r="AB1" s="185"/>
      <c r="AC1" s="185"/>
      <c r="AD1" s="185"/>
      <c r="AE1" s="185"/>
      <c r="AF1" s="185"/>
      <c r="AG1" s="185"/>
      <c r="AH1" s="185"/>
      <c r="AI1" s="186" t="s">
        <v>321</v>
      </c>
      <c r="AJ1" s="185"/>
      <c r="AK1" s="185"/>
      <c r="AL1" s="185"/>
      <c r="AM1" s="185"/>
      <c r="AN1" s="185"/>
      <c r="AO1" s="185"/>
      <c r="AP1" s="185"/>
      <c r="AQ1" s="185"/>
      <c r="AR1" s="185"/>
      <c r="AS1" s="185"/>
      <c r="AT1" s="185"/>
      <c r="AU1" s="185"/>
    </row>
    <row r="2" spans="1:47" ht="12.75" customHeight="1">
      <c r="A2" s="42"/>
      <c r="B2" s="236"/>
      <c r="C2" s="237"/>
      <c r="D2" s="238"/>
      <c r="E2" s="238"/>
      <c r="F2" s="238"/>
      <c r="G2" s="238"/>
      <c r="I2" s="76"/>
      <c r="J2" s="185"/>
      <c r="K2" s="185"/>
      <c r="L2" s="185"/>
      <c r="M2" s="185"/>
      <c r="N2" s="185"/>
      <c r="O2" s="185"/>
      <c r="P2" s="185"/>
      <c r="Q2" s="185"/>
      <c r="R2" s="185"/>
      <c r="S2" s="185"/>
      <c r="T2" s="185"/>
      <c r="U2" s="185"/>
      <c r="V2" s="185"/>
      <c r="W2" s="185"/>
      <c r="X2" s="185"/>
      <c r="Y2" s="185"/>
      <c r="Z2" s="185"/>
      <c r="AA2" s="185"/>
      <c r="AB2" s="185"/>
      <c r="AC2" s="185"/>
      <c r="AD2" s="186" t="s">
        <v>323</v>
      </c>
      <c r="AE2" s="185"/>
      <c r="AF2" s="185"/>
      <c r="AG2" s="185"/>
      <c r="AH2" s="185"/>
      <c r="AI2" s="185" t="s">
        <v>322</v>
      </c>
      <c r="AJ2" s="185"/>
      <c r="AK2" s="185"/>
      <c r="AL2" s="185"/>
      <c r="AM2" s="185"/>
      <c r="AN2" s="185"/>
      <c r="AO2" s="185"/>
      <c r="AP2" s="185"/>
      <c r="AQ2" s="185"/>
      <c r="AR2" s="185"/>
      <c r="AS2" s="185"/>
      <c r="AT2" s="185"/>
      <c r="AU2" s="185"/>
    </row>
    <row r="3" spans="1:47" ht="22">
      <c r="A3" s="42"/>
      <c r="B3" s="77" t="s">
        <v>14</v>
      </c>
      <c r="C3" s="43"/>
      <c r="D3" s="44"/>
      <c r="E3" s="44"/>
      <c r="F3" s="45" t="s">
        <v>13</v>
      </c>
      <c r="G3" s="239" t="s">
        <v>305</v>
      </c>
      <c r="H3" s="239"/>
      <c r="I3" s="240"/>
      <c r="J3" s="232"/>
      <c r="K3" s="233"/>
      <c r="L3" s="233"/>
      <c r="M3" s="233"/>
      <c r="N3" s="233"/>
      <c r="O3" s="233"/>
      <c r="P3" s="233"/>
      <c r="Q3" s="233"/>
      <c r="R3" s="233"/>
      <c r="S3" s="233"/>
      <c r="T3" s="233"/>
      <c r="U3" s="233"/>
      <c r="V3" s="233"/>
      <c r="W3" s="233"/>
      <c r="X3" s="115" t="s">
        <v>308</v>
      </c>
      <c r="Y3" s="117" t="s">
        <v>309</v>
      </c>
      <c r="Z3" s="117" t="s">
        <v>310</v>
      </c>
      <c r="AA3" s="117" t="s">
        <v>311</v>
      </c>
      <c r="AD3" s="115" t="s">
        <v>319</v>
      </c>
      <c r="AM3" s="1" t="s">
        <v>324</v>
      </c>
      <c r="AR3" s="185"/>
      <c r="AS3" s="185"/>
      <c r="AT3" s="185"/>
      <c r="AU3" s="185"/>
    </row>
    <row r="4" spans="1:47" s="3" customFormat="1" ht="29" customHeight="1">
      <c r="A4" s="46"/>
      <c r="B4" s="241"/>
      <c r="C4" s="242"/>
      <c r="D4" s="242"/>
      <c r="E4" s="242"/>
      <c r="F4" s="242"/>
      <c r="G4" s="242"/>
      <c r="H4" s="47"/>
      <c r="I4" s="78"/>
      <c r="J4" s="187"/>
      <c r="K4" s="187"/>
      <c r="L4" s="187"/>
      <c r="M4" s="187"/>
      <c r="N4" s="187"/>
      <c r="O4" s="187"/>
      <c r="P4" s="187"/>
      <c r="Q4" s="187"/>
      <c r="R4" s="187"/>
      <c r="S4" s="187"/>
      <c r="T4" s="187"/>
      <c r="U4" s="187"/>
      <c r="V4" s="187"/>
      <c r="W4" s="187"/>
      <c r="X4" s="4" cm="1">
        <f t="array" ref="X4:X9">IFERROR(
INDEX(
_xlfn._xlws.FILTER(
_xlfn.UNIQUE(
LineEntryOLD2,
),_xlfn.UNIQUE(
LineEntryOLD2,
)&lt;&gt;0
),_xlfn.SEQUENCE(6,1)
),"")</f>
        <v>204</v>
      </c>
      <c r="Y4" s="4" cm="1">
        <f t="array" ref="Y4">SUMPRODUCT(--(TRIM(X4:X12)&lt;&gt;""))</f>
        <v>6</v>
      </c>
      <c r="Z4" s="4" t="str" cm="1">
        <f t="array" ref="Z4:Z6">_xlfn._xlws.SORT(INDEX(AF7:AF16, 1):INDEX(AF7:AF9, AG7), 1, TRUE)</f>
        <v>CASH</v>
      </c>
      <c r="AA4" s="4" t="str" cm="1">
        <f t="array" ref="AA4">IF(Z4="","",IFERROR(INDEX(Description, MATCH(Z4, LINEOld, 0)), "Not Found"))</f>
        <v>Not Found</v>
      </c>
      <c r="AD4" s="120" cm="1">
        <f t="array" ref="AD4:AF9">IFERROR(
    INDEX(
        _xlfn._xlws.FILTER(
            _xlfn.UNIQUE(_xlfn.HSTACK(LineEntryOLD2, DateEntryOld, PayIDEntryOld2)),
            _xlfn.BYROW(_xlfn.UNIQUE(_xlfn.HSTACK(LineEntryOLD2, DateEntryOld, PayIDEntryOld2)), _xlfn.LAMBDA(_xlpm.row, SUM(_xlpm.row)&lt;&gt;0))
        ),
        _xlfn.SEQUENCE(6,1),
        {1,2,3}
    ),
    ""
)</f>
        <v>204</v>
      </c>
      <c r="AE4" s="126">
        <v>45849</v>
      </c>
      <c r="AF4" s="120" t="str">
        <v>CC 2456</v>
      </c>
      <c r="AM4" s="148" t="s">
        <v>335</v>
      </c>
      <c r="AO4" s="3" t="str" cm="1">
        <f t="array" ref="AO4">IFERROR(
    _xlfn.WRAPCOLS(
        INDEX(
            _xlfn._xlws.FILTER(
                _xlfn.UNIQUE(_xlfn.HSTACK(LineEntryOLD2, DateEntryOld, PayIDEntryOld2)),
                _xlfn.BYROW(_xlfn.UNIQUE(_xlfn.HSTACK(LineEntryOLD2, DateEntryOld, PayIDEntryOld2)), _xlfn.LAMBDA(_xlpm.row, SUM(_xlpm.row)&lt;&gt;0))
            ),
            _xlfn.SEQUENCE(6,1),
            {1,2,3}
        ),
        3
    ),
    ""
)</f>
        <v/>
      </c>
      <c r="AQ4" s="3" t="e" cm="1" vm="1">
        <f t="array" aca="1" ref="AQ4" ca="1">IFERROR(
    _xlfn.WRAPCOLS(
        _xlfn.TOCOL(
            INDEX(
                _xlfn._xlws.FILTER(
                    _xlfn.UNIQUE(_xlfn.HSTACK(LineEntryOLD2, DateEntryOld, PayIDEntryOld2)),
                    _xlfn.BYROW(_xlfn.UNIQUE(_xlfn.HSTACK(LineEntryOLD2, DateEntryOld, PayIDEntryOld2)), _xlfn.LAMBDA(_xlpm.row, SUM(_xlpm.row)&lt;&gt;0))
                ),
                _xlfn.SEQUENCE(6,1),
                {1,2,3}
            )
        ),
        3
    ),
    ""
)</f>
        <v>#VALUE!</v>
      </c>
      <c r="AR4" s="187">
        <v>205</v>
      </c>
      <c r="AS4" s="187">
        <v>112</v>
      </c>
      <c r="AT4" s="187">
        <v>1</v>
      </c>
      <c r="AU4" s="187"/>
    </row>
    <row r="5" spans="1:47" s="4" customFormat="1" ht="16" customHeight="1">
      <c r="A5" s="48"/>
      <c r="B5" s="79" t="s">
        <v>259</v>
      </c>
      <c r="C5" s="247"/>
      <c r="D5" s="248"/>
      <c r="E5" s="243"/>
      <c r="F5" s="243"/>
      <c r="G5" s="243"/>
      <c r="H5" s="243"/>
      <c r="I5" s="80"/>
      <c r="J5" s="188"/>
      <c r="K5" s="188"/>
      <c r="L5" s="188"/>
      <c r="M5" s="188"/>
      <c r="N5" s="188"/>
      <c r="O5" s="188"/>
      <c r="P5" s="188"/>
      <c r="Q5" s="188"/>
      <c r="R5" s="188"/>
      <c r="S5" s="188"/>
      <c r="T5" s="188"/>
      <c r="U5" s="188"/>
      <c r="V5" s="188"/>
      <c r="W5" s="188"/>
      <c r="X5" s="4">
        <v>205</v>
      </c>
      <c r="Z5" s="4" t="str">
        <v>CC 2456</v>
      </c>
      <c r="AA5" s="4" t="str" cm="1">
        <f t="array" ref="AA5">IF(Z5="","",IFERROR(INDEX(Description, MATCH(Z5, LINEOld, 0)), "Not Found"))</f>
        <v>Not Found</v>
      </c>
      <c r="AD5" s="121">
        <v>205</v>
      </c>
      <c r="AE5" s="127">
        <v>45849</v>
      </c>
      <c r="AF5" s="121" t="str">
        <v>CC 2456</v>
      </c>
      <c r="AH5" t="e" cm="1">
        <f t="array" ref="AH5">_xlfn._xlws.FILTER(_xlfn.UNIQUE(_xlfn.HSTACK(LineEntryOLD2, DateEntryOld, PayIDEntryOld2)), _xlfn.UNIQUE(_xlfn.HSTACK(LineEntryOLD2, DateEntryOld, PayIDEntryOld2))&lt;&gt;0)</f>
        <v>#VALUE!</v>
      </c>
      <c r="AR5" s="188">
        <v>45849</v>
      </c>
      <c r="AS5" s="188">
        <v>45848</v>
      </c>
      <c r="AT5" s="188">
        <v>45849</v>
      </c>
      <c r="AU5" s="188"/>
    </row>
    <row r="6" spans="1:47" s="4" customFormat="1" ht="16">
      <c r="A6" s="48"/>
      <c r="B6" s="81"/>
      <c r="C6" s="249"/>
      <c r="D6" s="250"/>
      <c r="E6" s="243"/>
      <c r="F6" s="243"/>
      <c r="G6" s="243"/>
      <c r="H6" s="243"/>
      <c r="I6" s="82"/>
      <c r="J6" s="188"/>
      <c r="K6" s="188"/>
      <c r="L6" s="188"/>
      <c r="M6" s="188"/>
      <c r="N6" s="188"/>
      <c r="O6" s="188"/>
      <c r="P6" s="188"/>
      <c r="Q6" s="188"/>
      <c r="R6" s="188"/>
      <c r="S6" s="188"/>
      <c r="T6" s="188"/>
      <c r="U6" s="188"/>
      <c r="V6" s="188"/>
      <c r="W6" s="188"/>
      <c r="X6" s="4">
        <v>112</v>
      </c>
      <c r="Z6" s="4" t="str">
        <v>CC 2456</v>
      </c>
      <c r="AA6" s="4" t="str" cm="1">
        <f t="array" ref="AA6">IF(Z6="","",IFERROR(INDEX(Description, MATCH(Z6, LINEOld, 0)), "Not Found"))</f>
        <v>Not Found</v>
      </c>
      <c r="AD6" s="121">
        <v>112</v>
      </c>
      <c r="AE6" s="127">
        <v>45848</v>
      </c>
      <c r="AF6" s="121" t="str">
        <v>CHK 101</v>
      </c>
      <c r="AR6" s="188" t="s">
        <v>313</v>
      </c>
      <c r="AS6" s="188" t="s">
        <v>327</v>
      </c>
      <c r="AT6" s="188" t="s">
        <v>5</v>
      </c>
      <c r="AU6" s="188"/>
    </row>
    <row r="7" spans="1:47" s="4" customFormat="1" ht="16">
      <c r="A7" s="48"/>
      <c r="B7" s="244"/>
      <c r="C7" s="245"/>
      <c r="D7" s="246"/>
      <c r="E7" s="246"/>
      <c r="F7" s="51"/>
      <c r="G7" s="51"/>
      <c r="H7" s="51"/>
      <c r="I7" s="84"/>
      <c r="J7" s="188"/>
      <c r="K7" s="188"/>
      <c r="L7" s="188"/>
      <c r="M7" s="188"/>
      <c r="N7" s="188"/>
      <c r="O7" s="188"/>
      <c r="P7" s="188"/>
      <c r="Q7" s="188"/>
      <c r="R7" s="188"/>
      <c r="S7" s="188"/>
      <c r="T7" s="188"/>
      <c r="U7" s="188"/>
      <c r="V7" s="188"/>
      <c r="W7" s="188"/>
      <c r="X7" s="4">
        <v>1</v>
      </c>
      <c r="AA7" s="4" t="str" cm="1">
        <f t="array" ref="AA7">IF(Z7="","",IFERROR(INDEX(Description, MATCH(Z7, LINEOld, 0)), "Not Found"))</f>
        <v/>
      </c>
      <c r="AD7" s="121">
        <v>1</v>
      </c>
      <c r="AE7" s="127">
        <v>45849</v>
      </c>
      <c r="AF7" s="121" t="str">
        <v>CASH</v>
      </c>
      <c r="AR7" s="188"/>
      <c r="AS7" s="188"/>
      <c r="AT7" s="188"/>
      <c r="AU7" s="188"/>
    </row>
    <row r="8" spans="1:47" s="4" customFormat="1" ht="16">
      <c r="A8" s="48"/>
      <c r="B8" s="83"/>
      <c r="C8" s="49"/>
      <c r="D8" s="50"/>
      <c r="E8" s="50"/>
      <c r="F8" s="51"/>
      <c r="G8" s="51"/>
      <c r="H8" s="51"/>
      <c r="I8" s="84"/>
      <c r="J8" s="188"/>
      <c r="K8" s="188"/>
      <c r="L8" s="188"/>
      <c r="M8" s="188"/>
      <c r="N8" s="188"/>
      <c r="O8" s="188"/>
      <c r="P8" s="188"/>
      <c r="Q8" s="188"/>
      <c r="R8" s="188"/>
      <c r="S8" s="188"/>
      <c r="T8" s="188"/>
      <c r="U8" s="188"/>
      <c r="V8" s="188"/>
      <c r="W8" s="188"/>
      <c r="X8" s="4">
        <v>5</v>
      </c>
      <c r="AA8" s="4" t="str" cm="1">
        <f t="array" ref="AA8">IF(Z8="","",IFERROR(INDEX(Description, MATCH(Z8, LINEOld, 0)), "Not Found"))</f>
        <v/>
      </c>
      <c r="AD8" s="121">
        <v>5</v>
      </c>
      <c r="AE8" s="127">
        <v>45849</v>
      </c>
      <c r="AF8" s="121" t="str">
        <v>CC 2456</v>
      </c>
      <c r="AR8" s="188"/>
      <c r="AS8" s="188"/>
      <c r="AT8" s="188"/>
      <c r="AU8" s="188"/>
    </row>
    <row r="9" spans="1:47" s="4" customFormat="1" ht="16">
      <c r="A9" s="48"/>
      <c r="B9" s="85" t="s">
        <v>12</v>
      </c>
      <c r="C9" s="251" t="str">
        <f>IFERROR(
    IF(ISNUMBER(MATCH(Sheet_PO,#REF!, 0)),
       IF(INDEX(#REF!, MATCH(Sheet_PO,#REF!, 0)) = "", "",
          INDEX(#REF!, MATCH(Sheet_PO,#REF!, 0))),
       ""),
    "No match found")</f>
        <v/>
      </c>
      <c r="D9" s="251"/>
      <c r="E9" s="52" t="s">
        <v>11</v>
      </c>
      <c r="F9" s="252" t="str">
        <f>IF(TRIM(Job_Number)="", "", Job_Number)</f>
        <v/>
      </c>
      <c r="G9" s="252"/>
      <c r="H9" s="252"/>
      <c r="I9" s="253"/>
      <c r="J9" s="188"/>
      <c r="K9" s="188"/>
      <c r="L9" s="188"/>
      <c r="M9" s="188"/>
      <c r="N9" s="188"/>
      <c r="O9" s="188"/>
      <c r="P9" s="188"/>
      <c r="Q9" s="188"/>
      <c r="R9" s="188"/>
      <c r="S9" s="188"/>
      <c r="T9" s="188"/>
      <c r="U9" s="188"/>
      <c r="V9" s="188"/>
      <c r="W9" s="188"/>
      <c r="X9" s="4">
        <v>6</v>
      </c>
      <c r="AA9" s="4" t="str" cm="1">
        <f t="array" ref="AA9">IF(Z9="","",IFERROR(INDEX(Description, MATCH(Z9, LINEOld, 0)), "Not Found"))</f>
        <v/>
      </c>
      <c r="AD9" s="121">
        <v>6</v>
      </c>
      <c r="AE9" s="127">
        <v>45849</v>
      </c>
      <c r="AF9" s="121" t="str">
        <v>CC 2456</v>
      </c>
      <c r="AH9" s="4" t="b" cm="1">
        <f t="array" ref="AH9:AJ17">_xlfn.UNIQUE(_xlfn.HSTACK(LineEntryOLD2,DateEntryOld,PayIDEntryOld2))&lt;&gt;0</f>
        <v>1</v>
      </c>
      <c r="AI9" s="4" t="b">
        <v>1</v>
      </c>
      <c r="AJ9" s="4" t="b">
        <v>1</v>
      </c>
      <c r="AR9" s="188"/>
      <c r="AS9" s="188"/>
      <c r="AT9" s="188"/>
      <c r="AU9" s="188"/>
    </row>
    <row r="10" spans="1:47" s="4" customFormat="1" ht="14" customHeight="1">
      <c r="A10" s="48"/>
      <c r="B10" s="85" t="s">
        <v>10</v>
      </c>
      <c r="C10" s="223" t="s">
        <v>332</v>
      </c>
      <c r="D10" s="223"/>
      <c r="E10" s="52" t="s">
        <v>9</v>
      </c>
      <c r="F10" s="224" t="str">
        <f>IF(TRIM(Job_Name)="", "", Job_Name)</f>
        <v/>
      </c>
      <c r="G10" s="224"/>
      <c r="H10" s="224"/>
      <c r="I10" s="225"/>
      <c r="J10" s="188"/>
      <c r="K10" s="188"/>
      <c r="L10" s="188"/>
      <c r="M10" s="188"/>
      <c r="N10" s="188"/>
      <c r="O10" s="188"/>
      <c r="P10" s="188"/>
      <c r="Q10" s="188"/>
      <c r="R10" s="188"/>
      <c r="S10" s="188"/>
      <c r="T10" s="188"/>
      <c r="U10" s="188"/>
      <c r="V10" s="188"/>
      <c r="W10" s="187"/>
      <c r="AA10" s="4" t="str" cm="1">
        <f t="array" ref="AA10">IF(Z10="","",IFERROR(INDEX(Description, MATCH(Z10, LINEOld, 0)), "Not Found"))</f>
        <v/>
      </c>
      <c r="AH10" s="4" t="b">
        <v>1</v>
      </c>
      <c r="AI10" s="4" t="b">
        <v>1</v>
      </c>
      <c r="AJ10" s="4" t="b">
        <v>1</v>
      </c>
      <c r="AR10" s="188"/>
      <c r="AS10" s="188"/>
      <c r="AT10" s="188"/>
      <c r="AU10" s="188"/>
    </row>
    <row r="11" spans="1:47" s="4" customFormat="1" ht="17">
      <c r="A11" s="48"/>
      <c r="B11" s="86"/>
      <c r="C11" s="223"/>
      <c r="D11" s="223"/>
      <c r="E11" s="53"/>
      <c r="I11" s="87"/>
      <c r="J11" s="188"/>
      <c r="K11" s="188"/>
      <c r="L11" s="188"/>
      <c r="M11" s="188"/>
      <c r="N11" s="188"/>
      <c r="O11" s="188"/>
      <c r="P11" s="188"/>
      <c r="Q11" s="188"/>
      <c r="R11" s="188"/>
      <c r="S11" s="188"/>
      <c r="T11" s="188"/>
      <c r="U11" s="188"/>
      <c r="V11" s="188"/>
      <c r="W11" s="188"/>
      <c r="AA11" s="4" t="str" cm="1">
        <f t="array" ref="AA11">IF(Z11="","",IFERROR(INDEX(Description, MATCH(Z11, LINEOld, 0)), "Not Found"))</f>
        <v/>
      </c>
      <c r="AD11" s="119" t="e" cm="1" vm="5">
        <f t="array" aca="1" ref="AD11" ca="1">_xlfn.UNIQUE(_xlfn.HSTACK(LineEntryOLD2, DateEntryOld, PayIDEntryOld2))&lt;&gt;0</f>
        <v>#VALUE!</v>
      </c>
      <c r="AH11" s="4" t="b">
        <v>1</v>
      </c>
      <c r="AI11" s="4" t="b">
        <v>1</v>
      </c>
      <c r="AJ11" s="4" t="b">
        <v>1</v>
      </c>
      <c r="AR11" s="188"/>
      <c r="AS11" s="188"/>
      <c r="AT11" s="188"/>
      <c r="AU11" s="188"/>
    </row>
    <row r="12" spans="1:47" s="4" customFormat="1" ht="22" customHeight="1">
      <c r="A12" s="48"/>
      <c r="B12" s="85" t="s">
        <v>8</v>
      </c>
      <c r="C12" s="223"/>
      <c r="D12" s="223"/>
      <c r="E12" s="52" t="s">
        <v>7</v>
      </c>
      <c r="F12" s="7"/>
      <c r="G12" s="7"/>
      <c r="H12" s="7"/>
      <c r="I12" s="88"/>
      <c r="J12" s="188"/>
      <c r="K12" s="188"/>
      <c r="L12" s="188"/>
      <c r="M12" s="188"/>
      <c r="N12" s="188"/>
      <c r="O12" s="188"/>
      <c r="P12" s="188"/>
      <c r="Q12" s="188"/>
      <c r="R12" s="188"/>
      <c r="S12" s="188"/>
      <c r="T12" s="188"/>
      <c r="U12" s="188"/>
      <c r="V12" s="188"/>
      <c r="W12" s="188"/>
      <c r="AA12" s="4" t="str" cm="1">
        <f t="array" ref="AA12">IF(Z12="","",IFERROR(INDEX(Description, MATCH(Z12, LINEOld, 0)), "Not Found"))</f>
        <v/>
      </c>
      <c r="AH12" s="4" t="b">
        <v>1</v>
      </c>
      <c r="AI12" s="4" t="b">
        <v>1</v>
      </c>
      <c r="AJ12" s="4" t="b">
        <v>1</v>
      </c>
      <c r="AR12" s="188"/>
      <c r="AS12" s="188"/>
      <c r="AT12" s="188"/>
      <c r="AU12" s="188"/>
    </row>
    <row r="13" spans="1:47" s="4" customFormat="1" ht="16">
      <c r="A13" s="48"/>
      <c r="B13" s="89"/>
      <c r="C13" s="223"/>
      <c r="D13" s="223"/>
      <c r="F13" s="218"/>
      <c r="G13" s="219"/>
      <c r="H13" s="219"/>
      <c r="I13" s="220"/>
      <c r="J13" s="188"/>
      <c r="K13" s="188"/>
      <c r="L13" s="188"/>
      <c r="M13" s="188"/>
      <c r="N13" s="188"/>
      <c r="O13" s="188"/>
      <c r="P13" s="188"/>
      <c r="Q13" s="188"/>
      <c r="R13" s="188"/>
      <c r="S13" s="188"/>
      <c r="T13" s="188"/>
      <c r="U13" s="188"/>
      <c r="V13" s="188"/>
      <c r="W13" s="188"/>
      <c r="AA13" s="4" t="str" cm="1">
        <f t="array" ref="AA13">IF(Z13="","",IFERROR(INDEX(Description, MATCH(Z13, LINEOld, 0)), "Not Found"))</f>
        <v/>
      </c>
      <c r="AH13" s="4" t="b">
        <v>1</v>
      </c>
      <c r="AI13" s="4" t="b">
        <v>1</v>
      </c>
      <c r="AJ13" s="4" t="b">
        <v>1</v>
      </c>
      <c r="AR13" s="188"/>
      <c r="AS13" s="188"/>
      <c r="AT13" s="188"/>
      <c r="AU13" s="188"/>
    </row>
    <row r="14" spans="1:47" s="4" customFormat="1" ht="16">
      <c r="A14" s="48"/>
      <c r="B14" s="89"/>
      <c r="C14" s="226"/>
      <c r="D14" s="226"/>
      <c r="E14" s="52" t="s">
        <v>265</v>
      </c>
      <c r="F14" s="218"/>
      <c r="G14" s="219"/>
      <c r="H14" s="219"/>
      <c r="I14" s="220"/>
      <c r="J14" s="188"/>
      <c r="K14" s="188"/>
      <c r="L14" s="188"/>
      <c r="M14" s="188"/>
      <c r="N14" s="188"/>
      <c r="O14" s="188"/>
      <c r="P14" s="188"/>
      <c r="Q14" s="188"/>
      <c r="R14" s="188"/>
      <c r="S14" s="188"/>
      <c r="T14" s="188"/>
      <c r="U14" s="188"/>
      <c r="V14" s="188"/>
      <c r="W14" s="188"/>
      <c r="X14" s="188"/>
      <c r="Y14" s="188"/>
      <c r="Z14" s="188"/>
      <c r="AA14" s="188"/>
      <c r="AB14" s="188"/>
      <c r="AC14" s="188"/>
      <c r="AD14" s="188" t="b">
        <v>1</v>
      </c>
      <c r="AE14" s="188" t="b">
        <v>1</v>
      </c>
      <c r="AF14" s="188" t="b">
        <v>1</v>
      </c>
      <c r="AG14" s="188"/>
      <c r="AH14" s="188" t="b">
        <v>1</v>
      </c>
      <c r="AI14" s="188" t="b">
        <v>1</v>
      </c>
      <c r="AJ14" s="188" t="b">
        <v>1</v>
      </c>
      <c r="AK14" s="188"/>
      <c r="AL14" s="188"/>
      <c r="AM14" s="188"/>
      <c r="AN14" s="188"/>
      <c r="AO14" s="188"/>
      <c r="AP14" s="188"/>
      <c r="AQ14" s="188"/>
      <c r="AR14" s="188"/>
      <c r="AS14" s="188"/>
      <c r="AT14" s="188"/>
      <c r="AU14" s="188"/>
    </row>
    <row r="15" spans="1:47" s="4" customFormat="1" ht="16">
      <c r="A15" s="48"/>
      <c r="B15" s="90"/>
      <c r="C15" s="54"/>
      <c r="D15" s="54"/>
      <c r="I15" s="87"/>
      <c r="J15" s="188"/>
      <c r="K15" s="188"/>
      <c r="L15" s="188"/>
      <c r="M15" s="188"/>
      <c r="N15" s="188"/>
      <c r="O15" s="188"/>
      <c r="P15" s="188"/>
      <c r="Q15" s="188"/>
      <c r="R15" s="188"/>
      <c r="S15" s="188"/>
      <c r="T15" s="188"/>
      <c r="U15" s="188"/>
      <c r="V15" s="188"/>
      <c r="W15" s="188"/>
      <c r="X15" s="188"/>
      <c r="Y15" s="188"/>
      <c r="Z15" s="188"/>
      <c r="AA15" s="188"/>
      <c r="AB15" s="188"/>
      <c r="AC15" s="188"/>
      <c r="AD15" s="188" t="b">
        <v>0</v>
      </c>
      <c r="AE15" s="188" t="b">
        <v>0</v>
      </c>
      <c r="AF15" s="188" t="b">
        <v>0</v>
      </c>
      <c r="AG15" s="188"/>
      <c r="AH15" s="188" t="b">
        <v>1</v>
      </c>
      <c r="AI15" s="188" t="b">
        <v>1</v>
      </c>
      <c r="AJ15" s="188" t="b">
        <v>1</v>
      </c>
      <c r="AK15" s="188"/>
      <c r="AL15" s="188"/>
      <c r="AM15" s="188"/>
      <c r="AN15" s="188"/>
      <c r="AO15" s="188"/>
      <c r="AP15" s="188"/>
      <c r="AQ15" s="188"/>
      <c r="AR15" s="188"/>
      <c r="AS15" s="188"/>
      <c r="AT15" s="188"/>
      <c r="AU15" s="188"/>
    </row>
    <row r="16" spans="1:47" s="3" customFormat="1" ht="23" customHeight="1">
      <c r="A16" s="46"/>
      <c r="B16" s="91" t="s">
        <v>6</v>
      </c>
      <c r="C16" s="55"/>
      <c r="D16" s="55"/>
      <c r="E16" s="55"/>
      <c r="F16" s="55"/>
      <c r="G16" s="70"/>
      <c r="H16" s="40"/>
      <c r="I16" s="92"/>
      <c r="J16" s="187"/>
      <c r="K16" s="187"/>
      <c r="L16" s="187"/>
      <c r="M16" s="187"/>
      <c r="N16" s="187"/>
      <c r="O16" s="187"/>
      <c r="P16" s="187"/>
      <c r="Q16" s="187"/>
      <c r="R16" s="187"/>
      <c r="S16" s="187"/>
      <c r="T16" s="187"/>
      <c r="U16" s="187"/>
      <c r="V16" s="187"/>
      <c r="W16" s="187"/>
      <c r="X16" s="187"/>
      <c r="Y16" s="187"/>
      <c r="Z16" s="187"/>
      <c r="AA16" s="187"/>
      <c r="AB16" s="187"/>
      <c r="AC16" s="187"/>
      <c r="AD16" s="187"/>
      <c r="AE16" s="187"/>
      <c r="AF16" s="187"/>
      <c r="AG16" s="187"/>
      <c r="AH16" s="187" t="b">
        <v>1</v>
      </c>
      <c r="AI16" s="187" t="b">
        <v>1</v>
      </c>
      <c r="AJ16" s="187" t="b">
        <v>1</v>
      </c>
      <c r="AK16" s="187"/>
      <c r="AL16" s="187"/>
      <c r="AM16" s="187"/>
      <c r="AN16" s="187"/>
      <c r="AO16" s="187"/>
      <c r="AP16" s="187"/>
      <c r="AQ16" s="187"/>
      <c r="AR16" s="187"/>
      <c r="AS16" s="187"/>
      <c r="AT16" s="187"/>
      <c r="AU16" s="187"/>
    </row>
    <row r="17" spans="1:50" s="3" customFormat="1" ht="23" customHeight="1">
      <c r="A17" s="46"/>
      <c r="B17" s="91"/>
      <c r="C17" s="71"/>
      <c r="D17" s="71"/>
      <c r="E17" s="71"/>
      <c r="F17" s="71"/>
      <c r="G17" s="72"/>
      <c r="H17" s="40"/>
      <c r="I17" s="92"/>
      <c r="J17" s="187"/>
      <c r="K17" s="187"/>
      <c r="L17" s="187"/>
      <c r="M17" s="187"/>
      <c r="N17" s="187"/>
      <c r="O17" s="187"/>
      <c r="P17" s="187"/>
      <c r="Q17" s="187"/>
      <c r="R17" s="187"/>
      <c r="S17" s="187"/>
      <c r="T17" s="187"/>
      <c r="U17" s="187"/>
      <c r="V17" s="187"/>
      <c r="W17" s="187"/>
      <c r="X17" s="187"/>
      <c r="Y17" s="187"/>
      <c r="Z17" s="187"/>
      <c r="AA17" s="187"/>
      <c r="AB17" s="187"/>
      <c r="AC17" s="187"/>
      <c r="AD17" s="187"/>
      <c r="AE17" s="189"/>
      <c r="AF17" s="189"/>
      <c r="AG17" s="189"/>
      <c r="AH17" s="189" t="b">
        <v>0</v>
      </c>
      <c r="AI17" s="189" t="b">
        <v>0</v>
      </c>
      <c r="AJ17" s="187" t="b">
        <v>0</v>
      </c>
      <c r="AK17" s="187"/>
      <c r="AS17" s="187"/>
      <c r="AT17" s="187"/>
      <c r="AU17" s="187"/>
    </row>
    <row r="18" spans="1:50" s="3" customFormat="1" ht="23" customHeight="1">
      <c r="A18" s="46"/>
      <c r="B18" s="91"/>
      <c r="C18" s="221"/>
      <c r="D18" s="221"/>
      <c r="E18" s="221"/>
      <c r="F18" s="221"/>
      <c r="G18" s="221"/>
      <c r="H18" s="221"/>
      <c r="I18" s="222"/>
      <c r="AL18" s="119" t="s">
        <v>320</v>
      </c>
    </row>
    <row r="19" spans="1:50" s="3" customFormat="1" ht="13" customHeight="1" thickBot="1">
      <c r="A19" s="46"/>
      <c r="B19" s="91"/>
      <c r="C19" s="221"/>
      <c r="D19" s="221"/>
      <c r="E19" s="221"/>
      <c r="F19" s="221"/>
      <c r="G19" s="221"/>
      <c r="H19" s="221"/>
      <c r="I19" s="222"/>
      <c r="AE19" s="4"/>
      <c r="AF19" s="4"/>
      <c r="AG19" s="4"/>
      <c r="AH19" s="4"/>
      <c r="AI19" s="4"/>
      <c r="AJ19" s="4"/>
      <c r="AK19" s="4"/>
    </row>
    <row r="20" spans="1:50" s="3" customFormat="1" ht="34" customHeight="1">
      <c r="A20" s="46"/>
      <c r="B20" s="91"/>
      <c r="C20" s="56"/>
      <c r="D20" s="56"/>
      <c r="E20" s="56"/>
      <c r="F20" s="56"/>
      <c r="G20" s="56"/>
      <c r="H20" s="56"/>
      <c r="I20" s="93"/>
      <c r="K20" s="137" t="s">
        <v>328</v>
      </c>
      <c r="L20" s="191" cm="1">
        <f t="array" ref="L20:S22">IFERROR(
    _xlfn.WRAPCOLS(
        _xlfn.TOCOL(
            INDEX(
                _xlfn._xlws.FILTER(
                    _xlfn.UNIQUE(_xlfn.HSTACK(LineEntry, DateEntry, PayIDEntry)),
                    _xlfn.BYROW(_xlfn.UNIQUE(_xlfn.HSTACK(LineEntry, DateEntry, PayIDEntry)), _xlfn.LAMBDA(_xlpm.row, SUM(_xlpm.row)&lt;&gt;0))
                ),
                _xlfn.SEQUENCE(8,1),
                {1,2,3}
            )
        ),
        3
    ),
    ""
)</f>
        <v>204</v>
      </c>
      <c r="M20" s="192">
        <v>205</v>
      </c>
      <c r="N20" s="192">
        <v>112</v>
      </c>
      <c r="O20" s="192">
        <v>1</v>
      </c>
      <c r="P20" s="192">
        <v>5</v>
      </c>
      <c r="Q20" s="192">
        <v>6</v>
      </c>
      <c r="R20" s="192">
        <v>207</v>
      </c>
      <c r="S20" s="192">
        <v>209</v>
      </c>
      <c r="T20" s="193"/>
      <c r="V20" s="137" t="s">
        <v>328</v>
      </c>
      <c r="W20" s="134" cm="1">
        <f t="array" ref="W20:AE22">TRANSPOSE(_xlfn._xlws.SORT(TRANSPOSE(L20:T22), 1, TRUE))</f>
        <v>1</v>
      </c>
      <c r="X20" s="134">
        <v>5</v>
      </c>
      <c r="Y20" s="134">
        <v>6</v>
      </c>
      <c r="Z20" s="134">
        <v>112</v>
      </c>
      <c r="AA20" s="134">
        <v>204</v>
      </c>
      <c r="AB20" s="134">
        <v>205</v>
      </c>
      <c r="AC20" s="134">
        <v>207</v>
      </c>
      <c r="AD20" s="134">
        <v>209</v>
      </c>
      <c r="AE20" s="134">
        <v>0</v>
      </c>
      <c r="AL20" s="208" t="s">
        <v>333</v>
      </c>
      <c r="AM20" s="208"/>
      <c r="AN20" s="208"/>
      <c r="AO20" s="208"/>
      <c r="AP20" s="208"/>
      <c r="AQ20" s="208"/>
      <c r="AR20" s="4" t="s">
        <v>334</v>
      </c>
    </row>
    <row r="21" spans="1:50" s="3" customFormat="1" ht="16" customHeight="1">
      <c r="A21" s="46"/>
      <c r="B21" s="91"/>
      <c r="C21" s="56"/>
      <c r="D21" s="56"/>
      <c r="E21" s="56"/>
      <c r="F21" s="56"/>
      <c r="G21" s="56"/>
      <c r="H21" s="56"/>
      <c r="I21" s="93"/>
      <c r="K21" s="137" t="s">
        <v>329</v>
      </c>
      <c r="L21" s="194">
        <v>45849</v>
      </c>
      <c r="M21" s="195">
        <v>45849</v>
      </c>
      <c r="N21" s="195">
        <v>45848</v>
      </c>
      <c r="O21" s="195">
        <v>45849</v>
      </c>
      <c r="P21" s="195">
        <v>45849</v>
      </c>
      <c r="Q21" s="195">
        <v>45849</v>
      </c>
      <c r="R21" s="195">
        <v>45849</v>
      </c>
      <c r="S21" s="195">
        <v>45849</v>
      </c>
      <c r="T21" s="196"/>
      <c r="V21" s="137" t="s">
        <v>329</v>
      </c>
      <c r="W21" s="135">
        <v>45849</v>
      </c>
      <c r="X21" s="135">
        <v>45849</v>
      </c>
      <c r="Y21" s="135">
        <v>45849</v>
      </c>
      <c r="Z21" s="135">
        <v>45848</v>
      </c>
      <c r="AA21" s="135">
        <v>45849</v>
      </c>
      <c r="AB21" s="135">
        <v>45849</v>
      </c>
      <c r="AC21" s="135">
        <v>45849</v>
      </c>
      <c r="AD21" s="135">
        <v>45849</v>
      </c>
      <c r="AE21" s="135">
        <v>0</v>
      </c>
      <c r="AL21" s="144" cm="1">
        <f t="array" ref="AL21:AQ23">IFERROR(
    _xlfn.WRAPCOLS(
        _xlfn.TOCOL(
            INDEX(
                _xlfn._xlws.FILTER(
                    _xlfn.UNIQUE(_xlfn.HSTACK(LineEntryOld3, DateEntryOld3, PayIDEntryOld3)),
                    _xlfn.BYROW(_xlfn.UNIQUE(_xlfn.HSTACK(LineEntryOld3, DateEntryOld3, PayIDEntryOld3)), _xlfn.LAMBDA(_xlpm.row, SUM(_xlpm.row)&lt;&gt;0))
                ),
                _xlfn.SEQUENCE(6,1),
                {1,2,3}
            )
        ),
        3
    ),
    ""
)</f>
        <v>204</v>
      </c>
      <c r="AM21" s="145">
        <v>205</v>
      </c>
      <c r="AN21" s="145">
        <v>112</v>
      </c>
      <c r="AO21" s="145">
        <v>1</v>
      </c>
      <c r="AP21" s="145">
        <v>5</v>
      </c>
      <c r="AQ21" s="146">
        <v>6</v>
      </c>
      <c r="AR21" s="3" cm="1">
        <f t="array" ref="AR21">SUMPRODUCT(--(TRIM(AL21:AQ21)&lt;&gt;""))</f>
        <v>6</v>
      </c>
      <c r="AS21" s="3" cm="1">
        <f t="array" ref="AS21:AX23">_xlfn._xlws.SORT(AL21:AQ23, 1, TRUE, FALSE)</f>
        <v>204</v>
      </c>
      <c r="AT21" s="3">
        <v>205</v>
      </c>
      <c r="AU21" s="3">
        <v>112</v>
      </c>
      <c r="AV21" s="3">
        <v>1</v>
      </c>
      <c r="AW21" s="3">
        <v>5</v>
      </c>
      <c r="AX21" s="3">
        <v>6</v>
      </c>
    </row>
    <row r="22" spans="1:50" ht="30" customHeight="1" thickBot="1">
      <c r="A22" s="42"/>
      <c r="B22" s="212"/>
      <c r="C22" s="213"/>
      <c r="D22" s="214"/>
      <c r="E22" s="214"/>
      <c r="F22" s="214"/>
      <c r="G22" s="214"/>
      <c r="H22" s="214"/>
      <c r="I22" s="215"/>
      <c r="K22" s="137" t="s">
        <v>330</v>
      </c>
      <c r="L22" s="197" t="str">
        <v>CC 2456</v>
      </c>
      <c r="M22" s="198" t="str">
        <v>CC 2456</v>
      </c>
      <c r="N22" s="198" t="str">
        <v>CHK 101</v>
      </c>
      <c r="O22" s="198" t="str">
        <v>CASH</v>
      </c>
      <c r="P22" s="198" t="str">
        <v>CC 2456</v>
      </c>
      <c r="Q22" s="198" t="str">
        <v>CC 2456</v>
      </c>
      <c r="R22" s="198" t="str">
        <v>CC 2456</v>
      </c>
      <c r="S22" s="198" t="str">
        <v>CC 2456</v>
      </c>
      <c r="T22" s="199"/>
      <c r="V22" s="137" t="s">
        <v>330</v>
      </c>
      <c r="W22" s="200" t="str">
        <v>CASH</v>
      </c>
      <c r="X22" s="200" t="str">
        <v>CC 2456</v>
      </c>
      <c r="Y22" s="200" t="str">
        <v>CC 2456</v>
      </c>
      <c r="Z22" s="200" t="str">
        <v>CHK 101</v>
      </c>
      <c r="AA22" s="200" t="str">
        <v>CC 2456</v>
      </c>
      <c r="AB22" s="200" t="str">
        <v>CC 2456</v>
      </c>
      <c r="AC22" s="200" t="str">
        <v>CC 2456</v>
      </c>
      <c r="AD22" s="200" t="str">
        <v>CC 2456</v>
      </c>
      <c r="AE22" s="136">
        <v>0</v>
      </c>
      <c r="AL22" s="46">
        <v>45849</v>
      </c>
      <c r="AM22" s="3">
        <v>45849</v>
      </c>
      <c r="AN22" s="3">
        <v>45848</v>
      </c>
      <c r="AO22" s="3">
        <v>45849</v>
      </c>
      <c r="AP22" s="3">
        <v>45849</v>
      </c>
      <c r="AQ22" s="147">
        <v>45849</v>
      </c>
      <c r="AR22" s="3"/>
      <c r="AS22" s="190">
        <v>45849</v>
      </c>
      <c r="AT22" s="190">
        <v>45849</v>
      </c>
      <c r="AU22" s="190">
        <v>45848</v>
      </c>
      <c r="AV22" s="190">
        <v>45849</v>
      </c>
      <c r="AW22" s="190">
        <v>45849</v>
      </c>
      <c r="AX22" s="190">
        <v>45849</v>
      </c>
    </row>
    <row r="23" spans="1:50" s="4" customFormat="1" ht="16" customHeight="1" thickBot="1">
      <c r="A23" s="48"/>
      <c r="B23" s="94" t="s">
        <v>4</v>
      </c>
      <c r="C23" s="216" t="s">
        <v>3</v>
      </c>
      <c r="D23" s="217"/>
      <c r="E23" s="65" t="s">
        <v>12</v>
      </c>
      <c r="F23" s="65" t="s">
        <v>18</v>
      </c>
      <c r="G23" s="65" t="s">
        <v>2</v>
      </c>
      <c r="H23" s="65" t="s">
        <v>1</v>
      </c>
      <c r="I23" s="95" t="s">
        <v>0</v>
      </c>
      <c r="W23" s="118" t="s">
        <v>314</v>
      </c>
      <c r="X23" s="118" t="s">
        <v>325</v>
      </c>
      <c r="Y23" s="118" t="s">
        <v>315</v>
      </c>
      <c r="Z23" s="118" t="s">
        <v>316</v>
      </c>
      <c r="AA23" s="118" t="s">
        <v>317</v>
      </c>
      <c r="AB23" s="118" t="s">
        <v>318</v>
      </c>
      <c r="AC23" s="118" t="s">
        <v>341</v>
      </c>
      <c r="AD23" s="118" t="s">
        <v>340</v>
      </c>
      <c r="AE23" s="118" t="s">
        <v>339</v>
      </c>
      <c r="AL23" s="62" t="str">
        <v>CC 2456</v>
      </c>
      <c r="AM23" s="63" t="str">
        <v>CC 2456</v>
      </c>
      <c r="AN23" s="63" t="str">
        <v>CHK 101</v>
      </c>
      <c r="AO23" s="63" t="str">
        <v>CASH</v>
      </c>
      <c r="AP23" s="63" t="str">
        <v>CC 2456</v>
      </c>
      <c r="AQ23" s="64" t="str">
        <v>CC 2456</v>
      </c>
      <c r="AR23" s="1"/>
      <c r="AS23" s="4" t="str">
        <v>CC 2456</v>
      </c>
      <c r="AT23" s="4" t="str">
        <v>CC 2456</v>
      </c>
      <c r="AU23" s="4" t="str">
        <v>CHK 101</v>
      </c>
      <c r="AV23" s="4" t="str">
        <v>CASH</v>
      </c>
      <c r="AW23" s="4" t="str">
        <v>CC 2456</v>
      </c>
      <c r="AX23" s="4" t="str">
        <v>CC 2456</v>
      </c>
    </row>
    <row r="24" spans="1:50" s="4" customFormat="1" ht="16" customHeight="1">
      <c r="A24" s="48"/>
      <c r="B24" s="122">
        <v>204</v>
      </c>
      <c r="C24" s="209" t="s">
        <v>312</v>
      </c>
      <c r="D24" s="210"/>
      <c r="E24" s="116">
        <v>45849</v>
      </c>
      <c r="F24" s="124" t="s">
        <v>313</v>
      </c>
      <c r="G24" s="6">
        <v>1</v>
      </c>
      <c r="H24" s="5">
        <v>100</v>
      </c>
      <c r="I24" s="96">
        <f>G24*H24</f>
        <v>100</v>
      </c>
      <c r="W24" s="133" t="str">
        <f>IF($B24="", "", IF(AND($I24, $B24=W$20, $E24=W$21, $F24=W$22, SUM($I$24)&gt;0), $I24, ""))</f>
        <v/>
      </c>
      <c r="X24" s="133" t="str">
        <f t="shared" ref="X24:AE24" si="0">IF($B24="", "", IF(AND($I24, $B24=X$20, $E24=X$21, $F24=X$22, SUM($I$24)&gt;0), $I24, ""))</f>
        <v/>
      </c>
      <c r="Y24" s="133" t="str">
        <f t="shared" si="0"/>
        <v/>
      </c>
      <c r="Z24" s="133" t="str">
        <f>IF($B24="", "", IF(AND($I24, $B24=Z$20, $E24=Z$21, $F24=Z$22, SUM($I$24)&gt;0), $I24, ""))</f>
        <v/>
      </c>
      <c r="AA24" s="133">
        <f t="shared" si="0"/>
        <v>100</v>
      </c>
      <c r="AB24" s="133" t="str">
        <f t="shared" si="0"/>
        <v/>
      </c>
      <c r="AC24" s="133" t="str">
        <f t="shared" si="0"/>
        <v/>
      </c>
      <c r="AD24" s="133" t="str">
        <f t="shared" si="0"/>
        <v/>
      </c>
      <c r="AE24" s="133" t="str">
        <f t="shared" si="0"/>
        <v/>
      </c>
    </row>
    <row r="25" spans="1:50" s="4" customFormat="1" ht="16" customHeight="1">
      <c r="A25" s="48"/>
      <c r="B25" s="122">
        <v>205</v>
      </c>
      <c r="C25" s="209"/>
      <c r="D25" s="210"/>
      <c r="E25" s="116">
        <v>45849</v>
      </c>
      <c r="F25" s="124" t="s">
        <v>313</v>
      </c>
      <c r="G25" s="6">
        <v>1</v>
      </c>
      <c r="H25" s="5">
        <v>50</v>
      </c>
      <c r="I25" s="96">
        <f t="shared" ref="I25:I35" si="1">G25*H25</f>
        <v>50</v>
      </c>
      <c r="W25" s="133" t="str">
        <f t="shared" ref="W25:AE35" si="2">IF($B25="", "", IF(AND($I25, $B25=W$20, $E25=W$21, $F25=W$22, SUM($I$24)&gt;0), $I25, ""))</f>
        <v/>
      </c>
      <c r="X25" s="133" t="str">
        <f t="shared" si="2"/>
        <v/>
      </c>
      <c r="Y25" s="133" t="str">
        <f t="shared" si="2"/>
        <v/>
      </c>
      <c r="Z25" s="133" t="str">
        <f t="shared" si="2"/>
        <v/>
      </c>
      <c r="AA25" s="133" t="str">
        <f t="shared" si="2"/>
        <v/>
      </c>
      <c r="AB25" s="133">
        <f t="shared" si="2"/>
        <v>50</v>
      </c>
      <c r="AC25" s="133" t="str">
        <f t="shared" si="2"/>
        <v/>
      </c>
      <c r="AD25" s="133" t="str">
        <f t="shared" si="2"/>
        <v/>
      </c>
      <c r="AE25" s="133" t="str">
        <f t="shared" si="2"/>
        <v/>
      </c>
    </row>
    <row r="26" spans="1:50" s="4" customFormat="1" ht="16" customHeight="1">
      <c r="A26" s="48"/>
      <c r="B26" s="122">
        <v>112</v>
      </c>
      <c r="C26" s="209" t="s">
        <v>326</v>
      </c>
      <c r="D26" s="210"/>
      <c r="E26" s="116">
        <v>45848</v>
      </c>
      <c r="F26" s="124" t="s">
        <v>327</v>
      </c>
      <c r="G26" s="6">
        <v>1</v>
      </c>
      <c r="H26" s="5">
        <v>1000</v>
      </c>
      <c r="I26" s="96">
        <f t="shared" si="1"/>
        <v>1000</v>
      </c>
      <c r="W26" s="133" t="str">
        <f t="shared" si="2"/>
        <v/>
      </c>
      <c r="X26" s="133" t="str">
        <f t="shared" si="2"/>
        <v/>
      </c>
      <c r="Y26" s="133" t="str">
        <f t="shared" si="2"/>
        <v/>
      </c>
      <c r="Z26" s="133">
        <f t="shared" si="2"/>
        <v>1000</v>
      </c>
      <c r="AA26" s="133" t="str">
        <f t="shared" si="2"/>
        <v/>
      </c>
      <c r="AB26" s="133" t="str">
        <f t="shared" si="2"/>
        <v/>
      </c>
      <c r="AC26" s="133" t="str">
        <f t="shared" si="2"/>
        <v/>
      </c>
      <c r="AD26" s="133" t="str">
        <f t="shared" si="2"/>
        <v/>
      </c>
      <c r="AE26" s="133" t="str">
        <f t="shared" si="2"/>
        <v/>
      </c>
    </row>
    <row r="27" spans="1:50" s="4" customFormat="1" ht="16">
      <c r="A27" s="48"/>
      <c r="B27" s="122">
        <v>204</v>
      </c>
      <c r="C27" s="209" t="s">
        <v>312</v>
      </c>
      <c r="D27" s="210"/>
      <c r="E27" s="116">
        <v>45849</v>
      </c>
      <c r="F27" s="124" t="s">
        <v>313</v>
      </c>
      <c r="G27" s="6">
        <v>1</v>
      </c>
      <c r="H27" s="5">
        <v>100</v>
      </c>
      <c r="I27" s="96">
        <f t="shared" si="1"/>
        <v>100</v>
      </c>
      <c r="W27" s="133" t="str">
        <f t="shared" si="2"/>
        <v/>
      </c>
      <c r="X27" s="133" t="str">
        <f t="shared" si="2"/>
        <v/>
      </c>
      <c r="Y27" s="133" t="str">
        <f t="shared" si="2"/>
        <v/>
      </c>
      <c r="Z27" s="133" t="str">
        <f t="shared" si="2"/>
        <v/>
      </c>
      <c r="AA27" s="133">
        <f t="shared" si="2"/>
        <v>100</v>
      </c>
      <c r="AB27" s="133" t="str">
        <f t="shared" si="2"/>
        <v/>
      </c>
      <c r="AC27" s="133" t="str">
        <f t="shared" si="2"/>
        <v/>
      </c>
      <c r="AD27" s="133" t="str">
        <f t="shared" si="2"/>
        <v/>
      </c>
      <c r="AE27" s="133" t="str">
        <f t="shared" si="2"/>
        <v/>
      </c>
    </row>
    <row r="28" spans="1:50" s="4" customFormat="1" ht="16" customHeight="1">
      <c r="A28" s="48"/>
      <c r="B28" s="122">
        <v>1</v>
      </c>
      <c r="C28" s="209" t="s">
        <v>336</v>
      </c>
      <c r="D28" s="210"/>
      <c r="E28" s="116">
        <v>45849</v>
      </c>
      <c r="F28" s="124" t="s">
        <v>5</v>
      </c>
      <c r="G28" s="6">
        <v>1</v>
      </c>
      <c r="H28" s="5">
        <v>1000</v>
      </c>
      <c r="I28" s="96">
        <f t="shared" si="1"/>
        <v>1000</v>
      </c>
      <c r="W28" s="133">
        <f t="shared" si="2"/>
        <v>1000</v>
      </c>
      <c r="X28" s="133" t="str">
        <f t="shared" si="2"/>
        <v/>
      </c>
      <c r="Y28" s="133" t="str">
        <f t="shared" si="2"/>
        <v/>
      </c>
      <c r="Z28" s="133" t="str">
        <f t="shared" si="2"/>
        <v/>
      </c>
      <c r="AA28" s="133" t="str">
        <f t="shared" si="2"/>
        <v/>
      </c>
      <c r="AB28" s="133" t="str">
        <f t="shared" si="2"/>
        <v/>
      </c>
      <c r="AC28" s="133" t="str">
        <f t="shared" si="2"/>
        <v/>
      </c>
      <c r="AD28" s="133" t="str">
        <f t="shared" si="2"/>
        <v/>
      </c>
      <c r="AE28" s="133" t="str">
        <f t="shared" si="2"/>
        <v/>
      </c>
    </row>
    <row r="29" spans="1:50" s="4" customFormat="1" ht="16" customHeight="1">
      <c r="A29" s="48"/>
      <c r="B29" s="122">
        <v>5</v>
      </c>
      <c r="C29" s="209" t="s">
        <v>312</v>
      </c>
      <c r="D29" s="210"/>
      <c r="E29" s="116">
        <v>45849</v>
      </c>
      <c r="F29" s="124" t="s">
        <v>313</v>
      </c>
      <c r="G29" s="6">
        <v>1</v>
      </c>
      <c r="H29" s="5">
        <v>100</v>
      </c>
      <c r="I29" s="96">
        <f t="shared" si="1"/>
        <v>100</v>
      </c>
      <c r="W29" s="133" t="str">
        <f t="shared" si="2"/>
        <v/>
      </c>
      <c r="X29" s="133">
        <f t="shared" si="2"/>
        <v>100</v>
      </c>
      <c r="Y29" s="133" t="str">
        <f t="shared" si="2"/>
        <v/>
      </c>
      <c r="Z29" s="133" t="str">
        <f t="shared" si="2"/>
        <v/>
      </c>
      <c r="AA29" s="133" t="str">
        <f t="shared" si="2"/>
        <v/>
      </c>
      <c r="AB29" s="133" t="str">
        <f t="shared" si="2"/>
        <v/>
      </c>
      <c r="AC29" s="133" t="str">
        <f t="shared" si="2"/>
        <v/>
      </c>
      <c r="AD29" s="133" t="str">
        <f t="shared" si="2"/>
        <v/>
      </c>
      <c r="AE29" s="133" t="str">
        <f t="shared" si="2"/>
        <v/>
      </c>
    </row>
    <row r="30" spans="1:50" s="4" customFormat="1" ht="16" customHeight="1">
      <c r="A30" s="48"/>
      <c r="B30" s="122">
        <v>6</v>
      </c>
      <c r="C30" s="209" t="s">
        <v>312</v>
      </c>
      <c r="D30" s="210"/>
      <c r="E30" s="116">
        <v>45849</v>
      </c>
      <c r="F30" s="124" t="s">
        <v>313</v>
      </c>
      <c r="G30" s="6">
        <v>1</v>
      </c>
      <c r="H30" s="5">
        <v>100</v>
      </c>
      <c r="I30" s="96">
        <f t="shared" si="1"/>
        <v>100</v>
      </c>
      <c r="W30" s="133" t="str">
        <f t="shared" si="2"/>
        <v/>
      </c>
      <c r="X30" s="133" t="str">
        <f t="shared" si="2"/>
        <v/>
      </c>
      <c r="Y30" s="133">
        <f t="shared" si="2"/>
        <v>100</v>
      </c>
      <c r="Z30" s="133" t="str">
        <f t="shared" si="2"/>
        <v/>
      </c>
      <c r="AA30" s="133" t="str">
        <f t="shared" si="2"/>
        <v/>
      </c>
      <c r="AB30" s="133" t="str">
        <f t="shared" si="2"/>
        <v/>
      </c>
      <c r="AC30" s="133" t="str">
        <f t="shared" si="2"/>
        <v/>
      </c>
      <c r="AD30" s="133" t="str">
        <f t="shared" si="2"/>
        <v/>
      </c>
      <c r="AE30" s="133" t="str">
        <f t="shared" si="2"/>
        <v/>
      </c>
    </row>
    <row r="31" spans="1:50" s="4" customFormat="1" ht="16" customHeight="1">
      <c r="A31" s="48"/>
      <c r="B31" s="122">
        <v>204</v>
      </c>
      <c r="C31" s="209" t="s">
        <v>312</v>
      </c>
      <c r="D31" s="210"/>
      <c r="E31" s="116">
        <v>45849</v>
      </c>
      <c r="F31" s="124" t="s">
        <v>313</v>
      </c>
      <c r="G31" s="6">
        <v>1</v>
      </c>
      <c r="H31" s="5">
        <v>100</v>
      </c>
      <c r="I31" s="96">
        <f t="shared" si="1"/>
        <v>100</v>
      </c>
      <c r="W31" s="133" t="str">
        <f t="shared" si="2"/>
        <v/>
      </c>
      <c r="X31" s="133" t="str">
        <f t="shared" si="2"/>
        <v/>
      </c>
      <c r="Y31" s="133" t="str">
        <f t="shared" si="2"/>
        <v/>
      </c>
      <c r="Z31" s="133" t="str">
        <f t="shared" si="2"/>
        <v/>
      </c>
      <c r="AA31" s="133">
        <f t="shared" si="2"/>
        <v>100</v>
      </c>
      <c r="AB31" s="133" t="str">
        <f t="shared" si="2"/>
        <v/>
      </c>
      <c r="AC31" s="133" t="str">
        <f t="shared" si="2"/>
        <v/>
      </c>
      <c r="AD31" s="133" t="str">
        <f t="shared" si="2"/>
        <v/>
      </c>
      <c r="AE31" s="133" t="str">
        <f t="shared" si="2"/>
        <v/>
      </c>
    </row>
    <row r="32" spans="1:50" s="4" customFormat="1" ht="16" customHeight="1">
      <c r="A32" s="48"/>
      <c r="B32" s="122">
        <v>204</v>
      </c>
      <c r="C32" s="209" t="s">
        <v>312</v>
      </c>
      <c r="D32" s="210"/>
      <c r="E32" s="116">
        <v>45849</v>
      </c>
      <c r="F32" s="124" t="s">
        <v>313</v>
      </c>
      <c r="G32" s="6">
        <v>1</v>
      </c>
      <c r="H32" s="5">
        <v>100</v>
      </c>
      <c r="I32" s="96">
        <f t="shared" si="1"/>
        <v>100</v>
      </c>
      <c r="W32" s="133" t="str">
        <f t="shared" si="2"/>
        <v/>
      </c>
      <c r="X32" s="133" t="str">
        <f t="shared" si="2"/>
        <v/>
      </c>
      <c r="Y32" s="133" t="str">
        <f t="shared" si="2"/>
        <v/>
      </c>
      <c r="Z32" s="133" t="str">
        <f t="shared" si="2"/>
        <v/>
      </c>
      <c r="AA32" s="133">
        <f t="shared" si="2"/>
        <v>100</v>
      </c>
      <c r="AB32" s="133" t="str">
        <f t="shared" si="2"/>
        <v/>
      </c>
      <c r="AC32" s="133" t="str">
        <f t="shared" si="2"/>
        <v/>
      </c>
      <c r="AD32" s="133" t="str">
        <f t="shared" si="2"/>
        <v/>
      </c>
      <c r="AE32" s="133" t="str">
        <f t="shared" si="2"/>
        <v/>
      </c>
    </row>
    <row r="33" spans="1:31" s="4" customFormat="1" ht="16" customHeight="1">
      <c r="A33" s="48"/>
      <c r="B33" s="122">
        <v>207</v>
      </c>
      <c r="C33" s="209" t="s">
        <v>312</v>
      </c>
      <c r="D33" s="210"/>
      <c r="E33" s="116">
        <v>45849</v>
      </c>
      <c r="F33" s="124" t="s">
        <v>313</v>
      </c>
      <c r="G33" s="6">
        <v>1</v>
      </c>
      <c r="H33" s="5">
        <v>100</v>
      </c>
      <c r="I33" s="96">
        <f t="shared" si="1"/>
        <v>100</v>
      </c>
      <c r="W33" s="133" t="str">
        <f t="shared" si="2"/>
        <v/>
      </c>
      <c r="X33" s="133" t="str">
        <f t="shared" si="2"/>
        <v/>
      </c>
      <c r="Y33" s="133" t="str">
        <f t="shared" si="2"/>
        <v/>
      </c>
      <c r="Z33" s="133" t="str">
        <f t="shared" si="2"/>
        <v/>
      </c>
      <c r="AA33" s="133" t="str">
        <f t="shared" si="2"/>
        <v/>
      </c>
      <c r="AB33" s="133" t="str">
        <f t="shared" si="2"/>
        <v/>
      </c>
      <c r="AC33" s="133">
        <f t="shared" si="2"/>
        <v>100</v>
      </c>
      <c r="AD33" s="133" t="str">
        <f t="shared" si="2"/>
        <v/>
      </c>
      <c r="AE33" s="133" t="str">
        <f t="shared" si="2"/>
        <v/>
      </c>
    </row>
    <row r="34" spans="1:31" s="4" customFormat="1" ht="16" customHeight="1">
      <c r="A34" s="48"/>
      <c r="B34" s="122">
        <v>209</v>
      </c>
      <c r="C34" s="209" t="s">
        <v>312</v>
      </c>
      <c r="D34" s="210"/>
      <c r="E34" s="116">
        <v>45849</v>
      </c>
      <c r="F34" s="124" t="s">
        <v>313</v>
      </c>
      <c r="G34" s="6">
        <v>1</v>
      </c>
      <c r="H34" s="5">
        <v>100</v>
      </c>
      <c r="I34" s="96">
        <f t="shared" si="1"/>
        <v>100</v>
      </c>
      <c r="W34" s="133" t="str">
        <f t="shared" si="2"/>
        <v/>
      </c>
      <c r="X34" s="133" t="str">
        <f t="shared" si="2"/>
        <v/>
      </c>
      <c r="Y34" s="133" t="str">
        <f t="shared" si="2"/>
        <v/>
      </c>
      <c r="Z34" s="133" t="str">
        <f t="shared" si="2"/>
        <v/>
      </c>
      <c r="AA34" s="133" t="str">
        <f t="shared" si="2"/>
        <v/>
      </c>
      <c r="AB34" s="133" t="str">
        <f t="shared" si="2"/>
        <v/>
      </c>
      <c r="AC34" s="133" t="str">
        <f t="shared" si="2"/>
        <v/>
      </c>
      <c r="AD34" s="133">
        <f t="shared" si="2"/>
        <v>100</v>
      </c>
      <c r="AE34" s="133" t="str">
        <f t="shared" si="2"/>
        <v/>
      </c>
    </row>
    <row r="35" spans="1:31" s="4" customFormat="1" ht="16" customHeight="1" thickBot="1">
      <c r="A35" s="48"/>
      <c r="B35" s="123"/>
      <c r="C35" s="227"/>
      <c r="D35" s="228"/>
      <c r="E35" s="66"/>
      <c r="F35" s="125"/>
      <c r="G35" s="66"/>
      <c r="H35" s="67"/>
      <c r="I35" s="97">
        <f t="shared" si="1"/>
        <v>0</v>
      </c>
      <c r="W35" s="4" t="str">
        <f t="shared" si="2"/>
        <v/>
      </c>
      <c r="X35" s="4" t="str">
        <f t="shared" si="2"/>
        <v/>
      </c>
      <c r="Y35" s="4" t="str">
        <f t="shared" si="2"/>
        <v/>
      </c>
      <c r="Z35" s="4" t="str">
        <f t="shared" si="2"/>
        <v/>
      </c>
      <c r="AA35" s="4" t="str">
        <f t="shared" si="2"/>
        <v/>
      </c>
      <c r="AB35" s="4" t="str">
        <f t="shared" si="2"/>
        <v/>
      </c>
      <c r="AC35" s="4" t="str">
        <f t="shared" si="2"/>
        <v/>
      </c>
      <c r="AD35" s="4" t="str">
        <f t="shared" si="2"/>
        <v/>
      </c>
      <c r="AE35" s="4" t="str">
        <f t="shared" si="2"/>
        <v/>
      </c>
    </row>
    <row r="36" spans="1:31" s="4" customFormat="1" ht="16" customHeight="1" thickBot="1">
      <c r="A36" s="48"/>
      <c r="B36" s="98"/>
      <c r="C36" s="68"/>
      <c r="D36" s="68"/>
      <c r="E36" s="68"/>
      <c r="F36" s="68"/>
      <c r="G36" s="69"/>
      <c r="H36" s="69"/>
      <c r="I36" s="99"/>
      <c r="W36" s="138">
        <f>IF(SUM(W24:W35), SUM(W24:W35),"")</f>
        <v>1000</v>
      </c>
      <c r="X36" s="139">
        <f t="shared" ref="X36:AE36" si="3">IF(SUM(X24:X35), SUM(X24:X35),"")</f>
        <v>100</v>
      </c>
      <c r="Y36" s="140">
        <f t="shared" si="3"/>
        <v>100</v>
      </c>
      <c r="Z36" s="140">
        <f>IF(SUM(Z24:Z35), SUM(Z24:Z35),"")</f>
        <v>1000</v>
      </c>
      <c r="AA36" s="140">
        <f t="shared" si="3"/>
        <v>400</v>
      </c>
      <c r="AB36" s="141">
        <f t="shared" si="3"/>
        <v>50</v>
      </c>
      <c r="AC36" s="141">
        <f t="shared" si="3"/>
        <v>100</v>
      </c>
      <c r="AD36" s="141">
        <f t="shared" si="3"/>
        <v>100</v>
      </c>
      <c r="AE36" s="141" t="str">
        <f t="shared" si="3"/>
        <v/>
      </c>
    </row>
    <row r="37" spans="1:31" s="4" customFormat="1" ht="16" customHeight="1" thickBot="1">
      <c r="A37" s="48"/>
      <c r="B37" s="100" t="s">
        <v>263</v>
      </c>
      <c r="C37" s="2"/>
      <c r="D37" s="2"/>
      <c r="E37" s="58"/>
      <c r="F37" s="59"/>
      <c r="G37" s="107" t="s">
        <v>261</v>
      </c>
      <c r="H37" s="108"/>
      <c r="I37" s="109">
        <f>SUM(I23:I35)</f>
        <v>2850</v>
      </c>
      <c r="W37" s="129" t="s">
        <v>314</v>
      </c>
      <c r="X37" s="130" t="s">
        <v>325</v>
      </c>
      <c r="Y37" s="131" t="s">
        <v>315</v>
      </c>
      <c r="Z37" s="131" t="s">
        <v>316</v>
      </c>
      <c r="AA37" s="131" t="s">
        <v>317</v>
      </c>
      <c r="AB37" s="132" t="s">
        <v>318</v>
      </c>
      <c r="AC37" s="118" t="s">
        <v>341</v>
      </c>
      <c r="AD37" s="118" t="s">
        <v>340</v>
      </c>
      <c r="AE37" s="118" t="s">
        <v>339</v>
      </c>
    </row>
    <row r="38" spans="1:31" s="4" customFormat="1" ht="16" customHeight="1" thickBot="1">
      <c r="A38" s="48"/>
      <c r="B38" s="100"/>
      <c r="C38" s="211"/>
      <c r="D38" s="211"/>
      <c r="E38" s="61"/>
      <c r="F38" s="60"/>
      <c r="G38" s="110"/>
      <c r="H38" s="57"/>
      <c r="I38" s="101"/>
    </row>
    <row r="39" spans="1:31" s="4" customFormat="1" ht="16" customHeight="1">
      <c r="A39" s="48"/>
      <c r="B39" s="100"/>
      <c r="C39" s="1"/>
      <c r="D39" s="1"/>
      <c r="E39" s="60"/>
      <c r="F39" s="60"/>
      <c r="G39" s="110" t="s">
        <v>260</v>
      </c>
      <c r="H39" s="60" t="s">
        <v>262</v>
      </c>
      <c r="I39" s="102"/>
      <c r="W39" s="229" t="s">
        <v>331</v>
      </c>
      <c r="X39" s="230"/>
      <c r="Y39" s="230"/>
      <c r="Z39" s="230"/>
      <c r="AA39" s="230"/>
      <c r="AB39" s="230"/>
      <c r="AC39" s="231"/>
    </row>
    <row r="40" spans="1:31" ht="16" customHeight="1" thickBot="1">
      <c r="A40" s="42"/>
      <c r="B40" s="100" t="s">
        <v>264</v>
      </c>
      <c r="C40" s="2"/>
      <c r="D40" s="2"/>
      <c r="E40" s="59"/>
      <c r="F40" s="59"/>
      <c r="G40" s="110" t="s">
        <v>21</v>
      </c>
      <c r="H40" s="60"/>
      <c r="I40" s="103">
        <f>SUM(I37:I39)</f>
        <v>2850</v>
      </c>
      <c r="W40" s="169" t="s">
        <v>337</v>
      </c>
      <c r="X40" s="149" t="s">
        <v>4</v>
      </c>
      <c r="Y40" s="170" t="s">
        <v>16</v>
      </c>
      <c r="Z40" s="170" t="s">
        <v>17</v>
      </c>
      <c r="AA40" s="171" t="s">
        <v>12</v>
      </c>
      <c r="AB40" s="170" t="s">
        <v>18</v>
      </c>
      <c r="AC40" s="172" t="s">
        <v>242</v>
      </c>
      <c r="AD40" s="173" t="s">
        <v>19</v>
      </c>
    </row>
    <row r="41" spans="1:31" ht="16" customHeight="1" thickBot="1">
      <c r="B41" s="104"/>
      <c r="C41" s="105"/>
      <c r="D41" s="105"/>
      <c r="E41" s="105"/>
      <c r="F41" s="105"/>
      <c r="G41" s="104"/>
      <c r="H41" s="105"/>
      <c r="I41" s="106"/>
      <c r="W41" s="165" t="str">
        <f>IF(SUM($W$24:$W$35), "#A","")</f>
        <v>#A</v>
      </c>
      <c r="X41" s="153">
        <f>IF('2499-003'!$W41="#A", W20,"")</f>
        <v>1</v>
      </c>
      <c r="Y41" s="154" t="str">
        <f>IF('2499-003'!$W41="#A", Vendor,"")</f>
        <v>Vendor</v>
      </c>
      <c r="Z41" s="155" t="str">
        <f>IF('2499-003'!$W41="#A", Sheet_PO,"")</f>
        <v>2499-003</v>
      </c>
      <c r="AA41" s="156">
        <f>IF('2499-003'!$W41="#A", W$21,"")</f>
        <v>45849</v>
      </c>
      <c r="AB41" s="155" t="str">
        <f>IF('2499-003'!$W41="#A", W$22,"")</f>
        <v>CASH</v>
      </c>
      <c r="AC41" s="157">
        <f>IF('2499-003'!$W41="#A", W$36,"")</f>
        <v>1000</v>
      </c>
      <c r="AD41" s="155" t="str">
        <f>IF('2499-003'!$W41="#A",
      INDEX('Line No'!$B$1:$B$342, MATCH('2499-003'!$X41, 'Line No'!$A$1:$A$342, 0)),
      "")</f>
        <v>Line Producer</v>
      </c>
    </row>
    <row r="42" spans="1:31" ht="16" customHeight="1">
      <c r="W42" s="166" t="str">
        <f>IF(SUM($X$24:$X$34), "#B", "")</f>
        <v>#B</v>
      </c>
      <c r="X42" s="158">
        <f>IF('2499-003'!$W42="#B", X20,"")</f>
        <v>5</v>
      </c>
      <c r="Y42" s="158" t="str">
        <f>IF('2499-003'!$W42="#B", Vendor,"")</f>
        <v>Vendor</v>
      </c>
      <c r="Z42" s="158" t="str">
        <f>IF('2499-003'!$W42="#B", Sheet_PO,"")</f>
        <v>2499-003</v>
      </c>
      <c r="AA42" s="159">
        <f>IF('2499-003'!$W42="#B", X21,"")</f>
        <v>45849</v>
      </c>
      <c r="AB42" s="158" t="str">
        <f>IF('2499-003'!$W42="#B", X22,"")</f>
        <v>CC 2456</v>
      </c>
      <c r="AC42" s="160">
        <f>IF('2499-003'!$W42="#B", X36,"")</f>
        <v>100</v>
      </c>
      <c r="AD42" s="158" t="str">
        <f>IF('2499-003'!$W42="#B",
      INDEX('Line No'!$B$1:$B$342, MATCH('2499-003'!$X42, 'Line No'!$A$1:$A$342, 0)),
      "")</f>
        <v>1st AC</v>
      </c>
    </row>
    <row r="43" spans="1:31" ht="16" customHeight="1">
      <c r="G43" s="73"/>
      <c r="H43" s="73"/>
      <c r="I43" s="73"/>
      <c r="W43" s="167" t="str">
        <f>IF(SUM($Y$24:$Y$34), "#C", "")</f>
        <v>#C</v>
      </c>
      <c r="X43" s="155">
        <f>IF('2499-003'!$W43="#C", Y20,"")</f>
        <v>6</v>
      </c>
      <c r="Y43" s="154" t="str">
        <f>IF('2499-003'!$W43="#C", Vendor,"")</f>
        <v>Vendor</v>
      </c>
      <c r="Z43" s="155" t="str">
        <f>IF('2499-003'!$W43="#C", Sheet_PO,"")</f>
        <v>2499-003</v>
      </c>
      <c r="AA43" s="156">
        <f>IF('2499-003'!$W43="#C", Y21,"")</f>
        <v>45849</v>
      </c>
      <c r="AB43" s="155" t="str">
        <f>IF('2499-003'!$W43="#C", Y22,"")</f>
        <v>CC 2456</v>
      </c>
      <c r="AC43" s="157">
        <f>IF('2499-003'!$W43="#C", Y36,"")</f>
        <v>100</v>
      </c>
      <c r="AD43" s="155" t="str">
        <f>IF('2499-003'!$W43="#C",
      INDEX('Line No'!$B$1:$B$342, MATCH('2499-003'!$X43, 'Line No'!$A$1:$A$342, 0)),
      "")</f>
        <v>2nd AC</v>
      </c>
    </row>
    <row r="44" spans="1:31" ht="16" customHeight="1">
      <c r="G44" s="73"/>
      <c r="H44" s="128"/>
      <c r="I44" s="73"/>
      <c r="W44" s="168" t="str">
        <f>IF(SUM($Z$24:$Z$34), "#D", "")</f>
        <v>#D</v>
      </c>
      <c r="X44" s="158">
        <f>IF('2499-003'!$W44="#D", Z20,"")</f>
        <v>112</v>
      </c>
      <c r="Y44" s="158" t="str">
        <f>IF('2499-003'!$W44="#D", Vendor,"")</f>
        <v>Vendor</v>
      </c>
      <c r="Z44" s="158" t="str">
        <f>IF('2499-003'!$W44="#D", Sheet_PO,"")</f>
        <v>2499-003</v>
      </c>
      <c r="AA44" s="159">
        <f>IF('2499-003'!$W44="#D", Z21,"")</f>
        <v>45848</v>
      </c>
      <c r="AB44" s="158" t="str">
        <f>IF('2499-003'!$W44="#D", Z22,"")</f>
        <v>CHK 101</v>
      </c>
      <c r="AC44" s="160">
        <f>IF('2499-003'!$W44="#D", Z36,"")</f>
        <v>1000</v>
      </c>
      <c r="AD44" s="158" t="str">
        <f>IF('2499-003'!$W44="#D",
      INDEX('Line No'!$B$1:$B$342, MATCH('2499-003'!$X44, 'Line No'!$A$1:$A$342, 0)),
      "")</f>
        <v>Pre Pro Meals</v>
      </c>
    </row>
    <row r="45" spans="1:31" ht="16" customHeight="1">
      <c r="C45" s="142"/>
      <c r="D45" s="142"/>
      <c r="E45" s="142"/>
      <c r="F45" s="142"/>
      <c r="G45" s="74"/>
      <c r="H45" s="74"/>
      <c r="I45" s="75"/>
      <c r="W45" s="167" t="str">
        <f>IF(SUM($AA$24:$AA$34), "#E", "")</f>
        <v>#E</v>
      </c>
      <c r="X45" s="155">
        <f>IF('2499-003'!$W45="#E", AA20,"")</f>
        <v>204</v>
      </c>
      <c r="Y45" s="154" t="str">
        <f>IF('2499-003'!$W45="#E", Vendor,"")</f>
        <v>Vendor</v>
      </c>
      <c r="Z45" s="155" t="str">
        <f>IF('2499-003'!$W45="#E", Sheet_PO,"")</f>
        <v>2499-003</v>
      </c>
      <c r="AA45" s="156">
        <f>IF('2499-003'!$W45="#E", AA21,"")</f>
        <v>45849</v>
      </c>
      <c r="AB45" s="155" t="str">
        <f>IF('2499-003'!$W45="#E", AA22,"")</f>
        <v>CC 2456</v>
      </c>
      <c r="AC45" s="157">
        <f>IF('2499-003'!$W45="#E", AA36,"")</f>
        <v>400</v>
      </c>
      <c r="AD45" s="155" t="str">
        <f>IF('2499-003'!$W45="#E",
      INDEX('Line No'!$B$1:$B$342, MATCH('2499-003'!$X45, 'Line No'!$A$1:$A$342, 0)),
      "")</f>
        <v>Production Supplies</v>
      </c>
    </row>
    <row r="46" spans="1:31" ht="16" customHeight="1">
      <c r="W46" s="168" t="str">
        <f>IF(SUM($AB$24:$AB$34), "#F", "")</f>
        <v>#F</v>
      </c>
      <c r="X46" s="158">
        <f>IF('2499-003'!$W46="#F", AB20,"")</f>
        <v>205</v>
      </c>
      <c r="Y46" s="158" t="str">
        <f>IF('2499-003'!$W46="#F", Vendor,"")</f>
        <v>Vendor</v>
      </c>
      <c r="Z46" s="158" t="str">
        <f>IF('2499-003'!$W46="#F", Sheet_PO,"")</f>
        <v>2499-003</v>
      </c>
      <c r="AA46" s="159">
        <f>IF('2499-003'!$W46="#F", AB21,"")</f>
        <v>45849</v>
      </c>
      <c r="AB46" s="158" t="str">
        <f>IF('2499-003'!$W46="#F", AB22,"")</f>
        <v>CC 2456</v>
      </c>
      <c r="AC46" s="160">
        <f>IF('2499-003'!$W46="#F", AB36,"")</f>
        <v>50</v>
      </c>
      <c r="AD46" s="158" t="str">
        <f>IF('2499-003'!$W46="#F",
      INDEX('Line No'!$B$1:$B$342, MATCH('2499-003'!$X46, 'Line No'!$A$1:$A$342, 0)),
      "")</f>
        <v>Location Supplies</v>
      </c>
    </row>
    <row r="47" spans="1:31" ht="16" customHeight="1">
      <c r="W47" s="167" t="str">
        <f>IF(SUM($AC$24:$AC$34), "#G", "")</f>
        <v>#G</v>
      </c>
      <c r="X47" s="155">
        <f>IF('2499-003'!$W47="#G", AC20,"")</f>
        <v>207</v>
      </c>
      <c r="Y47" s="154" t="str">
        <f>IF('2499-003'!$W47="#G", Vendor,"")</f>
        <v>Vendor</v>
      </c>
      <c r="Z47" s="155" t="str">
        <f>IF('2499-003'!$W47="#G", Sheet_PO,"")</f>
        <v>2499-003</v>
      </c>
      <c r="AA47" s="161">
        <f>IF('2499-003'!$W47="#G", AC21,"")</f>
        <v>45849</v>
      </c>
      <c r="AB47" s="162" t="str">
        <f>IF('2499-003'!$W47="#G", AC22,"")</f>
        <v>CC 2456</v>
      </c>
      <c r="AC47" s="157">
        <f>IF('2499-003'!$W47="#G", AC36,"")</f>
        <v>100</v>
      </c>
      <c r="AD47" s="155" t="str">
        <f>IF('2499-003'!$W47="#G",
      INDEX('Line No'!$B$1:$B$342, MATCH('2499-003'!$X47, 'Line No'!$A$1:$A$342, 0)),
      "")</f>
        <v>DIT Equipment</v>
      </c>
    </row>
    <row r="48" spans="1:31" ht="16" customHeight="1">
      <c r="W48" s="168" t="str">
        <f>IF(SUM($AD$24:$AD$34), "#H", "")</f>
        <v>#H</v>
      </c>
      <c r="X48" s="158">
        <f>IF('2499-003'!$W48="#H", AD20,"")</f>
        <v>209</v>
      </c>
      <c r="Y48" s="158" t="str">
        <f>IF('2499-003'!$W48="#H", Vendor,"")</f>
        <v>Vendor</v>
      </c>
      <c r="Z48" s="158" t="str">
        <f>IF('2499-003'!$W48="#H", Sheet_PO,"")</f>
        <v>2499-003</v>
      </c>
      <c r="AA48" s="163">
        <f>IF('2499-003'!$W48="#H", AE21,"")</f>
        <v>0</v>
      </c>
      <c r="AB48" s="164">
        <f>IF('2499-003'!$W48="#H", AE22,"")</f>
        <v>0</v>
      </c>
      <c r="AC48" s="160" t="str">
        <f>IF('2499-003'!$W48="#H", AE36,"")</f>
        <v/>
      </c>
      <c r="AD48" s="158" t="str">
        <f>IF('2499-003'!$W48="#H",
      INDEX('Line No'!$B$1:$B$342, MATCH('2499-003'!$X48, 'Line No'!$A$1:$A$342, 0)),
      "")</f>
        <v>Package Truck</v>
      </c>
    </row>
    <row r="49" spans="22:30" ht="16" customHeight="1">
      <c r="V49" s="1" cm="1">
        <f t="array" ref="V49">SUMPRODUCT(--(W41:W49&lt;&gt;""))</f>
        <v>8</v>
      </c>
      <c r="W49" s="167" t="str">
        <f>IF(SUM($AE$24:$AE$34), "#OTHER", "")</f>
        <v/>
      </c>
      <c r="X49" s="155" t="str">
        <f>IF('2499-003'!$W49="#I", AE20,"")</f>
        <v/>
      </c>
      <c r="Y49" s="154" t="str">
        <f>IF('2499-003'!$W49="#I", Vendor,"")</f>
        <v/>
      </c>
      <c r="Z49" s="155" t="str">
        <f>IF('2499-003'!$W49="#I", Sheet_PO,"")</f>
        <v/>
      </c>
      <c r="AA49" s="161" t="str">
        <f>IF('2499-003'!$W49="#I", AF21,"")</f>
        <v/>
      </c>
      <c r="AB49" s="162" t="str">
        <f>IF('2499-003'!$W49="#I", AF22,"")</f>
        <v/>
      </c>
      <c r="AC49" s="157" t="str">
        <f>IF('2499-003'!$W49="#I", AF36,"")</f>
        <v/>
      </c>
      <c r="AD49" s="155" t="str">
        <f>IF('2499-003'!$W49="#I",
      INDEX('Line No'!$B$1:$B$342, MATCH('2499-003'!$X49, 'Line No'!$A$1:$A$342, 0)),
      "")</f>
        <v/>
      </c>
    </row>
    <row r="50" spans="22:30" ht="16" customHeight="1">
      <c r="W50" s="174"/>
      <c r="X50" s="174"/>
      <c r="Y50" s="175"/>
      <c r="Z50" s="174"/>
      <c r="AA50" s="174"/>
      <c r="AB50" s="174"/>
      <c r="AC50" s="176"/>
      <c r="AD50" s="174"/>
    </row>
  </sheetData>
  <sheetProtection formatCells="0" formatColumns="0" formatRows="0" insertColumns="0" insertRows="0" deleteRows="0" selectLockedCells="1"/>
  <mergeCells count="42">
    <mergeCell ref="J3:W3"/>
    <mergeCell ref="B4:G4"/>
    <mergeCell ref="C9:D9"/>
    <mergeCell ref="F9:I9"/>
    <mergeCell ref="G1:I1"/>
    <mergeCell ref="B2:C2"/>
    <mergeCell ref="D2:G2"/>
    <mergeCell ref="G3:I3"/>
    <mergeCell ref="C5:D5"/>
    <mergeCell ref="E5:H6"/>
    <mergeCell ref="C6:D6"/>
    <mergeCell ref="B7:C7"/>
    <mergeCell ref="D7:E7"/>
    <mergeCell ref="C10:D10"/>
    <mergeCell ref="F10:I10"/>
    <mergeCell ref="C11:D11"/>
    <mergeCell ref="C12:D12"/>
    <mergeCell ref="C13:D13"/>
    <mergeCell ref="F13:I13"/>
    <mergeCell ref="C14:D14"/>
    <mergeCell ref="F14:I14"/>
    <mergeCell ref="C18:E18"/>
    <mergeCell ref="F18:I18"/>
    <mergeCell ref="C19:E19"/>
    <mergeCell ref="F19:I19"/>
    <mergeCell ref="C32:D32"/>
    <mergeCell ref="AL20:AQ20"/>
    <mergeCell ref="B22:I22"/>
    <mergeCell ref="C23:D23"/>
    <mergeCell ref="C24:D24"/>
    <mergeCell ref="C25:D25"/>
    <mergeCell ref="C26:D26"/>
    <mergeCell ref="C27:D27"/>
    <mergeCell ref="C28:D28"/>
    <mergeCell ref="C29:D29"/>
    <mergeCell ref="C30:D30"/>
    <mergeCell ref="C31:D31"/>
    <mergeCell ref="C33:D33"/>
    <mergeCell ref="C34:D34"/>
    <mergeCell ref="C35:D35"/>
    <mergeCell ref="C38:D38"/>
    <mergeCell ref="W39:AC39"/>
  </mergeCells>
  <conditionalFormatting sqref="AD41:AD49">
    <cfRule type="containsText" dxfId="7" priority="1" operator="containsText" text="zzzz">
      <formula>NOT(ISERROR(SEARCH("zzzz",AD41)))</formula>
    </cfRule>
  </conditionalFormatting>
  <printOptions horizontalCentered="1"/>
  <pageMargins left="0.75" right="0.75" top="0.5" bottom="0.5" header="0.5" footer="0.5"/>
  <pageSetup scale="81" orientation="portrait" r:id="rId1"/>
  <headerFooter alignWithMargins="0"/>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869403-0B05-374A-A7AE-504AFC6D4B57}">
  <sheetPr codeName="Sheet10">
    <pageSetUpPr fitToPage="1"/>
  </sheetPr>
  <dimension ref="A1:AX50"/>
  <sheetViews>
    <sheetView topLeftCell="A30" zoomScale="75" zoomScaleNormal="100" workbookViewId="0">
      <selection activeCell="R16" sqref="R16"/>
    </sheetView>
    <sheetView topLeftCell="A13" zoomScale="62" workbookViewId="1">
      <selection activeCell="L14" sqref="L14"/>
    </sheetView>
  </sheetViews>
  <sheetFormatPr baseColWidth="10" defaultColWidth="8.83203125" defaultRowHeight="14"/>
  <cols>
    <col min="1" max="1" width="0.83203125" style="1" customWidth="1"/>
    <col min="2" max="2" width="10.1640625" style="1" customWidth="1"/>
    <col min="3" max="3" width="14.6640625" style="1" customWidth="1"/>
    <col min="4" max="4" width="10.1640625" style="1" customWidth="1"/>
    <col min="5" max="5" width="13.5" style="1" customWidth="1"/>
    <col min="6" max="6" width="11.6640625" style="1" bestFit="1" customWidth="1"/>
    <col min="7" max="7" width="10.1640625" style="1" customWidth="1"/>
    <col min="8" max="8" width="18.83203125" style="1" customWidth="1"/>
    <col min="9" max="9" width="13.33203125" style="1" customWidth="1"/>
    <col min="10" max="11" width="5.83203125" style="1" customWidth="1"/>
    <col min="12" max="12" width="6.33203125" style="1" customWidth="1"/>
    <col min="13" max="13" width="6.1640625" style="1" customWidth="1"/>
    <col min="14" max="14" width="5.6640625" style="1" customWidth="1"/>
    <col min="15" max="15" width="5.33203125" style="1" customWidth="1"/>
    <col min="16" max="16" width="5.6640625" style="1" customWidth="1"/>
    <col min="17" max="18" width="5" style="1" customWidth="1"/>
    <col min="19" max="21" width="5.83203125" style="1" customWidth="1"/>
    <col min="22" max="22" width="6.1640625" style="1" customWidth="1"/>
    <col min="23" max="23" width="13.6640625" style="1" customWidth="1"/>
    <col min="24" max="24" width="8" style="1" customWidth="1"/>
    <col min="25" max="25" width="10.33203125" style="1" customWidth="1"/>
    <col min="26" max="26" width="11.83203125" style="1" customWidth="1"/>
    <col min="27" max="27" width="11" style="1" customWidth="1"/>
    <col min="28" max="29" width="11.83203125" style="1" customWidth="1"/>
    <col min="30" max="30" width="23.33203125" style="1" customWidth="1"/>
    <col min="31" max="31" width="8.83203125" style="1"/>
    <col min="32" max="32" width="3.33203125" style="1" customWidth="1"/>
    <col min="33" max="33" width="5.1640625" style="1" customWidth="1"/>
    <col min="34" max="37" width="8.83203125" style="1"/>
    <col min="38" max="38" width="8.83203125" style="1" customWidth="1"/>
    <col min="39" max="16384" width="8.83203125" style="1"/>
  </cols>
  <sheetData>
    <row r="1" spans="1:47" ht="45" customHeight="1">
      <c r="A1" s="41"/>
      <c r="B1" s="143" t="s">
        <v>258</v>
      </c>
      <c r="C1" s="143"/>
      <c r="D1" s="143"/>
      <c r="E1" s="143"/>
      <c r="G1" s="234"/>
      <c r="H1" s="234"/>
      <c r="I1" s="235"/>
      <c r="J1" s="185"/>
      <c r="K1" s="185"/>
      <c r="L1" s="185"/>
      <c r="M1" s="185"/>
      <c r="N1" s="185"/>
      <c r="O1" s="185"/>
      <c r="P1" s="185"/>
      <c r="Q1" s="185"/>
      <c r="R1" s="185"/>
      <c r="S1" s="185"/>
      <c r="T1" s="185"/>
      <c r="U1" s="185"/>
      <c r="V1" s="185"/>
      <c r="W1" s="185"/>
      <c r="X1" s="185"/>
      <c r="Y1" s="185"/>
      <c r="Z1" s="185"/>
      <c r="AA1" s="185"/>
      <c r="AB1" s="185"/>
      <c r="AC1" s="185"/>
      <c r="AD1" s="185"/>
      <c r="AE1" s="185"/>
      <c r="AF1" s="185"/>
      <c r="AG1" s="185"/>
      <c r="AH1" s="185"/>
      <c r="AI1" s="186" t="s">
        <v>321</v>
      </c>
      <c r="AJ1" s="185"/>
      <c r="AK1" s="185"/>
      <c r="AL1" s="185"/>
      <c r="AM1" s="185"/>
      <c r="AN1" s="185"/>
      <c r="AO1" s="185"/>
      <c r="AP1" s="185"/>
      <c r="AQ1" s="185"/>
      <c r="AR1" s="185"/>
      <c r="AS1" s="185"/>
      <c r="AT1" s="185"/>
      <c r="AU1" s="185"/>
    </row>
    <row r="2" spans="1:47" ht="12.75" customHeight="1">
      <c r="A2" s="42"/>
      <c r="B2" s="236"/>
      <c r="C2" s="237"/>
      <c r="D2" s="238"/>
      <c r="E2" s="238"/>
      <c r="F2" s="238"/>
      <c r="G2" s="238"/>
      <c r="I2" s="76"/>
      <c r="J2" s="185"/>
      <c r="K2" s="185"/>
      <c r="L2" s="185"/>
      <c r="M2" s="185"/>
      <c r="N2" s="185"/>
      <c r="O2" s="185"/>
      <c r="P2" s="185"/>
      <c r="Q2" s="185"/>
      <c r="R2" s="185"/>
      <c r="S2" s="185"/>
      <c r="T2" s="185"/>
      <c r="U2" s="185"/>
      <c r="V2" s="185"/>
      <c r="W2" s="185"/>
      <c r="X2" s="185"/>
      <c r="Y2" s="185"/>
      <c r="Z2" s="185"/>
      <c r="AA2" s="185"/>
      <c r="AB2" s="185"/>
      <c r="AC2" s="185"/>
      <c r="AD2" s="186" t="s">
        <v>323</v>
      </c>
      <c r="AE2" s="185"/>
      <c r="AF2" s="185"/>
      <c r="AG2" s="185"/>
      <c r="AH2" s="185"/>
      <c r="AI2" s="185" t="s">
        <v>322</v>
      </c>
      <c r="AJ2" s="185"/>
      <c r="AK2" s="185"/>
      <c r="AL2" s="185"/>
      <c r="AM2" s="185"/>
      <c r="AN2" s="185"/>
      <c r="AO2" s="185"/>
      <c r="AP2" s="185"/>
      <c r="AQ2" s="185"/>
      <c r="AR2" s="185"/>
      <c r="AS2" s="185"/>
      <c r="AT2" s="185"/>
      <c r="AU2" s="185"/>
    </row>
    <row r="3" spans="1:47" ht="22">
      <c r="A3" s="42"/>
      <c r="B3" s="77" t="s">
        <v>14</v>
      </c>
      <c r="C3" s="43"/>
      <c r="D3" s="44"/>
      <c r="E3" s="44"/>
      <c r="F3" s="45" t="s">
        <v>13</v>
      </c>
      <c r="G3" s="239" t="s">
        <v>304</v>
      </c>
      <c r="H3" s="239"/>
      <c r="I3" s="240"/>
      <c r="J3" s="232"/>
      <c r="K3" s="233"/>
      <c r="L3" s="233"/>
      <c r="M3" s="233"/>
      <c r="N3" s="233"/>
      <c r="O3" s="233"/>
      <c r="P3" s="233"/>
      <c r="Q3" s="233"/>
      <c r="R3" s="233"/>
      <c r="S3" s="233"/>
      <c r="T3" s="233"/>
      <c r="U3" s="233"/>
      <c r="V3" s="233"/>
      <c r="W3" s="233"/>
      <c r="X3" s="115" t="s">
        <v>308</v>
      </c>
      <c r="Y3" s="117" t="s">
        <v>309</v>
      </c>
      <c r="Z3" s="117" t="s">
        <v>310</v>
      </c>
      <c r="AA3" s="117" t="s">
        <v>311</v>
      </c>
      <c r="AD3" s="115" t="s">
        <v>319</v>
      </c>
      <c r="AM3" s="1" t="s">
        <v>324</v>
      </c>
      <c r="AR3" s="185"/>
      <c r="AS3" s="185"/>
      <c r="AT3" s="185"/>
      <c r="AU3" s="185"/>
    </row>
    <row r="4" spans="1:47" s="3" customFormat="1" ht="29" customHeight="1">
      <c r="A4" s="46"/>
      <c r="B4" s="241"/>
      <c r="C4" s="242"/>
      <c r="D4" s="242"/>
      <c r="E4" s="242"/>
      <c r="F4" s="242"/>
      <c r="G4" s="242"/>
      <c r="H4" s="47"/>
      <c r="I4" s="78"/>
      <c r="J4" s="187"/>
      <c r="K4" s="187"/>
      <c r="L4" s="187"/>
      <c r="M4" s="187"/>
      <c r="N4" s="187"/>
      <c r="O4" s="187"/>
      <c r="P4" s="187"/>
      <c r="Q4" s="187"/>
      <c r="R4" s="187"/>
      <c r="S4" s="187"/>
      <c r="T4" s="187"/>
      <c r="U4" s="187"/>
      <c r="V4" s="187"/>
      <c r="W4" s="187"/>
      <c r="X4" s="4" cm="1">
        <f t="array" ref="X4:X9">IFERROR(
INDEX(
_xlfn._xlws.FILTER(
_xlfn.UNIQUE(
LineEntryOLD2,
),_xlfn.UNIQUE(
LineEntryOLD2,
)&lt;&gt;0
),_xlfn.SEQUENCE(6,1)
),"")</f>
        <v>204</v>
      </c>
      <c r="Y4" s="4" cm="1">
        <f t="array" ref="Y4">SUMPRODUCT(--(TRIM(X4:X12)&lt;&gt;""))</f>
        <v>6</v>
      </c>
      <c r="Z4" s="4" t="str" cm="1">
        <f t="array" ref="Z4:Z6">_xlfn._xlws.SORT(INDEX(AF7:AF16, 1):INDEX(AF7:AF9, AG7), 1, TRUE)</f>
        <v>CASH</v>
      </c>
      <c r="AA4" s="4" t="str" cm="1">
        <f t="array" ref="AA4">IF(Z4="","",IFERROR(INDEX(Description, MATCH(Z4, LINEOld, 0)), "Not Found"))</f>
        <v>Not Found</v>
      </c>
      <c r="AD4" s="120" cm="1">
        <f t="array" ref="AD4:AF9">IFERROR(
    INDEX(
        _xlfn._xlws.FILTER(
            _xlfn.UNIQUE(_xlfn.HSTACK(LineEntryOLD2, DateEntryOld, PayIDEntryOld2)),
            _xlfn.BYROW(_xlfn.UNIQUE(_xlfn.HSTACK(LineEntryOLD2, DateEntryOld, PayIDEntryOld2)), _xlfn.LAMBDA(_xlpm.row, SUM(_xlpm.row)&lt;&gt;0))
        ),
        _xlfn.SEQUENCE(6,1),
        {1,2,3}
    ),
    ""
)</f>
        <v>204</v>
      </c>
      <c r="AE4" s="126">
        <v>45849</v>
      </c>
      <c r="AF4" s="120" t="str">
        <v>CC 2456</v>
      </c>
      <c r="AM4" s="148" t="s">
        <v>335</v>
      </c>
      <c r="AO4" s="3" t="str" cm="1">
        <f t="array" ref="AO4">IFERROR(
    _xlfn.WRAPCOLS(
        INDEX(
            _xlfn._xlws.FILTER(
                _xlfn.UNIQUE(_xlfn.HSTACK(LineEntryOLD2, DateEntryOld, PayIDEntryOld2)),
                _xlfn.BYROW(_xlfn.UNIQUE(_xlfn.HSTACK(LineEntryOLD2, DateEntryOld, PayIDEntryOld2)), _xlfn.LAMBDA(_xlpm.row, SUM(_xlpm.row)&lt;&gt;0))
            ),
            _xlfn.SEQUENCE(6,1),
            {1,2,3}
        ),
        3
    ),
    ""
)</f>
        <v/>
      </c>
      <c r="AQ4" s="3" t="e" cm="1" vm="1">
        <f t="array" aca="1" ref="AQ4" ca="1">IFERROR(
    _xlfn.WRAPCOLS(
        _xlfn.TOCOL(
            INDEX(
                _xlfn._xlws.FILTER(
                    _xlfn.UNIQUE(_xlfn.HSTACK(LineEntryOLD2, DateEntryOld, PayIDEntryOld2)),
                    _xlfn.BYROW(_xlfn.UNIQUE(_xlfn.HSTACK(LineEntryOLD2, DateEntryOld, PayIDEntryOld2)), _xlfn.LAMBDA(_xlpm.row, SUM(_xlpm.row)&lt;&gt;0))
                ),
                _xlfn.SEQUENCE(6,1),
                {1,2,3}
            )
        ),
        3
    ),
    ""
)</f>
        <v>#VALUE!</v>
      </c>
      <c r="AR4" s="187">
        <v>205</v>
      </c>
      <c r="AS4" s="187">
        <v>112</v>
      </c>
      <c r="AT4" s="187">
        <v>1</v>
      </c>
      <c r="AU4" s="187"/>
    </row>
    <row r="5" spans="1:47" s="4" customFormat="1" ht="16" customHeight="1">
      <c r="A5" s="48"/>
      <c r="B5" s="79" t="s">
        <v>259</v>
      </c>
      <c r="C5" s="247"/>
      <c r="D5" s="248"/>
      <c r="E5" s="243"/>
      <c r="F5" s="243"/>
      <c r="G5" s="243"/>
      <c r="H5" s="243"/>
      <c r="I5" s="80"/>
      <c r="J5" s="188"/>
      <c r="K5" s="188"/>
      <c r="L5" s="188"/>
      <c r="M5" s="188"/>
      <c r="N5" s="188"/>
      <c r="O5" s="188"/>
      <c r="P5" s="188"/>
      <c r="Q5" s="188"/>
      <c r="R5" s="188"/>
      <c r="S5" s="188"/>
      <c r="T5" s="188"/>
      <c r="U5" s="188"/>
      <c r="V5" s="188"/>
      <c r="W5" s="188"/>
      <c r="X5" s="4">
        <v>205</v>
      </c>
      <c r="Z5" s="4" t="str">
        <v>CC 2456</v>
      </c>
      <c r="AA5" s="4" t="str" cm="1">
        <f t="array" ref="AA5">IF(Z5="","",IFERROR(INDEX(Description, MATCH(Z5, LINEOld, 0)), "Not Found"))</f>
        <v>Not Found</v>
      </c>
      <c r="AD5" s="121">
        <v>205</v>
      </c>
      <c r="AE5" s="127">
        <v>45849</v>
      </c>
      <c r="AF5" s="121" t="str">
        <v>CC 2456</v>
      </c>
      <c r="AH5" t="e" cm="1">
        <f t="array" ref="AH5">_xlfn._xlws.FILTER(_xlfn.UNIQUE(_xlfn.HSTACK(LineEntryOLD2, DateEntryOld, PayIDEntryOld2)), _xlfn.UNIQUE(_xlfn.HSTACK(LineEntryOLD2, DateEntryOld, PayIDEntryOld2))&lt;&gt;0)</f>
        <v>#VALUE!</v>
      </c>
      <c r="AR5" s="188">
        <v>45849</v>
      </c>
      <c r="AS5" s="188">
        <v>45848</v>
      </c>
      <c r="AT5" s="188">
        <v>45849</v>
      </c>
      <c r="AU5" s="188"/>
    </row>
    <row r="6" spans="1:47" s="4" customFormat="1" ht="16">
      <c r="A6" s="48"/>
      <c r="B6" s="81"/>
      <c r="C6" s="249"/>
      <c r="D6" s="250"/>
      <c r="E6" s="243"/>
      <c r="F6" s="243"/>
      <c r="G6" s="243"/>
      <c r="H6" s="243"/>
      <c r="I6" s="82"/>
      <c r="J6" s="188"/>
      <c r="K6" s="188"/>
      <c r="L6" s="188"/>
      <c r="M6" s="188"/>
      <c r="N6" s="188"/>
      <c r="O6" s="188"/>
      <c r="P6" s="188"/>
      <c r="Q6" s="188"/>
      <c r="R6" s="188"/>
      <c r="S6" s="188"/>
      <c r="T6" s="188"/>
      <c r="U6" s="188"/>
      <c r="V6" s="188"/>
      <c r="W6" s="188"/>
      <c r="X6" s="4">
        <v>112</v>
      </c>
      <c r="Z6" s="4" t="str">
        <v>CC 2456</v>
      </c>
      <c r="AA6" s="4" t="str" cm="1">
        <f t="array" ref="AA6">IF(Z6="","",IFERROR(INDEX(Description, MATCH(Z6, LINEOld, 0)), "Not Found"))</f>
        <v>Not Found</v>
      </c>
      <c r="AD6" s="121">
        <v>112</v>
      </c>
      <c r="AE6" s="127">
        <v>45848</v>
      </c>
      <c r="AF6" s="121" t="str">
        <v>CHK 101</v>
      </c>
      <c r="AR6" s="188" t="s">
        <v>313</v>
      </c>
      <c r="AS6" s="188" t="s">
        <v>327</v>
      </c>
      <c r="AT6" s="188" t="s">
        <v>5</v>
      </c>
      <c r="AU6" s="188"/>
    </row>
    <row r="7" spans="1:47" s="4" customFormat="1" ht="16">
      <c r="A7" s="48"/>
      <c r="B7" s="244"/>
      <c r="C7" s="245"/>
      <c r="D7" s="246"/>
      <c r="E7" s="246"/>
      <c r="F7" s="51"/>
      <c r="G7" s="51"/>
      <c r="H7" s="51"/>
      <c r="I7" s="84"/>
      <c r="J7" s="188"/>
      <c r="K7" s="188"/>
      <c r="L7" s="188"/>
      <c r="M7" s="188"/>
      <c r="N7" s="188"/>
      <c r="O7" s="188"/>
      <c r="P7" s="188"/>
      <c r="Q7" s="188"/>
      <c r="R7" s="188"/>
      <c r="S7" s="188"/>
      <c r="T7" s="188"/>
      <c r="U7" s="188"/>
      <c r="V7" s="188"/>
      <c r="W7" s="188"/>
      <c r="X7" s="4">
        <v>1</v>
      </c>
      <c r="AA7" s="4" t="str" cm="1">
        <f t="array" ref="AA7">IF(Z7="","",IFERROR(INDEX(Description, MATCH(Z7, LINEOld, 0)), "Not Found"))</f>
        <v/>
      </c>
      <c r="AD7" s="121">
        <v>1</v>
      </c>
      <c r="AE7" s="127">
        <v>45849</v>
      </c>
      <c r="AF7" s="121" t="str">
        <v>CASH</v>
      </c>
      <c r="AR7" s="188"/>
      <c r="AS7" s="188"/>
      <c r="AT7" s="188"/>
      <c r="AU7" s="188"/>
    </row>
    <row r="8" spans="1:47" s="4" customFormat="1" ht="16">
      <c r="A8" s="48"/>
      <c r="B8" s="83"/>
      <c r="C8" s="49"/>
      <c r="D8" s="50"/>
      <c r="E8" s="50"/>
      <c r="F8" s="51"/>
      <c r="G8" s="51"/>
      <c r="H8" s="51"/>
      <c r="I8" s="84"/>
      <c r="J8" s="188"/>
      <c r="K8" s="188"/>
      <c r="L8" s="188"/>
      <c r="M8" s="188"/>
      <c r="N8" s="188"/>
      <c r="O8" s="188"/>
      <c r="P8" s="188"/>
      <c r="Q8" s="188"/>
      <c r="R8" s="188"/>
      <c r="S8" s="188"/>
      <c r="T8" s="188"/>
      <c r="U8" s="188"/>
      <c r="V8" s="188"/>
      <c r="W8" s="188"/>
      <c r="X8" s="4">
        <v>5</v>
      </c>
      <c r="AA8" s="4" t="str" cm="1">
        <f t="array" ref="AA8">IF(Z8="","",IFERROR(INDEX(Description, MATCH(Z8, LINEOld, 0)), "Not Found"))</f>
        <v/>
      </c>
      <c r="AD8" s="121">
        <v>5</v>
      </c>
      <c r="AE8" s="127">
        <v>45849</v>
      </c>
      <c r="AF8" s="121" t="str">
        <v>CC 2456</v>
      </c>
      <c r="AR8" s="188"/>
      <c r="AS8" s="188"/>
      <c r="AT8" s="188"/>
      <c r="AU8" s="188"/>
    </row>
    <row r="9" spans="1:47" s="4" customFormat="1" ht="16">
      <c r="A9" s="48"/>
      <c r="B9" s="85" t="s">
        <v>12</v>
      </c>
      <c r="C9" s="251" t="str">
        <f>IFERROR(
    IF(ISNUMBER(MATCH(Sheet_PO,#REF!, 0)),
       IF(INDEX(#REF!, MATCH(Sheet_PO,#REF!, 0)) = "", "",
          INDEX(#REF!, MATCH(Sheet_PO,#REF!, 0))),
       ""),
    "No match found")</f>
        <v/>
      </c>
      <c r="D9" s="251"/>
      <c r="E9" s="52" t="s">
        <v>11</v>
      </c>
      <c r="F9" s="252" t="str">
        <f>IF(TRIM(Job_Number)="", "", Job_Number)</f>
        <v/>
      </c>
      <c r="G9" s="252"/>
      <c r="H9" s="252"/>
      <c r="I9" s="253"/>
      <c r="J9" s="188"/>
      <c r="K9" s="188"/>
      <c r="L9" s="188"/>
      <c r="M9" s="188"/>
      <c r="N9" s="188"/>
      <c r="O9" s="188"/>
      <c r="P9" s="188"/>
      <c r="Q9" s="188"/>
      <c r="R9" s="188"/>
      <c r="S9" s="188"/>
      <c r="T9" s="188"/>
      <c r="U9" s="188"/>
      <c r="V9" s="188"/>
      <c r="W9" s="188"/>
      <c r="X9" s="4">
        <v>6</v>
      </c>
      <c r="AA9" s="4" t="str" cm="1">
        <f t="array" ref="AA9">IF(Z9="","",IFERROR(INDEX(Description, MATCH(Z9, LINEOld, 0)), "Not Found"))</f>
        <v/>
      </c>
      <c r="AD9" s="121">
        <v>6</v>
      </c>
      <c r="AE9" s="127">
        <v>45849</v>
      </c>
      <c r="AF9" s="121" t="str">
        <v>CC 2456</v>
      </c>
      <c r="AH9" s="4" t="b" cm="1">
        <f t="array" ref="AH9:AJ17">_xlfn.UNIQUE(_xlfn.HSTACK(LineEntryOLD2,DateEntryOld,PayIDEntryOld2))&lt;&gt;0</f>
        <v>1</v>
      </c>
      <c r="AI9" s="4" t="b">
        <v>1</v>
      </c>
      <c r="AJ9" s="4" t="b">
        <v>1</v>
      </c>
      <c r="AR9" s="188"/>
      <c r="AS9" s="188"/>
      <c r="AT9" s="188"/>
      <c r="AU9" s="188"/>
    </row>
    <row r="10" spans="1:47" s="4" customFormat="1" ht="14" customHeight="1">
      <c r="A10" s="48"/>
      <c r="B10" s="85" t="s">
        <v>10</v>
      </c>
      <c r="C10" s="223" t="s">
        <v>332</v>
      </c>
      <c r="D10" s="223"/>
      <c r="E10" s="52" t="s">
        <v>9</v>
      </c>
      <c r="F10" s="224" t="str">
        <f>IF(TRIM(Job_Name)="", "", Job_Name)</f>
        <v/>
      </c>
      <c r="G10" s="224"/>
      <c r="H10" s="224"/>
      <c r="I10" s="225"/>
      <c r="J10" s="188"/>
      <c r="K10" s="188"/>
      <c r="L10" s="188"/>
      <c r="M10" s="188"/>
      <c r="N10" s="188"/>
      <c r="O10" s="188"/>
      <c r="P10" s="188"/>
      <c r="Q10" s="188"/>
      <c r="R10" s="188"/>
      <c r="S10" s="188"/>
      <c r="T10" s="188"/>
      <c r="U10" s="188"/>
      <c r="V10" s="188"/>
      <c r="W10" s="187"/>
      <c r="AA10" s="4" t="str" cm="1">
        <f t="array" ref="AA10">IF(Z10="","",IFERROR(INDEX(Description, MATCH(Z10, LINEOld, 0)), "Not Found"))</f>
        <v/>
      </c>
      <c r="AH10" s="4" t="b">
        <v>1</v>
      </c>
      <c r="AI10" s="4" t="b">
        <v>1</v>
      </c>
      <c r="AJ10" s="4" t="b">
        <v>1</v>
      </c>
      <c r="AR10" s="188"/>
      <c r="AS10" s="188"/>
      <c r="AT10" s="188"/>
      <c r="AU10" s="188"/>
    </row>
    <row r="11" spans="1:47" s="4" customFormat="1" ht="17">
      <c r="A11" s="48"/>
      <c r="B11" s="86"/>
      <c r="C11" s="223"/>
      <c r="D11" s="223"/>
      <c r="E11" s="53"/>
      <c r="I11" s="87"/>
      <c r="J11" s="188"/>
      <c r="K11" s="188"/>
      <c r="L11" s="188"/>
      <c r="M11" s="188"/>
      <c r="N11" s="188"/>
      <c r="O11" s="188"/>
      <c r="P11" s="188"/>
      <c r="Q11" s="188"/>
      <c r="R11" s="188"/>
      <c r="S11" s="188"/>
      <c r="T11" s="188"/>
      <c r="U11" s="188"/>
      <c r="V11" s="188"/>
      <c r="W11" s="188"/>
      <c r="AA11" s="4" t="str" cm="1">
        <f t="array" ref="AA11">IF(Z11="","",IFERROR(INDEX(Description, MATCH(Z11, LINEOld, 0)), "Not Found"))</f>
        <v/>
      </c>
      <c r="AD11" s="119" t="e" cm="1" vm="5">
        <f t="array" aca="1" ref="AD11" ca="1">_xlfn.UNIQUE(_xlfn.HSTACK(LineEntryOLD2, DateEntryOld, PayIDEntryOld2))&lt;&gt;0</f>
        <v>#VALUE!</v>
      </c>
      <c r="AH11" s="4" t="b">
        <v>1</v>
      </c>
      <c r="AI11" s="4" t="b">
        <v>1</v>
      </c>
      <c r="AJ11" s="4" t="b">
        <v>1</v>
      </c>
      <c r="AR11" s="188"/>
      <c r="AS11" s="188"/>
      <c r="AT11" s="188"/>
      <c r="AU11" s="188"/>
    </row>
    <row r="12" spans="1:47" s="4" customFormat="1" ht="22" customHeight="1">
      <c r="A12" s="48"/>
      <c r="B12" s="85" t="s">
        <v>8</v>
      </c>
      <c r="C12" s="223"/>
      <c r="D12" s="223"/>
      <c r="E12" s="52" t="s">
        <v>7</v>
      </c>
      <c r="F12" s="7"/>
      <c r="G12" s="7"/>
      <c r="H12" s="7"/>
      <c r="I12" s="88"/>
      <c r="J12" s="188"/>
      <c r="K12" s="188"/>
      <c r="L12" s="188"/>
      <c r="M12" s="188"/>
      <c r="N12" s="188"/>
      <c r="O12" s="188"/>
      <c r="P12" s="188"/>
      <c r="Q12" s="188"/>
      <c r="R12" s="188"/>
      <c r="S12" s="188"/>
      <c r="T12" s="188"/>
      <c r="U12" s="188"/>
      <c r="V12" s="188"/>
      <c r="W12" s="188"/>
      <c r="AA12" s="4" t="str" cm="1">
        <f t="array" ref="AA12">IF(Z12="","",IFERROR(INDEX(Description, MATCH(Z12, LINEOld, 0)), "Not Found"))</f>
        <v/>
      </c>
      <c r="AH12" s="4" t="b">
        <v>1</v>
      </c>
      <c r="AI12" s="4" t="b">
        <v>1</v>
      </c>
      <c r="AJ12" s="4" t="b">
        <v>1</v>
      </c>
      <c r="AR12" s="188"/>
      <c r="AS12" s="188"/>
      <c r="AT12" s="188"/>
      <c r="AU12" s="188"/>
    </row>
    <row r="13" spans="1:47" s="4" customFormat="1" ht="16">
      <c r="A13" s="48"/>
      <c r="B13" s="89"/>
      <c r="C13" s="223"/>
      <c r="D13" s="223"/>
      <c r="F13" s="218"/>
      <c r="G13" s="219"/>
      <c r="H13" s="219"/>
      <c r="I13" s="220"/>
      <c r="J13" s="188"/>
      <c r="K13" s="188"/>
      <c r="L13" s="188"/>
      <c r="M13" s="188"/>
      <c r="N13" s="188"/>
      <c r="O13" s="188"/>
      <c r="P13" s="188"/>
      <c r="Q13" s="188"/>
      <c r="R13" s="188"/>
      <c r="S13" s="188"/>
      <c r="T13" s="188"/>
      <c r="U13" s="188"/>
      <c r="V13" s="188"/>
      <c r="W13" s="188"/>
      <c r="AA13" s="4" t="str" cm="1">
        <f t="array" ref="AA13">IF(Z13="","",IFERROR(INDEX(Description, MATCH(Z13, LINEOld, 0)), "Not Found"))</f>
        <v/>
      </c>
      <c r="AH13" s="4" t="b">
        <v>1</v>
      </c>
      <c r="AI13" s="4" t="b">
        <v>1</v>
      </c>
      <c r="AJ13" s="4" t="b">
        <v>1</v>
      </c>
      <c r="AR13" s="188"/>
      <c r="AS13" s="188"/>
      <c r="AT13" s="188"/>
      <c r="AU13" s="188"/>
    </row>
    <row r="14" spans="1:47" s="4" customFormat="1" ht="16">
      <c r="A14" s="48"/>
      <c r="B14" s="89"/>
      <c r="C14" s="226"/>
      <c r="D14" s="226"/>
      <c r="E14" s="52" t="s">
        <v>265</v>
      </c>
      <c r="F14" s="218"/>
      <c r="G14" s="219"/>
      <c r="H14" s="219"/>
      <c r="I14" s="220"/>
      <c r="J14" s="188"/>
      <c r="K14" s="188"/>
      <c r="L14" s="188"/>
      <c r="M14" s="188"/>
      <c r="N14" s="188"/>
      <c r="O14" s="188"/>
      <c r="P14" s="188"/>
      <c r="Q14" s="188"/>
      <c r="R14" s="188"/>
      <c r="S14" s="188"/>
      <c r="T14" s="188"/>
      <c r="U14" s="188"/>
      <c r="V14" s="188"/>
      <c r="W14" s="188"/>
      <c r="X14" s="188"/>
      <c r="Y14" s="188"/>
      <c r="Z14" s="188"/>
      <c r="AA14" s="188"/>
      <c r="AB14" s="188"/>
      <c r="AC14" s="188"/>
      <c r="AD14" s="188" t="b">
        <v>1</v>
      </c>
      <c r="AE14" s="188" t="b">
        <v>1</v>
      </c>
      <c r="AF14" s="188" t="b">
        <v>1</v>
      </c>
      <c r="AG14" s="188"/>
      <c r="AH14" s="188" t="b">
        <v>1</v>
      </c>
      <c r="AI14" s="188" t="b">
        <v>1</v>
      </c>
      <c r="AJ14" s="188" t="b">
        <v>1</v>
      </c>
      <c r="AK14" s="188"/>
      <c r="AL14" s="188"/>
      <c r="AM14" s="188"/>
      <c r="AN14" s="188"/>
      <c r="AO14" s="188"/>
      <c r="AP14" s="188"/>
      <c r="AQ14" s="188"/>
      <c r="AR14" s="188"/>
      <c r="AS14" s="188"/>
      <c r="AT14" s="188"/>
      <c r="AU14" s="188"/>
    </row>
    <row r="15" spans="1:47" s="4" customFormat="1" ht="16">
      <c r="A15" s="48"/>
      <c r="B15" s="90"/>
      <c r="C15" s="54"/>
      <c r="D15" s="54"/>
      <c r="I15" s="87"/>
      <c r="J15" s="188"/>
      <c r="K15" s="188"/>
      <c r="L15" s="188"/>
      <c r="M15" s="188"/>
      <c r="N15" s="188"/>
      <c r="O15" s="188"/>
      <c r="P15" s="188"/>
      <c r="Q15" s="188"/>
      <c r="R15" s="188"/>
      <c r="S15" s="188"/>
      <c r="T15" s="188"/>
      <c r="U15" s="188"/>
      <c r="V15" s="188"/>
      <c r="W15" s="188"/>
      <c r="X15" s="188"/>
      <c r="Y15" s="188"/>
      <c r="Z15" s="188"/>
      <c r="AA15" s="188"/>
      <c r="AB15" s="188"/>
      <c r="AC15" s="188"/>
      <c r="AD15" s="188" t="b">
        <v>0</v>
      </c>
      <c r="AE15" s="188" t="b">
        <v>0</v>
      </c>
      <c r="AF15" s="188" t="b">
        <v>0</v>
      </c>
      <c r="AG15" s="188"/>
      <c r="AH15" s="188" t="b">
        <v>1</v>
      </c>
      <c r="AI15" s="188" t="b">
        <v>1</v>
      </c>
      <c r="AJ15" s="188" t="b">
        <v>1</v>
      </c>
      <c r="AK15" s="188"/>
      <c r="AL15" s="188"/>
      <c r="AM15" s="188"/>
      <c r="AN15" s="188"/>
      <c r="AO15" s="188"/>
      <c r="AP15" s="188"/>
      <c r="AQ15" s="188"/>
      <c r="AR15" s="188"/>
      <c r="AS15" s="188"/>
      <c r="AT15" s="188"/>
      <c r="AU15" s="188"/>
    </row>
    <row r="16" spans="1:47" s="3" customFormat="1" ht="23" customHeight="1">
      <c r="A16" s="46"/>
      <c r="B16" s="91" t="s">
        <v>6</v>
      </c>
      <c r="C16" s="55"/>
      <c r="D16" s="55"/>
      <c r="E16" s="55"/>
      <c r="F16" s="55"/>
      <c r="G16" s="70"/>
      <c r="H16" s="40"/>
      <c r="I16" s="92"/>
      <c r="J16" s="187"/>
      <c r="K16" s="187"/>
      <c r="L16" s="187"/>
      <c r="M16" s="187"/>
      <c r="N16" s="187"/>
      <c r="O16" s="187"/>
      <c r="P16" s="187"/>
      <c r="Q16" s="187"/>
      <c r="R16" s="187"/>
      <c r="S16" s="187"/>
      <c r="T16" s="187"/>
      <c r="U16" s="187"/>
      <c r="V16" s="187"/>
      <c r="W16" s="187"/>
      <c r="X16" s="187"/>
      <c r="Y16" s="187"/>
      <c r="Z16" s="187"/>
      <c r="AA16" s="187"/>
      <c r="AB16" s="187"/>
      <c r="AC16" s="187"/>
      <c r="AD16" s="187"/>
      <c r="AE16" s="187"/>
      <c r="AF16" s="187"/>
      <c r="AG16" s="187"/>
      <c r="AH16" s="187" t="b">
        <v>1</v>
      </c>
      <c r="AI16" s="187" t="b">
        <v>1</v>
      </c>
      <c r="AJ16" s="187" t="b">
        <v>1</v>
      </c>
      <c r="AK16" s="187"/>
      <c r="AL16" s="187"/>
      <c r="AM16" s="187"/>
      <c r="AN16" s="187"/>
      <c r="AO16" s="187"/>
      <c r="AP16" s="187"/>
      <c r="AQ16" s="187"/>
      <c r="AR16" s="187"/>
      <c r="AS16" s="187"/>
      <c r="AT16" s="187"/>
      <c r="AU16" s="187"/>
    </row>
    <row r="17" spans="1:50" s="3" customFormat="1" ht="23" customHeight="1">
      <c r="A17" s="46"/>
      <c r="B17" s="91"/>
      <c r="C17" s="71"/>
      <c r="D17" s="71"/>
      <c r="E17" s="71"/>
      <c r="F17" s="71"/>
      <c r="G17" s="72"/>
      <c r="H17" s="40"/>
      <c r="I17" s="92"/>
      <c r="J17" s="187"/>
      <c r="K17" s="187"/>
      <c r="L17" s="187"/>
      <c r="M17" s="187"/>
      <c r="N17" s="187"/>
      <c r="O17" s="187"/>
      <c r="P17" s="187"/>
      <c r="Q17" s="187"/>
      <c r="R17" s="187"/>
      <c r="S17" s="187"/>
      <c r="T17" s="187"/>
      <c r="U17" s="187"/>
      <c r="V17" s="187"/>
      <c r="W17" s="187"/>
      <c r="X17" s="187"/>
      <c r="Y17" s="187"/>
      <c r="Z17" s="187"/>
      <c r="AA17" s="187"/>
      <c r="AB17" s="187"/>
      <c r="AC17" s="187"/>
      <c r="AD17" s="187"/>
      <c r="AE17" s="189"/>
      <c r="AF17" s="189"/>
      <c r="AG17" s="189"/>
      <c r="AH17" s="189" t="b">
        <v>0</v>
      </c>
      <c r="AI17" s="189" t="b">
        <v>0</v>
      </c>
      <c r="AJ17" s="187" t="b">
        <v>0</v>
      </c>
      <c r="AK17" s="187"/>
      <c r="AS17" s="187"/>
      <c r="AT17" s="187"/>
      <c r="AU17" s="187"/>
    </row>
    <row r="18" spans="1:50" s="3" customFormat="1" ht="23" customHeight="1">
      <c r="A18" s="46"/>
      <c r="B18" s="91"/>
      <c r="C18" s="221"/>
      <c r="D18" s="221"/>
      <c r="E18" s="221"/>
      <c r="F18" s="221"/>
      <c r="G18" s="221"/>
      <c r="H18" s="221"/>
      <c r="I18" s="222"/>
      <c r="AL18" s="119" t="s">
        <v>320</v>
      </c>
    </row>
    <row r="19" spans="1:50" s="3" customFormat="1" ht="13" customHeight="1" thickBot="1">
      <c r="A19" s="46"/>
      <c r="B19" s="91"/>
      <c r="C19" s="221"/>
      <c r="D19" s="221"/>
      <c r="E19" s="221"/>
      <c r="F19" s="221"/>
      <c r="G19" s="221"/>
      <c r="H19" s="221"/>
      <c r="I19" s="222"/>
      <c r="AE19" s="4"/>
      <c r="AF19" s="4"/>
      <c r="AG19" s="4"/>
      <c r="AH19" s="4"/>
      <c r="AI19" s="4"/>
      <c r="AJ19" s="4"/>
      <c r="AK19" s="4"/>
    </row>
    <row r="20" spans="1:50" s="3" customFormat="1" ht="34" customHeight="1">
      <c r="A20" s="46"/>
      <c r="B20" s="91"/>
      <c r="C20" s="56"/>
      <c r="D20" s="56"/>
      <c r="E20" s="56"/>
      <c r="F20" s="56"/>
      <c r="G20" s="56"/>
      <c r="H20" s="56"/>
      <c r="I20" s="93"/>
      <c r="K20" s="137" t="s">
        <v>328</v>
      </c>
      <c r="L20" s="191" cm="1">
        <f t="array" ref="L20:S22">IFERROR(
    _xlfn.WRAPCOLS(
        _xlfn.TOCOL(
            INDEX(
                _xlfn._xlws.FILTER(
                    _xlfn.UNIQUE(_xlfn.HSTACK(LineEntry, DateEntry, PayIDEntry)),
                    _xlfn.BYROW(_xlfn.UNIQUE(_xlfn.HSTACK(LineEntry, DateEntry, PayIDEntry)), _xlfn.LAMBDA(_xlpm.row, SUM(_xlpm.row)&lt;&gt;0))
                ),
                _xlfn.SEQUENCE(8,1),
                {1,2,3}
            )
        ),
        3
    ),
    ""
)</f>
        <v>204</v>
      </c>
      <c r="M20" s="192">
        <v>205</v>
      </c>
      <c r="N20" s="192">
        <v>112</v>
      </c>
      <c r="O20" s="192">
        <v>1</v>
      </c>
      <c r="P20" s="192">
        <v>5</v>
      </c>
      <c r="Q20" s="192">
        <v>6</v>
      </c>
      <c r="R20" s="192">
        <v>207</v>
      </c>
      <c r="S20" s="192">
        <v>208</v>
      </c>
      <c r="T20" s="193"/>
      <c r="V20" s="137" t="s">
        <v>328</v>
      </c>
      <c r="W20" s="134" cm="1">
        <f t="array" ref="W20:AE22">TRANSPOSE(_xlfn._xlws.SORT(TRANSPOSE(L20:T22), 1, TRUE))</f>
        <v>1</v>
      </c>
      <c r="X20" s="134">
        <v>5</v>
      </c>
      <c r="Y20" s="134">
        <v>6</v>
      </c>
      <c r="Z20" s="134">
        <v>112</v>
      </c>
      <c r="AA20" s="134">
        <v>204</v>
      </c>
      <c r="AB20" s="134">
        <v>205</v>
      </c>
      <c r="AC20" s="134">
        <v>207</v>
      </c>
      <c r="AD20" s="134">
        <v>208</v>
      </c>
      <c r="AE20" s="134">
        <v>0</v>
      </c>
      <c r="AL20" s="208" t="s">
        <v>333</v>
      </c>
      <c r="AM20" s="208"/>
      <c r="AN20" s="208"/>
      <c r="AO20" s="208"/>
      <c r="AP20" s="208"/>
      <c r="AQ20" s="208"/>
      <c r="AR20" s="4" t="s">
        <v>334</v>
      </c>
    </row>
    <row r="21" spans="1:50" s="3" customFormat="1" ht="16" customHeight="1">
      <c r="A21" s="46"/>
      <c r="B21" s="91"/>
      <c r="C21" s="56"/>
      <c r="D21" s="56"/>
      <c r="E21" s="56"/>
      <c r="F21" s="56"/>
      <c r="G21" s="56"/>
      <c r="H21" s="56"/>
      <c r="I21" s="93"/>
      <c r="K21" s="137" t="s">
        <v>329</v>
      </c>
      <c r="L21" s="194">
        <v>45849</v>
      </c>
      <c r="M21" s="195">
        <v>45849</v>
      </c>
      <c r="N21" s="195">
        <v>45848</v>
      </c>
      <c r="O21" s="195">
        <v>45849</v>
      </c>
      <c r="P21" s="195">
        <v>45849</v>
      </c>
      <c r="Q21" s="195">
        <v>45849</v>
      </c>
      <c r="R21" s="195">
        <v>45849</v>
      </c>
      <c r="S21" s="195">
        <v>45849</v>
      </c>
      <c r="T21" s="196"/>
      <c r="V21" s="137" t="s">
        <v>329</v>
      </c>
      <c r="W21" s="135">
        <v>45849</v>
      </c>
      <c r="X21" s="135">
        <v>45849</v>
      </c>
      <c r="Y21" s="135">
        <v>45849</v>
      </c>
      <c r="Z21" s="135">
        <v>45848</v>
      </c>
      <c r="AA21" s="135">
        <v>45849</v>
      </c>
      <c r="AB21" s="135">
        <v>45849</v>
      </c>
      <c r="AC21" s="135">
        <v>45849</v>
      </c>
      <c r="AD21" s="135">
        <v>45849</v>
      </c>
      <c r="AE21" s="135">
        <v>0</v>
      </c>
      <c r="AL21" s="144" cm="1">
        <f t="array" ref="AL21:AQ23">IFERROR(
    _xlfn.WRAPCOLS(
        _xlfn.TOCOL(
            INDEX(
                _xlfn._xlws.FILTER(
                    _xlfn.UNIQUE(_xlfn.HSTACK(LineEntryOld3, DateEntryOld3, PayIDEntryOld3)),
                    _xlfn.BYROW(_xlfn.UNIQUE(_xlfn.HSTACK(LineEntryOld3, DateEntryOld3, PayIDEntryOld3)), _xlfn.LAMBDA(_xlpm.row, SUM(_xlpm.row)&lt;&gt;0))
                ),
                _xlfn.SEQUENCE(6,1),
                {1,2,3}
            )
        ),
        3
    ),
    ""
)</f>
        <v>204</v>
      </c>
      <c r="AM21" s="145">
        <v>205</v>
      </c>
      <c r="AN21" s="145">
        <v>112</v>
      </c>
      <c r="AO21" s="145">
        <v>1</v>
      </c>
      <c r="AP21" s="145">
        <v>5</v>
      </c>
      <c r="AQ21" s="146">
        <v>6</v>
      </c>
      <c r="AR21" s="3" cm="1">
        <f t="array" ref="AR21">SUMPRODUCT(--(TRIM(AL21:AQ21)&lt;&gt;""))</f>
        <v>6</v>
      </c>
      <c r="AS21" s="3" cm="1">
        <f t="array" ref="AS21:AX23">_xlfn._xlws.SORT(AL21:AQ23, 1, TRUE, FALSE)</f>
        <v>204</v>
      </c>
      <c r="AT21" s="3">
        <v>205</v>
      </c>
      <c r="AU21" s="3">
        <v>112</v>
      </c>
      <c r="AV21" s="3">
        <v>1</v>
      </c>
      <c r="AW21" s="3">
        <v>5</v>
      </c>
      <c r="AX21" s="3">
        <v>6</v>
      </c>
    </row>
    <row r="22" spans="1:50" ht="30" customHeight="1" thickBot="1">
      <c r="A22" s="42"/>
      <c r="B22" s="212"/>
      <c r="C22" s="213"/>
      <c r="D22" s="214"/>
      <c r="E22" s="214"/>
      <c r="F22" s="214"/>
      <c r="G22" s="214"/>
      <c r="H22" s="214"/>
      <c r="I22" s="215"/>
      <c r="K22" s="137" t="s">
        <v>330</v>
      </c>
      <c r="L22" s="197" t="str">
        <v>CC 2456</v>
      </c>
      <c r="M22" s="198" t="str">
        <v>CC 2456</v>
      </c>
      <c r="N22" s="198" t="str">
        <v>CHK 101</v>
      </c>
      <c r="O22" s="198" t="str">
        <v>CASH</v>
      </c>
      <c r="P22" s="198" t="str">
        <v>CC 2456</v>
      </c>
      <c r="Q22" s="198" t="str">
        <v>CC 2456</v>
      </c>
      <c r="R22" s="198" t="str">
        <v>CC 2456</v>
      </c>
      <c r="S22" s="198" t="str">
        <v>CC 2456</v>
      </c>
      <c r="T22" s="199"/>
      <c r="V22" s="137" t="s">
        <v>330</v>
      </c>
      <c r="W22" s="200" t="str">
        <v>CASH</v>
      </c>
      <c r="X22" s="200" t="str">
        <v>CC 2456</v>
      </c>
      <c r="Y22" s="200" t="str">
        <v>CC 2456</v>
      </c>
      <c r="Z22" s="200" t="str">
        <v>CHK 101</v>
      </c>
      <c r="AA22" s="200" t="str">
        <v>CC 2456</v>
      </c>
      <c r="AB22" s="200" t="str">
        <v>CC 2456</v>
      </c>
      <c r="AC22" s="200" t="str">
        <v>CC 2456</v>
      </c>
      <c r="AD22" s="200" t="str">
        <v>CC 2456</v>
      </c>
      <c r="AE22" s="136">
        <v>0</v>
      </c>
      <c r="AL22" s="46">
        <v>45849</v>
      </c>
      <c r="AM22" s="3">
        <v>45849</v>
      </c>
      <c r="AN22" s="3">
        <v>45848</v>
      </c>
      <c r="AO22" s="3">
        <v>45849</v>
      </c>
      <c r="AP22" s="3">
        <v>45849</v>
      </c>
      <c r="AQ22" s="147">
        <v>45849</v>
      </c>
      <c r="AR22" s="3"/>
      <c r="AS22" s="190">
        <v>45849</v>
      </c>
      <c r="AT22" s="190">
        <v>45849</v>
      </c>
      <c r="AU22" s="190">
        <v>45848</v>
      </c>
      <c r="AV22" s="190">
        <v>45849</v>
      </c>
      <c r="AW22" s="190">
        <v>45849</v>
      </c>
      <c r="AX22" s="190">
        <v>45849</v>
      </c>
    </row>
    <row r="23" spans="1:50" s="4" customFormat="1" ht="16" customHeight="1" thickBot="1">
      <c r="A23" s="48"/>
      <c r="B23" s="94" t="s">
        <v>4</v>
      </c>
      <c r="C23" s="216" t="s">
        <v>3</v>
      </c>
      <c r="D23" s="217"/>
      <c r="E23" s="65" t="s">
        <v>12</v>
      </c>
      <c r="F23" s="65" t="s">
        <v>18</v>
      </c>
      <c r="G23" s="65" t="s">
        <v>2</v>
      </c>
      <c r="H23" s="65" t="s">
        <v>1</v>
      </c>
      <c r="I23" s="95" t="s">
        <v>0</v>
      </c>
      <c r="W23" s="118" t="s">
        <v>314</v>
      </c>
      <c r="X23" s="118" t="s">
        <v>325</v>
      </c>
      <c r="Y23" s="118" t="s">
        <v>315</v>
      </c>
      <c r="Z23" s="118" t="s">
        <v>316</v>
      </c>
      <c r="AA23" s="118" t="s">
        <v>317</v>
      </c>
      <c r="AB23" s="118" t="s">
        <v>318</v>
      </c>
      <c r="AC23" s="118" t="s">
        <v>341</v>
      </c>
      <c r="AD23" s="118" t="s">
        <v>340</v>
      </c>
      <c r="AE23" s="118" t="s">
        <v>339</v>
      </c>
      <c r="AL23" s="62" t="str">
        <v>CC 2456</v>
      </c>
      <c r="AM23" s="63" t="str">
        <v>CC 2456</v>
      </c>
      <c r="AN23" s="63" t="str">
        <v>CHK 101</v>
      </c>
      <c r="AO23" s="63" t="str">
        <v>CASH</v>
      </c>
      <c r="AP23" s="63" t="str">
        <v>CC 2456</v>
      </c>
      <c r="AQ23" s="64" t="str">
        <v>CC 2456</v>
      </c>
      <c r="AR23" s="1"/>
      <c r="AS23" s="4" t="str">
        <v>CC 2456</v>
      </c>
      <c r="AT23" s="4" t="str">
        <v>CC 2456</v>
      </c>
      <c r="AU23" s="4" t="str">
        <v>CHK 101</v>
      </c>
      <c r="AV23" s="4" t="str">
        <v>CASH</v>
      </c>
      <c r="AW23" s="4" t="str">
        <v>CC 2456</v>
      </c>
      <c r="AX23" s="4" t="str">
        <v>CC 2456</v>
      </c>
    </row>
    <row r="24" spans="1:50" s="4" customFormat="1" ht="16" customHeight="1">
      <c r="A24" s="48"/>
      <c r="B24" s="122">
        <v>204</v>
      </c>
      <c r="C24" s="209" t="s">
        <v>312</v>
      </c>
      <c r="D24" s="210"/>
      <c r="E24" s="116">
        <v>45849</v>
      </c>
      <c r="F24" s="124" t="s">
        <v>313</v>
      </c>
      <c r="G24" s="6">
        <v>1</v>
      </c>
      <c r="H24" s="5">
        <v>100</v>
      </c>
      <c r="I24" s="96">
        <f>G24*H24</f>
        <v>100</v>
      </c>
      <c r="W24" s="133" t="str">
        <f>IF($B24="", "", IF(AND($I24, $B24=W$20, $E24=W$21, $F24=W$22, SUM($I$24)&gt;0), $I24, ""))</f>
        <v/>
      </c>
      <c r="X24" s="133" t="str">
        <f t="shared" ref="X24:AE24" si="0">IF($B24="", "", IF(AND($I24, $B24=X$20, $E24=X$21, $F24=X$22, SUM($I$24)&gt;0), $I24, ""))</f>
        <v/>
      </c>
      <c r="Y24" s="133" t="str">
        <f t="shared" si="0"/>
        <v/>
      </c>
      <c r="Z24" s="133" t="str">
        <f>IF($B24="", "", IF(AND($I24, $B24=Z$20, $E24=Z$21, $F24=Z$22, SUM($I$24)&gt;0), $I24, ""))</f>
        <v/>
      </c>
      <c r="AA24" s="133">
        <f t="shared" si="0"/>
        <v>100</v>
      </c>
      <c r="AB24" s="133" t="str">
        <f t="shared" si="0"/>
        <v/>
      </c>
      <c r="AC24" s="133" t="str">
        <f t="shared" si="0"/>
        <v/>
      </c>
      <c r="AD24" s="133" t="str">
        <f t="shared" si="0"/>
        <v/>
      </c>
      <c r="AE24" s="133" t="str">
        <f t="shared" si="0"/>
        <v/>
      </c>
    </row>
    <row r="25" spans="1:50" s="4" customFormat="1" ht="16" customHeight="1">
      <c r="A25" s="48"/>
      <c r="B25" s="122">
        <v>205</v>
      </c>
      <c r="C25" s="209"/>
      <c r="D25" s="210"/>
      <c r="E25" s="116">
        <v>45849</v>
      </c>
      <c r="F25" s="124" t="s">
        <v>313</v>
      </c>
      <c r="G25" s="6">
        <v>1</v>
      </c>
      <c r="H25" s="5">
        <v>50</v>
      </c>
      <c r="I25" s="96">
        <f t="shared" ref="I25:I35" si="1">G25*H25</f>
        <v>50</v>
      </c>
      <c r="W25" s="133" t="str">
        <f t="shared" ref="W25:AE35" si="2">IF($B25="", "", IF(AND($I25, $B25=W$20, $E25=W$21, $F25=W$22, SUM($I$24)&gt;0), $I25, ""))</f>
        <v/>
      </c>
      <c r="X25" s="133" t="str">
        <f t="shared" si="2"/>
        <v/>
      </c>
      <c r="Y25" s="133" t="str">
        <f t="shared" si="2"/>
        <v/>
      </c>
      <c r="Z25" s="133" t="str">
        <f t="shared" si="2"/>
        <v/>
      </c>
      <c r="AA25" s="133" t="str">
        <f t="shared" si="2"/>
        <v/>
      </c>
      <c r="AB25" s="133">
        <f t="shared" si="2"/>
        <v>50</v>
      </c>
      <c r="AC25" s="133" t="str">
        <f t="shared" si="2"/>
        <v/>
      </c>
      <c r="AD25" s="133" t="str">
        <f t="shared" si="2"/>
        <v/>
      </c>
      <c r="AE25" s="133" t="str">
        <f t="shared" si="2"/>
        <v/>
      </c>
    </row>
    <row r="26" spans="1:50" s="4" customFormat="1" ht="16" customHeight="1">
      <c r="A26" s="48"/>
      <c r="B26" s="122">
        <v>112</v>
      </c>
      <c r="C26" s="209" t="s">
        <v>326</v>
      </c>
      <c r="D26" s="210"/>
      <c r="E26" s="116">
        <v>45848</v>
      </c>
      <c r="F26" s="124" t="s">
        <v>327</v>
      </c>
      <c r="G26" s="6">
        <v>1</v>
      </c>
      <c r="H26" s="5">
        <v>1000</v>
      </c>
      <c r="I26" s="96">
        <f t="shared" si="1"/>
        <v>1000</v>
      </c>
      <c r="W26" s="133" t="str">
        <f t="shared" si="2"/>
        <v/>
      </c>
      <c r="X26" s="133" t="str">
        <f t="shared" si="2"/>
        <v/>
      </c>
      <c r="Y26" s="133" t="str">
        <f t="shared" si="2"/>
        <v/>
      </c>
      <c r="Z26" s="133">
        <f t="shared" si="2"/>
        <v>1000</v>
      </c>
      <c r="AA26" s="133" t="str">
        <f t="shared" si="2"/>
        <v/>
      </c>
      <c r="AB26" s="133" t="str">
        <f t="shared" si="2"/>
        <v/>
      </c>
      <c r="AC26" s="133" t="str">
        <f t="shared" si="2"/>
        <v/>
      </c>
      <c r="AD26" s="133" t="str">
        <f t="shared" si="2"/>
        <v/>
      </c>
      <c r="AE26" s="133" t="str">
        <f t="shared" si="2"/>
        <v/>
      </c>
    </row>
    <row r="27" spans="1:50" s="4" customFormat="1" ht="16">
      <c r="A27" s="48"/>
      <c r="B27" s="122">
        <v>204</v>
      </c>
      <c r="C27" s="209" t="s">
        <v>312</v>
      </c>
      <c r="D27" s="210"/>
      <c r="E27" s="116">
        <v>45849</v>
      </c>
      <c r="F27" s="124" t="s">
        <v>313</v>
      </c>
      <c r="G27" s="6">
        <v>1</v>
      </c>
      <c r="H27" s="5">
        <v>100</v>
      </c>
      <c r="I27" s="96">
        <f t="shared" si="1"/>
        <v>100</v>
      </c>
      <c r="W27" s="133" t="str">
        <f t="shared" si="2"/>
        <v/>
      </c>
      <c r="X27" s="133" t="str">
        <f t="shared" si="2"/>
        <v/>
      </c>
      <c r="Y27" s="133" t="str">
        <f t="shared" si="2"/>
        <v/>
      </c>
      <c r="Z27" s="133" t="str">
        <f t="shared" si="2"/>
        <v/>
      </c>
      <c r="AA27" s="133">
        <f t="shared" si="2"/>
        <v>100</v>
      </c>
      <c r="AB27" s="133" t="str">
        <f t="shared" si="2"/>
        <v/>
      </c>
      <c r="AC27" s="133" t="str">
        <f t="shared" si="2"/>
        <v/>
      </c>
      <c r="AD27" s="133" t="str">
        <f t="shared" si="2"/>
        <v/>
      </c>
      <c r="AE27" s="133" t="str">
        <f t="shared" si="2"/>
        <v/>
      </c>
    </row>
    <row r="28" spans="1:50" s="4" customFormat="1" ht="16" customHeight="1">
      <c r="A28" s="48"/>
      <c r="B28" s="122">
        <v>1</v>
      </c>
      <c r="C28" s="209" t="s">
        <v>336</v>
      </c>
      <c r="D28" s="210"/>
      <c r="E28" s="116">
        <v>45849</v>
      </c>
      <c r="F28" s="124" t="s">
        <v>5</v>
      </c>
      <c r="G28" s="6">
        <v>1</v>
      </c>
      <c r="H28" s="5">
        <v>1000</v>
      </c>
      <c r="I28" s="96">
        <f t="shared" si="1"/>
        <v>1000</v>
      </c>
      <c r="W28" s="133">
        <f t="shared" si="2"/>
        <v>1000</v>
      </c>
      <c r="X28" s="133" t="str">
        <f t="shared" si="2"/>
        <v/>
      </c>
      <c r="Y28" s="133" t="str">
        <f t="shared" si="2"/>
        <v/>
      </c>
      <c r="Z28" s="133" t="str">
        <f t="shared" si="2"/>
        <v/>
      </c>
      <c r="AA28" s="133" t="str">
        <f t="shared" si="2"/>
        <v/>
      </c>
      <c r="AB28" s="133" t="str">
        <f t="shared" si="2"/>
        <v/>
      </c>
      <c r="AC28" s="133" t="str">
        <f t="shared" si="2"/>
        <v/>
      </c>
      <c r="AD28" s="133" t="str">
        <f t="shared" si="2"/>
        <v/>
      </c>
      <c r="AE28" s="133" t="str">
        <f t="shared" si="2"/>
        <v/>
      </c>
    </row>
    <row r="29" spans="1:50" s="4" customFormat="1" ht="16" customHeight="1">
      <c r="A29" s="48"/>
      <c r="B29" s="122">
        <v>5</v>
      </c>
      <c r="C29" s="209" t="s">
        <v>312</v>
      </c>
      <c r="D29" s="210"/>
      <c r="E29" s="116">
        <v>45849</v>
      </c>
      <c r="F29" s="124" t="s">
        <v>313</v>
      </c>
      <c r="G29" s="6">
        <v>1</v>
      </c>
      <c r="H29" s="5">
        <v>100</v>
      </c>
      <c r="I29" s="96">
        <f t="shared" si="1"/>
        <v>100</v>
      </c>
      <c r="W29" s="133" t="str">
        <f t="shared" si="2"/>
        <v/>
      </c>
      <c r="X29" s="133">
        <f t="shared" si="2"/>
        <v>100</v>
      </c>
      <c r="Y29" s="133" t="str">
        <f t="shared" si="2"/>
        <v/>
      </c>
      <c r="Z29" s="133" t="str">
        <f t="shared" si="2"/>
        <v/>
      </c>
      <c r="AA29" s="133" t="str">
        <f t="shared" si="2"/>
        <v/>
      </c>
      <c r="AB29" s="133" t="str">
        <f t="shared" si="2"/>
        <v/>
      </c>
      <c r="AC29" s="133" t="str">
        <f t="shared" si="2"/>
        <v/>
      </c>
      <c r="AD29" s="133" t="str">
        <f t="shared" si="2"/>
        <v/>
      </c>
      <c r="AE29" s="133" t="str">
        <f t="shared" si="2"/>
        <v/>
      </c>
    </row>
    <row r="30" spans="1:50" s="4" customFormat="1" ht="16" customHeight="1">
      <c r="A30" s="48"/>
      <c r="B30" s="122">
        <v>6</v>
      </c>
      <c r="C30" s="209" t="s">
        <v>312</v>
      </c>
      <c r="D30" s="210"/>
      <c r="E30" s="116">
        <v>45849</v>
      </c>
      <c r="F30" s="124" t="s">
        <v>313</v>
      </c>
      <c r="G30" s="6">
        <v>1</v>
      </c>
      <c r="H30" s="5">
        <v>100</v>
      </c>
      <c r="I30" s="96">
        <f t="shared" si="1"/>
        <v>100</v>
      </c>
      <c r="W30" s="133" t="str">
        <f t="shared" si="2"/>
        <v/>
      </c>
      <c r="X30" s="133" t="str">
        <f t="shared" si="2"/>
        <v/>
      </c>
      <c r="Y30" s="133">
        <f t="shared" si="2"/>
        <v>100</v>
      </c>
      <c r="Z30" s="133" t="str">
        <f t="shared" si="2"/>
        <v/>
      </c>
      <c r="AA30" s="133" t="str">
        <f t="shared" si="2"/>
        <v/>
      </c>
      <c r="AB30" s="133" t="str">
        <f t="shared" si="2"/>
        <v/>
      </c>
      <c r="AC30" s="133" t="str">
        <f t="shared" si="2"/>
        <v/>
      </c>
      <c r="AD30" s="133" t="str">
        <f t="shared" si="2"/>
        <v/>
      </c>
      <c r="AE30" s="133" t="str">
        <f t="shared" si="2"/>
        <v/>
      </c>
    </row>
    <row r="31" spans="1:50" s="4" customFormat="1" ht="16" customHeight="1">
      <c r="A31" s="48"/>
      <c r="B31" s="122">
        <v>204</v>
      </c>
      <c r="C31" s="209" t="s">
        <v>312</v>
      </c>
      <c r="D31" s="210"/>
      <c r="E31" s="116">
        <v>45849</v>
      </c>
      <c r="F31" s="124" t="s">
        <v>313</v>
      </c>
      <c r="G31" s="6">
        <v>1</v>
      </c>
      <c r="H31" s="5">
        <v>100</v>
      </c>
      <c r="I31" s="96">
        <f t="shared" si="1"/>
        <v>100</v>
      </c>
      <c r="W31" s="133" t="str">
        <f t="shared" si="2"/>
        <v/>
      </c>
      <c r="X31" s="133" t="str">
        <f t="shared" si="2"/>
        <v/>
      </c>
      <c r="Y31" s="133" t="str">
        <f t="shared" si="2"/>
        <v/>
      </c>
      <c r="Z31" s="133" t="str">
        <f t="shared" si="2"/>
        <v/>
      </c>
      <c r="AA31" s="133">
        <f t="shared" si="2"/>
        <v>100</v>
      </c>
      <c r="AB31" s="133" t="str">
        <f t="shared" si="2"/>
        <v/>
      </c>
      <c r="AC31" s="133" t="str">
        <f t="shared" si="2"/>
        <v/>
      </c>
      <c r="AD31" s="133" t="str">
        <f t="shared" si="2"/>
        <v/>
      </c>
      <c r="AE31" s="133" t="str">
        <f t="shared" si="2"/>
        <v/>
      </c>
    </row>
    <row r="32" spans="1:50" s="4" customFormat="1" ht="16" customHeight="1">
      <c r="A32" s="48"/>
      <c r="B32" s="122">
        <v>207</v>
      </c>
      <c r="C32" s="209" t="s">
        <v>312</v>
      </c>
      <c r="D32" s="210"/>
      <c r="E32" s="116">
        <v>45849</v>
      </c>
      <c r="F32" s="124" t="s">
        <v>313</v>
      </c>
      <c r="G32" s="6">
        <v>1</v>
      </c>
      <c r="H32" s="5">
        <v>100</v>
      </c>
      <c r="I32" s="96">
        <f t="shared" si="1"/>
        <v>100</v>
      </c>
      <c r="W32" s="133" t="str">
        <f t="shared" si="2"/>
        <v/>
      </c>
      <c r="X32" s="133" t="str">
        <f t="shared" si="2"/>
        <v/>
      </c>
      <c r="Y32" s="133" t="str">
        <f t="shared" si="2"/>
        <v/>
      </c>
      <c r="Z32" s="133" t="str">
        <f t="shared" si="2"/>
        <v/>
      </c>
      <c r="AA32" s="133" t="str">
        <f t="shared" si="2"/>
        <v/>
      </c>
      <c r="AB32" s="133" t="str">
        <f t="shared" si="2"/>
        <v/>
      </c>
      <c r="AC32" s="133">
        <f t="shared" si="2"/>
        <v>100</v>
      </c>
      <c r="AD32" s="133" t="str">
        <f t="shared" si="2"/>
        <v/>
      </c>
      <c r="AE32" s="133" t="str">
        <f t="shared" si="2"/>
        <v/>
      </c>
    </row>
    <row r="33" spans="1:31" s="4" customFormat="1" ht="16" customHeight="1">
      <c r="A33" s="48"/>
      <c r="B33" s="122">
        <v>208</v>
      </c>
      <c r="C33" s="209" t="s">
        <v>312</v>
      </c>
      <c r="D33" s="210"/>
      <c r="E33" s="116">
        <v>45849</v>
      </c>
      <c r="F33" s="124" t="s">
        <v>313</v>
      </c>
      <c r="G33" s="6">
        <v>1</v>
      </c>
      <c r="H33" s="5">
        <v>100</v>
      </c>
      <c r="I33" s="96">
        <f t="shared" si="1"/>
        <v>100</v>
      </c>
      <c r="W33" s="133" t="str">
        <f t="shared" si="2"/>
        <v/>
      </c>
      <c r="X33" s="133" t="str">
        <f t="shared" si="2"/>
        <v/>
      </c>
      <c r="Y33" s="133" t="str">
        <f t="shared" si="2"/>
        <v/>
      </c>
      <c r="Z33" s="133" t="str">
        <f t="shared" si="2"/>
        <v/>
      </c>
      <c r="AA33" s="133" t="str">
        <f t="shared" si="2"/>
        <v/>
      </c>
      <c r="AB33" s="133" t="str">
        <f t="shared" si="2"/>
        <v/>
      </c>
      <c r="AC33" s="133" t="str">
        <f t="shared" si="2"/>
        <v/>
      </c>
      <c r="AD33" s="133">
        <f t="shared" si="2"/>
        <v>100</v>
      </c>
      <c r="AE33" s="133" t="str">
        <f t="shared" si="2"/>
        <v/>
      </c>
    </row>
    <row r="34" spans="1:31" s="4" customFormat="1" ht="16" customHeight="1">
      <c r="A34" s="48"/>
      <c r="B34" s="122">
        <v>204</v>
      </c>
      <c r="C34" s="209" t="s">
        <v>312</v>
      </c>
      <c r="D34" s="210"/>
      <c r="E34" s="116">
        <v>45849</v>
      </c>
      <c r="F34" s="124" t="s">
        <v>313</v>
      </c>
      <c r="G34" s="6">
        <v>1</v>
      </c>
      <c r="H34" s="5">
        <v>100</v>
      </c>
      <c r="I34" s="96">
        <f t="shared" si="1"/>
        <v>100</v>
      </c>
      <c r="W34" s="133" t="str">
        <f t="shared" si="2"/>
        <v/>
      </c>
      <c r="X34" s="133" t="str">
        <f t="shared" si="2"/>
        <v/>
      </c>
      <c r="Y34" s="133" t="str">
        <f t="shared" si="2"/>
        <v/>
      </c>
      <c r="Z34" s="133" t="str">
        <f t="shared" si="2"/>
        <v/>
      </c>
      <c r="AA34" s="133">
        <f t="shared" si="2"/>
        <v>100</v>
      </c>
      <c r="AB34" s="133" t="str">
        <f t="shared" si="2"/>
        <v/>
      </c>
      <c r="AC34" s="133" t="str">
        <f t="shared" si="2"/>
        <v/>
      </c>
      <c r="AD34" s="133" t="str">
        <f t="shared" si="2"/>
        <v/>
      </c>
      <c r="AE34" s="133" t="str">
        <f t="shared" si="2"/>
        <v/>
      </c>
    </row>
    <row r="35" spans="1:31" s="4" customFormat="1" ht="16" customHeight="1" thickBot="1">
      <c r="A35" s="48"/>
      <c r="B35" s="123"/>
      <c r="C35" s="227"/>
      <c r="D35" s="228"/>
      <c r="E35" s="66"/>
      <c r="F35" s="125"/>
      <c r="G35" s="66"/>
      <c r="H35" s="67"/>
      <c r="I35" s="97">
        <f t="shared" si="1"/>
        <v>0</v>
      </c>
      <c r="W35" s="4" t="str">
        <f t="shared" si="2"/>
        <v/>
      </c>
      <c r="X35" s="4" t="str">
        <f t="shared" si="2"/>
        <v/>
      </c>
      <c r="Y35" s="4" t="str">
        <f t="shared" si="2"/>
        <v/>
      </c>
      <c r="Z35" s="4" t="str">
        <f t="shared" si="2"/>
        <v/>
      </c>
      <c r="AA35" s="4" t="str">
        <f t="shared" si="2"/>
        <v/>
      </c>
      <c r="AB35" s="4" t="str">
        <f t="shared" si="2"/>
        <v/>
      </c>
      <c r="AC35" s="4" t="str">
        <f t="shared" si="2"/>
        <v/>
      </c>
      <c r="AD35" s="4" t="str">
        <f t="shared" si="2"/>
        <v/>
      </c>
      <c r="AE35" s="4" t="str">
        <f t="shared" si="2"/>
        <v/>
      </c>
    </row>
    <row r="36" spans="1:31" s="4" customFormat="1" ht="16" customHeight="1" thickBot="1">
      <c r="A36" s="48"/>
      <c r="B36" s="98"/>
      <c r="C36" s="68"/>
      <c r="D36" s="68"/>
      <c r="E36" s="68"/>
      <c r="F36" s="68"/>
      <c r="G36" s="69"/>
      <c r="H36" s="69"/>
      <c r="I36" s="99"/>
      <c r="W36" s="138">
        <f>IF(SUM(W24:W35), SUM(W24:W35),"")</f>
        <v>1000</v>
      </c>
      <c r="X36" s="139">
        <f t="shared" ref="X36:AE36" si="3">IF(SUM(X24:X35), SUM(X24:X35),"")</f>
        <v>100</v>
      </c>
      <c r="Y36" s="140">
        <f t="shared" si="3"/>
        <v>100</v>
      </c>
      <c r="Z36" s="140">
        <f>IF(SUM(Z24:Z35), SUM(Z24:Z35),"")</f>
        <v>1000</v>
      </c>
      <c r="AA36" s="140">
        <f t="shared" si="3"/>
        <v>400</v>
      </c>
      <c r="AB36" s="141">
        <f t="shared" si="3"/>
        <v>50</v>
      </c>
      <c r="AC36" s="141">
        <f t="shared" si="3"/>
        <v>100</v>
      </c>
      <c r="AD36" s="141">
        <f t="shared" si="3"/>
        <v>100</v>
      </c>
      <c r="AE36" s="141" t="str">
        <f t="shared" si="3"/>
        <v/>
      </c>
    </row>
    <row r="37" spans="1:31" s="4" customFormat="1" ht="16" customHeight="1" thickBot="1">
      <c r="A37" s="48"/>
      <c r="B37" s="100" t="s">
        <v>263</v>
      </c>
      <c r="C37" s="2"/>
      <c r="D37" s="2"/>
      <c r="E37" s="58"/>
      <c r="F37" s="59"/>
      <c r="G37" s="107" t="s">
        <v>261</v>
      </c>
      <c r="H37" s="108"/>
      <c r="I37" s="109">
        <f>SUM(I23:I35)</f>
        <v>2850</v>
      </c>
      <c r="W37" s="129" t="s">
        <v>314</v>
      </c>
      <c r="X37" s="130" t="s">
        <v>325</v>
      </c>
      <c r="Y37" s="131" t="s">
        <v>315</v>
      </c>
      <c r="Z37" s="131" t="s">
        <v>316</v>
      </c>
      <c r="AA37" s="131" t="s">
        <v>317</v>
      </c>
      <c r="AB37" s="132" t="s">
        <v>318</v>
      </c>
      <c r="AC37" s="118" t="s">
        <v>341</v>
      </c>
      <c r="AD37" s="118" t="s">
        <v>340</v>
      </c>
      <c r="AE37" s="118" t="s">
        <v>339</v>
      </c>
    </row>
    <row r="38" spans="1:31" s="4" customFormat="1" ht="16" customHeight="1" thickBot="1">
      <c r="A38" s="48"/>
      <c r="B38" s="100"/>
      <c r="C38" s="211"/>
      <c r="D38" s="211"/>
      <c r="E38" s="61"/>
      <c r="F38" s="60"/>
      <c r="G38" s="110"/>
      <c r="H38" s="57"/>
      <c r="I38" s="101"/>
    </row>
    <row r="39" spans="1:31" s="4" customFormat="1" ht="16" customHeight="1">
      <c r="A39" s="48"/>
      <c r="B39" s="100"/>
      <c r="C39" s="1"/>
      <c r="D39" s="1"/>
      <c r="E39" s="60"/>
      <c r="F39" s="60"/>
      <c r="G39" s="110" t="s">
        <v>260</v>
      </c>
      <c r="H39" s="60" t="s">
        <v>262</v>
      </c>
      <c r="I39" s="102"/>
      <c r="W39" s="229" t="s">
        <v>331</v>
      </c>
      <c r="X39" s="230"/>
      <c r="Y39" s="230"/>
      <c r="Z39" s="230"/>
      <c r="AA39" s="230"/>
      <c r="AB39" s="230"/>
      <c r="AC39" s="231"/>
    </row>
    <row r="40" spans="1:31" ht="16" customHeight="1" thickBot="1">
      <c r="A40" s="42"/>
      <c r="B40" s="100" t="s">
        <v>264</v>
      </c>
      <c r="C40" s="2"/>
      <c r="D40" s="2"/>
      <c r="E40" s="59"/>
      <c r="F40" s="59"/>
      <c r="G40" s="110" t="s">
        <v>21</v>
      </c>
      <c r="H40" s="60"/>
      <c r="I40" s="103">
        <f>SUM(I37:I39)</f>
        <v>2850</v>
      </c>
      <c r="W40" s="169" t="s">
        <v>337</v>
      </c>
      <c r="X40" s="149" t="s">
        <v>4</v>
      </c>
      <c r="Y40" s="170" t="s">
        <v>16</v>
      </c>
      <c r="Z40" s="170" t="s">
        <v>17</v>
      </c>
      <c r="AA40" s="171" t="s">
        <v>12</v>
      </c>
      <c r="AB40" s="170" t="s">
        <v>18</v>
      </c>
      <c r="AC40" s="172" t="s">
        <v>242</v>
      </c>
      <c r="AD40" s="173" t="s">
        <v>19</v>
      </c>
    </row>
    <row r="41" spans="1:31" ht="16" customHeight="1" thickBot="1">
      <c r="B41" s="104"/>
      <c r="C41" s="105"/>
      <c r="D41" s="105"/>
      <c r="E41" s="105"/>
      <c r="F41" s="105"/>
      <c r="G41" s="104"/>
      <c r="H41" s="105"/>
      <c r="I41" s="106"/>
      <c r="W41" s="165" t="str">
        <f>IF(SUM($W$24:$W$35), "#A","")</f>
        <v>#A</v>
      </c>
      <c r="X41" s="153">
        <f>IF('2499-004'!$W41="#A", W20,"")</f>
        <v>1</v>
      </c>
      <c r="Y41" s="154" t="str">
        <f>IF('2499-004'!$W41="#A", Vendor,"")</f>
        <v>Vendor</v>
      </c>
      <c r="Z41" s="155" t="str">
        <f>IF('2499-004'!$W41="#A", Sheet_PO,"")</f>
        <v>2499-004</v>
      </c>
      <c r="AA41" s="156">
        <f>IF('2499-004'!$W41="#A", W$21,"")</f>
        <v>45849</v>
      </c>
      <c r="AB41" s="155" t="str">
        <f>IF('2499-004'!$W41="#A", W$22,"")</f>
        <v>CASH</v>
      </c>
      <c r="AC41" s="157">
        <f>IF('2499-004'!$W41="#A", W$36,"")</f>
        <v>1000</v>
      </c>
      <c r="AD41" s="155" t="str">
        <f>IF('2499-004'!$W41="#A",
      INDEX('Line No'!$B$1:$B$342, MATCH('2499-004'!$X41, 'Line No'!$A$1:$A$342, 0)),
      "")</f>
        <v>Line Producer</v>
      </c>
    </row>
    <row r="42" spans="1:31" ht="16" customHeight="1">
      <c r="W42" s="166" t="str">
        <f>IF(SUM($X$24:$X$34), "#B", "")</f>
        <v>#B</v>
      </c>
      <c r="X42" s="158">
        <f>IF('2499-004'!$W42="#B", X20,"")</f>
        <v>5</v>
      </c>
      <c r="Y42" s="158" t="str">
        <f>IF('2499-004'!$W42="#B", Vendor,"")</f>
        <v>Vendor</v>
      </c>
      <c r="Z42" s="158" t="str">
        <f>IF('2499-004'!$W42="#B", Sheet_PO,"")</f>
        <v>2499-004</v>
      </c>
      <c r="AA42" s="159">
        <f>IF('2499-004'!$W42="#B", X21,"")</f>
        <v>45849</v>
      </c>
      <c r="AB42" s="158" t="str">
        <f>IF('2499-004'!$W42="#B", X22,"")</f>
        <v>CC 2456</v>
      </c>
      <c r="AC42" s="160">
        <f>IF('2499-004'!$W42="#B", X36,"")</f>
        <v>100</v>
      </c>
      <c r="AD42" s="158" t="str">
        <f>IF('2499-004'!$W42="#B",
      INDEX('Line No'!$B$1:$B$342, MATCH('2499-004'!$X42, 'Line No'!$A$1:$A$342, 0)),
      "")</f>
        <v>1st AC</v>
      </c>
    </row>
    <row r="43" spans="1:31" ht="16" customHeight="1">
      <c r="G43" s="73"/>
      <c r="H43" s="73"/>
      <c r="I43" s="73"/>
      <c r="W43" s="167" t="str">
        <f>IF(SUM($Y$24:$Y$34), "#C", "")</f>
        <v>#C</v>
      </c>
      <c r="X43" s="155">
        <f>IF('2499-004'!$W43="#C", Y20,"")</f>
        <v>6</v>
      </c>
      <c r="Y43" s="154" t="str">
        <f>IF('2499-004'!$W43="#C", Vendor,"")</f>
        <v>Vendor</v>
      </c>
      <c r="Z43" s="155" t="str">
        <f>IF('2499-004'!$W43="#C", Sheet_PO,"")</f>
        <v>2499-004</v>
      </c>
      <c r="AA43" s="156">
        <f>IF('2499-004'!$W43="#C", Y21,"")</f>
        <v>45849</v>
      </c>
      <c r="AB43" s="155" t="str">
        <f>IF('2499-004'!$W43="#C", Y22,"")</f>
        <v>CC 2456</v>
      </c>
      <c r="AC43" s="157">
        <f>IF('2499-004'!$W43="#C", Y36,"")</f>
        <v>100</v>
      </c>
      <c r="AD43" s="155" t="str">
        <f>IF('2499-004'!$W43="#C",
      INDEX('Line No'!$B$1:$B$342, MATCH('2499-004'!$X43, 'Line No'!$A$1:$A$342, 0)),
      "")</f>
        <v>2nd AC</v>
      </c>
    </row>
    <row r="44" spans="1:31" ht="16" customHeight="1">
      <c r="G44" s="73"/>
      <c r="H44" s="128"/>
      <c r="I44" s="73"/>
      <c r="W44" s="168" t="str">
        <f>IF(SUM($Z$24:$Z$34), "#D", "")</f>
        <v>#D</v>
      </c>
      <c r="X44" s="158">
        <f>IF('2499-004'!$W44="#D", Z20,"")</f>
        <v>112</v>
      </c>
      <c r="Y44" s="158" t="str">
        <f>IF('2499-004'!$W44="#D", Vendor,"")</f>
        <v>Vendor</v>
      </c>
      <c r="Z44" s="158" t="str">
        <f>IF('2499-004'!$W44="#D", Sheet_PO,"")</f>
        <v>2499-004</v>
      </c>
      <c r="AA44" s="159">
        <f>IF('2499-004'!$W44="#D", Z21,"")</f>
        <v>45848</v>
      </c>
      <c r="AB44" s="158" t="str">
        <f>IF('2499-004'!$W44="#D", Z22,"")</f>
        <v>CHK 101</v>
      </c>
      <c r="AC44" s="160">
        <f>IF('2499-004'!$W44="#D", Z36,"")</f>
        <v>1000</v>
      </c>
      <c r="AD44" s="158" t="str">
        <f>IF('2499-004'!$W44="#D",
      INDEX('Line No'!$B$1:$B$342, MATCH('2499-004'!$X44, 'Line No'!$A$1:$A$342, 0)),
      "")</f>
        <v>Pre Pro Meals</v>
      </c>
    </row>
    <row r="45" spans="1:31" ht="16" customHeight="1">
      <c r="C45" s="142"/>
      <c r="D45" s="142"/>
      <c r="E45" s="142"/>
      <c r="F45" s="142"/>
      <c r="G45" s="74"/>
      <c r="H45" s="74"/>
      <c r="I45" s="75"/>
      <c r="W45" s="167" t="str">
        <f>IF(SUM($AA$24:$AA$34), "#E", "")</f>
        <v>#E</v>
      </c>
      <c r="X45" s="155">
        <f>IF('2499-004'!$W45="#E", AA20,"")</f>
        <v>204</v>
      </c>
      <c r="Y45" s="154" t="str">
        <f>IF('2499-004'!$W45="#E", Vendor,"")</f>
        <v>Vendor</v>
      </c>
      <c r="Z45" s="155" t="str">
        <f>IF('2499-004'!$W45="#E", Sheet_PO,"")</f>
        <v>2499-004</v>
      </c>
      <c r="AA45" s="156">
        <f>IF('2499-004'!$W45="#E", AA21,"")</f>
        <v>45849</v>
      </c>
      <c r="AB45" s="155" t="str">
        <f>IF('2499-004'!$W45="#E", AA22,"")</f>
        <v>CC 2456</v>
      </c>
      <c r="AC45" s="157">
        <f>IF('2499-004'!$W45="#E", AA36,"")</f>
        <v>400</v>
      </c>
      <c r="AD45" s="155" t="str">
        <f>IF('2499-004'!$W45="#E",
      INDEX('Line No'!$B$1:$B$342, MATCH('2499-004'!$X45, 'Line No'!$A$1:$A$342, 0)),
      "")</f>
        <v>Production Supplies</v>
      </c>
    </row>
    <row r="46" spans="1:31" ht="16" customHeight="1">
      <c r="W46" s="168" t="str">
        <f>IF(SUM($AB$24:$AB$34), "#F", "")</f>
        <v>#F</v>
      </c>
      <c r="X46" s="158">
        <f>IF('2499-004'!$W46="#F", AB20,"")</f>
        <v>205</v>
      </c>
      <c r="Y46" s="158" t="str">
        <f>IF('2499-004'!$W46="#F", Vendor,"")</f>
        <v>Vendor</v>
      </c>
      <c r="Z46" s="158" t="str">
        <f>IF('2499-004'!$W46="#F", Sheet_PO,"")</f>
        <v>2499-004</v>
      </c>
      <c r="AA46" s="159">
        <f>IF('2499-004'!$W46="#F", AB21,"")</f>
        <v>45849</v>
      </c>
      <c r="AB46" s="158" t="str">
        <f>IF('2499-004'!$W46="#F", AB22,"")</f>
        <v>CC 2456</v>
      </c>
      <c r="AC46" s="160">
        <f>IF('2499-004'!$W46="#F", AB36,"")</f>
        <v>50</v>
      </c>
      <c r="AD46" s="158" t="str">
        <f>IF('2499-004'!$W46="#F",
      INDEX('Line No'!$B$1:$B$342, MATCH('2499-004'!$X46, 'Line No'!$A$1:$A$342, 0)),
      "")</f>
        <v>Location Supplies</v>
      </c>
    </row>
    <row r="47" spans="1:31" ht="16" customHeight="1">
      <c r="W47" s="167" t="str">
        <f>IF(SUM($AC$24:$AC$34), "#G", "")</f>
        <v>#G</v>
      </c>
      <c r="X47" s="155">
        <f>IF('2499-004'!$W47="#G", AC20,"")</f>
        <v>207</v>
      </c>
      <c r="Y47" s="154" t="str">
        <f>IF('2499-004'!$W47="#G", Vendor,"")</f>
        <v>Vendor</v>
      </c>
      <c r="Z47" s="155" t="str">
        <f>IF('2499-004'!$W47="#G", Sheet_PO,"")</f>
        <v>2499-004</v>
      </c>
      <c r="AA47" s="161">
        <f>IF('2499-004'!$W47="#G", AC21,"")</f>
        <v>45849</v>
      </c>
      <c r="AB47" s="162" t="str">
        <f>IF('2499-004'!$W47="#G", AC22,"")</f>
        <v>CC 2456</v>
      </c>
      <c r="AC47" s="157">
        <f>IF('2499-004'!$W47="#G", AC36,"")</f>
        <v>100</v>
      </c>
      <c r="AD47" s="155" t="str">
        <f>IF('2499-004'!$W47="#G",
      INDEX('Line No'!$B$1:$B$342, MATCH('2499-004'!$X47, 'Line No'!$A$1:$A$342, 0)),
      "")</f>
        <v>DIT Equipment</v>
      </c>
    </row>
    <row r="48" spans="1:31" ht="16" customHeight="1">
      <c r="W48" s="168" t="str">
        <f>IF(SUM($AD$24:$AD$34), "#H", "")</f>
        <v>#H</v>
      </c>
      <c r="X48" s="158">
        <f>IF('2499-004'!$W48="#H", AD20,"")</f>
        <v>208</v>
      </c>
      <c r="Y48" s="158" t="str">
        <f>IF('2499-004'!$W48="#H", Vendor,"")</f>
        <v>Vendor</v>
      </c>
      <c r="Z48" s="158" t="str">
        <f>IF('2499-004'!$W48="#H", Sheet_PO,"")</f>
        <v>2499-004</v>
      </c>
      <c r="AA48" s="163">
        <f>IF('2499-004'!$W48="#H", AE21,"")</f>
        <v>0</v>
      </c>
      <c r="AB48" s="164">
        <f>IF('2499-004'!$W48="#H", AE22,"")</f>
        <v>0</v>
      </c>
      <c r="AC48" s="160" t="str">
        <f>IF('2499-004'!$W48="#H", AE36,"")</f>
        <v/>
      </c>
      <c r="AD48" s="158" t="str">
        <f>IF('2499-004'!$W48="#H",
      INDEX('Line No'!$B$1:$B$342, MATCH('2499-004'!$X48, 'Line No'!$A$1:$A$342, 0)),
      "")</f>
        <v>Stills Equipment</v>
      </c>
    </row>
    <row r="49" spans="22:30" ht="16" customHeight="1">
      <c r="V49" s="1" cm="1">
        <f t="array" ref="V49">SUMPRODUCT(--(W41:W49&lt;&gt;""))</f>
        <v>8</v>
      </c>
      <c r="W49" s="167" t="str">
        <f>IF(SUM($AE$24:$AE$34), "#OTHER", "")</f>
        <v/>
      </c>
      <c r="X49" s="155" t="str">
        <f>IF('2499-004'!$W49="#I", AE20,"")</f>
        <v/>
      </c>
      <c r="Y49" s="154" t="str">
        <f>IF('2499-004'!$W49="#I", Vendor,"")</f>
        <v/>
      </c>
      <c r="Z49" s="155" t="str">
        <f>IF('2499-004'!$W49="#I", Sheet_PO,"")</f>
        <v/>
      </c>
      <c r="AA49" s="161" t="str">
        <f>IF('2499-004'!$W49="#I", AF21,"")</f>
        <v/>
      </c>
      <c r="AB49" s="162" t="str">
        <f>IF('2499-004'!$W49="#I", AF22,"")</f>
        <v/>
      </c>
      <c r="AC49" s="157" t="str">
        <f>IF('2499-004'!$W49="#I", AF36,"")</f>
        <v/>
      </c>
      <c r="AD49" s="155" t="str">
        <f>IF('2499-004'!$W49="#I",
      INDEX('Line No'!$B$1:$B$342, MATCH('2499-004'!$X49, 'Line No'!$A$1:$A$342, 0)),
      "")</f>
        <v/>
      </c>
    </row>
    <row r="50" spans="22:30" ht="16" customHeight="1">
      <c r="W50" s="174"/>
      <c r="X50" s="174"/>
      <c r="Y50" s="175"/>
      <c r="Z50" s="174"/>
      <c r="AA50" s="174"/>
      <c r="AB50" s="174"/>
      <c r="AC50" s="176"/>
      <c r="AD50" s="174"/>
    </row>
  </sheetData>
  <sheetProtection formatCells="0" formatColumns="0" formatRows="0" insertColumns="0" insertRows="0" deleteRows="0" selectLockedCells="1"/>
  <mergeCells count="42">
    <mergeCell ref="J3:W3"/>
    <mergeCell ref="B4:G4"/>
    <mergeCell ref="C9:D9"/>
    <mergeCell ref="F9:I9"/>
    <mergeCell ref="G1:I1"/>
    <mergeCell ref="B2:C2"/>
    <mergeCell ref="D2:G2"/>
    <mergeCell ref="G3:I3"/>
    <mergeCell ref="C5:D5"/>
    <mergeCell ref="E5:H6"/>
    <mergeCell ref="C6:D6"/>
    <mergeCell ref="B7:C7"/>
    <mergeCell ref="D7:E7"/>
    <mergeCell ref="C10:D10"/>
    <mergeCell ref="F10:I10"/>
    <mergeCell ref="C11:D11"/>
    <mergeCell ref="C12:D12"/>
    <mergeCell ref="C13:D13"/>
    <mergeCell ref="F13:I13"/>
    <mergeCell ref="C14:D14"/>
    <mergeCell ref="F14:I14"/>
    <mergeCell ref="C18:E18"/>
    <mergeCell ref="F18:I18"/>
    <mergeCell ref="C19:E19"/>
    <mergeCell ref="F19:I19"/>
    <mergeCell ref="C32:D32"/>
    <mergeCell ref="AL20:AQ20"/>
    <mergeCell ref="B22:I22"/>
    <mergeCell ref="C23:D23"/>
    <mergeCell ref="C24:D24"/>
    <mergeCell ref="C25:D25"/>
    <mergeCell ref="C26:D26"/>
    <mergeCell ref="C27:D27"/>
    <mergeCell ref="C28:D28"/>
    <mergeCell ref="C29:D29"/>
    <mergeCell ref="C30:D30"/>
    <mergeCell ref="C31:D31"/>
    <mergeCell ref="C33:D33"/>
    <mergeCell ref="C34:D34"/>
    <mergeCell ref="C35:D35"/>
    <mergeCell ref="C38:D38"/>
    <mergeCell ref="W39:AC39"/>
  </mergeCells>
  <conditionalFormatting sqref="AD41:AD49">
    <cfRule type="containsText" dxfId="6" priority="1" operator="containsText" text="zzzz">
      <formula>NOT(ISERROR(SEARCH("zzzz",AD41)))</formula>
    </cfRule>
  </conditionalFormatting>
  <printOptions horizontalCentered="1"/>
  <pageMargins left="0.75" right="0.75" top="0.5" bottom="0.5" header="0.5" footer="0.5"/>
  <pageSetup scale="81" orientation="portrait" r:id="rId1"/>
  <headerFooter alignWithMargins="0"/>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896949-A218-B349-9F9F-BDFB4D312826}">
  <sheetPr codeName="Sheet11">
    <pageSetUpPr fitToPage="1"/>
  </sheetPr>
  <dimension ref="A1:AX50"/>
  <sheetViews>
    <sheetView topLeftCell="A30" zoomScale="75" zoomScaleNormal="100" workbookViewId="0">
      <selection activeCell="R16" sqref="R16"/>
    </sheetView>
    <sheetView topLeftCell="A17" workbookViewId="1">
      <selection activeCell="C31" sqref="B31:H31"/>
    </sheetView>
  </sheetViews>
  <sheetFormatPr baseColWidth="10" defaultColWidth="8.83203125" defaultRowHeight="14"/>
  <cols>
    <col min="1" max="1" width="0.83203125" style="1" customWidth="1"/>
    <col min="2" max="2" width="10.1640625" style="1" customWidth="1"/>
    <col min="3" max="3" width="14.6640625" style="1" customWidth="1"/>
    <col min="4" max="4" width="10.1640625" style="1" customWidth="1"/>
    <col min="5" max="5" width="13.5" style="1" customWidth="1"/>
    <col min="6" max="6" width="11.6640625" style="1" bestFit="1" customWidth="1"/>
    <col min="7" max="7" width="10.1640625" style="1" customWidth="1"/>
    <col min="8" max="8" width="18.83203125" style="1" customWidth="1"/>
    <col min="9" max="9" width="13.33203125" style="1" customWidth="1"/>
    <col min="10" max="11" width="5.83203125" style="1" customWidth="1"/>
    <col min="12" max="12" width="6.33203125" style="1" customWidth="1"/>
    <col min="13" max="13" width="6.1640625" style="1" customWidth="1"/>
    <col min="14" max="14" width="5.6640625" style="1" customWidth="1"/>
    <col min="15" max="15" width="5.33203125" style="1" customWidth="1"/>
    <col min="16" max="16" width="5.6640625" style="1" customWidth="1"/>
    <col min="17" max="18" width="5" style="1" customWidth="1"/>
    <col min="19" max="21" width="5.83203125" style="1" customWidth="1"/>
    <col min="22" max="22" width="6.1640625" style="1" customWidth="1"/>
    <col min="23" max="23" width="13.6640625" style="1" customWidth="1"/>
    <col min="24" max="24" width="8" style="1" customWidth="1"/>
    <col min="25" max="25" width="10.33203125" style="1" customWidth="1"/>
    <col min="26" max="26" width="11.83203125" style="1" customWidth="1"/>
    <col min="27" max="27" width="11" style="1" customWidth="1"/>
    <col min="28" max="29" width="11.83203125" style="1" customWidth="1"/>
    <col min="30" max="30" width="23.33203125" style="1" customWidth="1"/>
    <col min="31" max="31" width="8.83203125" style="1"/>
    <col min="32" max="32" width="3.33203125" style="1" customWidth="1"/>
    <col min="33" max="33" width="5.1640625" style="1" customWidth="1"/>
    <col min="34" max="37" width="8.83203125" style="1"/>
    <col min="38" max="38" width="8.83203125" style="1" customWidth="1"/>
    <col min="39" max="16384" width="8.83203125" style="1"/>
  </cols>
  <sheetData>
    <row r="1" spans="1:47" ht="45" customHeight="1">
      <c r="A1" s="41"/>
      <c r="B1" s="143" t="s">
        <v>258</v>
      </c>
      <c r="C1" s="143"/>
      <c r="D1" s="143"/>
      <c r="E1" s="143"/>
      <c r="G1" s="234"/>
      <c r="H1" s="234"/>
      <c r="I1" s="235"/>
      <c r="J1" s="185"/>
      <c r="K1" s="185"/>
      <c r="L1" s="185"/>
      <c r="M1" s="185"/>
      <c r="N1" s="185"/>
      <c r="O1" s="185"/>
      <c r="P1" s="185"/>
      <c r="Q1" s="185"/>
      <c r="R1" s="185"/>
      <c r="S1" s="185"/>
      <c r="T1" s="185"/>
      <c r="U1" s="185"/>
      <c r="V1" s="185"/>
      <c r="W1" s="185"/>
      <c r="X1" s="185"/>
      <c r="Y1" s="185"/>
      <c r="Z1" s="185"/>
      <c r="AA1" s="185"/>
      <c r="AB1" s="185"/>
      <c r="AC1" s="185"/>
      <c r="AD1" s="185"/>
      <c r="AE1" s="185"/>
      <c r="AF1" s="185"/>
      <c r="AG1" s="185"/>
      <c r="AH1" s="185"/>
      <c r="AI1" s="186" t="s">
        <v>321</v>
      </c>
      <c r="AJ1" s="185"/>
      <c r="AK1" s="185"/>
      <c r="AL1" s="185"/>
      <c r="AM1" s="185"/>
      <c r="AN1" s="185"/>
      <c r="AO1" s="185"/>
      <c r="AP1" s="185"/>
      <c r="AQ1" s="185"/>
      <c r="AR1" s="185"/>
      <c r="AS1" s="185"/>
      <c r="AT1" s="185"/>
      <c r="AU1" s="185"/>
    </row>
    <row r="2" spans="1:47" ht="12.75" customHeight="1">
      <c r="A2" s="42"/>
      <c r="B2" s="236"/>
      <c r="C2" s="237"/>
      <c r="D2" s="238"/>
      <c r="E2" s="238"/>
      <c r="F2" s="238"/>
      <c r="G2" s="238"/>
      <c r="I2" s="76"/>
      <c r="J2" s="185"/>
      <c r="K2" s="185"/>
      <c r="L2" s="185"/>
      <c r="M2" s="185"/>
      <c r="N2" s="185"/>
      <c r="O2" s="185"/>
      <c r="P2" s="185"/>
      <c r="Q2" s="185"/>
      <c r="R2" s="185"/>
      <c r="S2" s="185"/>
      <c r="T2" s="185"/>
      <c r="U2" s="185"/>
      <c r="V2" s="185"/>
      <c r="W2" s="185"/>
      <c r="X2" s="185"/>
      <c r="Y2" s="185"/>
      <c r="Z2" s="185"/>
      <c r="AA2" s="185"/>
      <c r="AB2" s="185"/>
      <c r="AC2" s="185"/>
      <c r="AD2" s="186" t="s">
        <v>323</v>
      </c>
      <c r="AE2" s="185"/>
      <c r="AF2" s="185"/>
      <c r="AG2" s="185"/>
      <c r="AH2" s="185"/>
      <c r="AI2" s="185" t="s">
        <v>322</v>
      </c>
      <c r="AJ2" s="185"/>
      <c r="AK2" s="185"/>
      <c r="AL2" s="185"/>
      <c r="AM2" s="185"/>
      <c r="AN2" s="185"/>
      <c r="AO2" s="185"/>
      <c r="AP2" s="185"/>
      <c r="AQ2" s="185"/>
      <c r="AR2" s="185"/>
      <c r="AS2" s="185"/>
      <c r="AT2" s="185"/>
      <c r="AU2" s="185"/>
    </row>
    <row r="3" spans="1:47" ht="22">
      <c r="A3" s="42"/>
      <c r="B3" s="77" t="s">
        <v>14</v>
      </c>
      <c r="C3" s="43"/>
      <c r="D3" s="44"/>
      <c r="E3" s="44"/>
      <c r="F3" s="45" t="s">
        <v>13</v>
      </c>
      <c r="G3" s="239" t="s">
        <v>303</v>
      </c>
      <c r="H3" s="239"/>
      <c r="I3" s="240"/>
      <c r="J3" s="232"/>
      <c r="K3" s="233"/>
      <c r="L3" s="233"/>
      <c r="M3" s="233"/>
      <c r="N3" s="233"/>
      <c r="O3" s="233"/>
      <c r="P3" s="233"/>
      <c r="Q3" s="233"/>
      <c r="R3" s="233"/>
      <c r="S3" s="233"/>
      <c r="T3" s="233"/>
      <c r="U3" s="233"/>
      <c r="V3" s="233"/>
      <c r="W3" s="233"/>
      <c r="X3" s="115" t="s">
        <v>308</v>
      </c>
      <c r="Y3" s="117" t="s">
        <v>309</v>
      </c>
      <c r="Z3" s="117" t="s">
        <v>310</v>
      </c>
      <c r="AA3" s="117" t="s">
        <v>311</v>
      </c>
      <c r="AD3" s="115" t="s">
        <v>319</v>
      </c>
      <c r="AM3" s="1" t="s">
        <v>324</v>
      </c>
      <c r="AR3" s="185"/>
      <c r="AS3" s="185"/>
      <c r="AT3" s="185"/>
      <c r="AU3" s="185"/>
    </row>
    <row r="4" spans="1:47" s="3" customFormat="1" ht="29" customHeight="1">
      <c r="A4" s="46"/>
      <c r="B4" s="241"/>
      <c r="C4" s="242"/>
      <c r="D4" s="242"/>
      <c r="E4" s="242"/>
      <c r="F4" s="242"/>
      <c r="G4" s="242"/>
      <c r="H4" s="47"/>
      <c r="I4" s="78"/>
      <c r="J4" s="187"/>
      <c r="K4" s="187"/>
      <c r="L4" s="187"/>
      <c r="M4" s="187"/>
      <c r="N4" s="187"/>
      <c r="O4" s="187"/>
      <c r="P4" s="187"/>
      <c r="Q4" s="187"/>
      <c r="R4" s="187"/>
      <c r="S4" s="187"/>
      <c r="T4" s="187"/>
      <c r="U4" s="187"/>
      <c r="V4" s="187"/>
      <c r="W4" s="187"/>
      <c r="X4" s="4" cm="1">
        <f t="array" ref="X4:X9">IFERROR(
INDEX(
_xlfn._xlws.FILTER(
_xlfn.UNIQUE(
LineEntryOLD2,
),_xlfn.UNIQUE(
LineEntryOLD2,
)&lt;&gt;0
),_xlfn.SEQUENCE(6,1)
),"")</f>
        <v>144</v>
      </c>
      <c r="Y4" s="4" cm="1">
        <f t="array" ref="Y4">SUMPRODUCT(--(TRIM(X4:X12)&lt;&gt;""))</f>
        <v>6</v>
      </c>
      <c r="Z4" s="4" t="str" cm="1">
        <f t="array" ref="Z4:Z6">_xlfn._xlws.SORT(INDEX(AF7:AF16, 1):INDEX(AF7:AF9, AG7), 1, TRUE)</f>
        <v>PC</v>
      </c>
      <c r="AA4" s="4" t="str" cm="1">
        <f t="array" ref="AA4">IF(Z4="","",IFERROR(INDEX(Description, MATCH(Z4, LINEOld, 0)), "Not Found"))</f>
        <v>Not Found</v>
      </c>
      <c r="AD4" s="120" cm="1">
        <f t="array" ref="AD4:AF9">IFERROR(
    INDEX(
        _xlfn._xlws.FILTER(
            _xlfn.UNIQUE(_xlfn.HSTACK(LineEntryOLD2, DateEntryOld, PayIDEntryOld2)),
            _xlfn.BYROW(_xlfn.UNIQUE(_xlfn.HSTACK(LineEntryOLD2, DateEntryOld, PayIDEntryOld2)), _xlfn.LAMBDA(_xlpm.row, SUM(_xlpm.row)&lt;&gt;0))
        ),
        _xlfn.SEQUENCE(6,1),
        {1,2,3}
    ),
    ""
)</f>
        <v>144</v>
      </c>
      <c r="AE4" s="126">
        <v>45847</v>
      </c>
      <c r="AF4" s="120" t="str">
        <v>PC</v>
      </c>
      <c r="AM4" s="148" t="s">
        <v>335</v>
      </c>
      <c r="AO4" s="3" t="str" cm="1">
        <f t="array" ref="AO4">IFERROR(
    _xlfn.WRAPCOLS(
        INDEX(
            _xlfn._xlws.FILTER(
                _xlfn.UNIQUE(_xlfn.HSTACK(LineEntryOLD2, DateEntryOld, PayIDEntryOld2)),
                _xlfn.BYROW(_xlfn.UNIQUE(_xlfn.HSTACK(LineEntryOLD2, DateEntryOld, PayIDEntryOld2)), _xlfn.LAMBDA(_xlpm.row, SUM(_xlpm.row)&lt;&gt;0))
            ),
            _xlfn.SEQUENCE(6,1),
            {1,2,3}
        ),
        3
    ),
    ""
)</f>
        <v/>
      </c>
      <c r="AQ4" s="3" t="e" cm="1" vm="1">
        <f t="array" aca="1" ref="AQ4" ca="1">IFERROR(
    _xlfn.WRAPCOLS(
        _xlfn.TOCOL(
            INDEX(
                _xlfn._xlws.FILTER(
                    _xlfn.UNIQUE(_xlfn.HSTACK(LineEntryOLD2, DateEntryOld, PayIDEntryOld2)),
                    _xlfn.BYROW(_xlfn.UNIQUE(_xlfn.HSTACK(LineEntryOLD2, DateEntryOld, PayIDEntryOld2)), _xlfn.LAMBDA(_xlpm.row, SUM(_xlpm.row)&lt;&gt;0))
                ),
                _xlfn.SEQUENCE(6,1),
                {1,2,3}
            )
        ),
        3
    ),
    ""
)</f>
        <v>#VALUE!</v>
      </c>
      <c r="AR4" s="187">
        <v>205</v>
      </c>
      <c r="AS4" s="187">
        <v>112</v>
      </c>
      <c r="AT4" s="187">
        <v>1</v>
      </c>
      <c r="AU4" s="187"/>
    </row>
    <row r="5" spans="1:47" s="4" customFormat="1" ht="16" customHeight="1">
      <c r="A5" s="48"/>
      <c r="B5" s="79" t="s">
        <v>259</v>
      </c>
      <c r="C5" s="247"/>
      <c r="D5" s="248"/>
      <c r="E5" s="243"/>
      <c r="F5" s="243"/>
      <c r="G5" s="243"/>
      <c r="H5" s="243"/>
      <c r="I5" s="80"/>
      <c r="J5" s="188"/>
      <c r="K5" s="188"/>
      <c r="L5" s="188"/>
      <c r="M5" s="188"/>
      <c r="N5" s="188"/>
      <c r="O5" s="188"/>
      <c r="P5" s="188"/>
      <c r="Q5" s="188"/>
      <c r="R5" s="188"/>
      <c r="S5" s="188"/>
      <c r="T5" s="188"/>
      <c r="U5" s="188"/>
      <c r="V5" s="188"/>
      <c r="W5" s="188"/>
      <c r="X5" s="4">
        <v>112</v>
      </c>
      <c r="Z5" s="4" t="str">
        <v>PC</v>
      </c>
      <c r="AA5" s="4" t="str" cm="1">
        <f t="array" ref="AA5">IF(Z5="","",IFERROR(INDEX(Description, MATCH(Z5, LINEOld, 0)), "Not Found"))</f>
        <v>Not Found</v>
      </c>
      <c r="AD5" s="121">
        <v>112</v>
      </c>
      <c r="AE5" s="127">
        <v>45846</v>
      </c>
      <c r="AF5" s="121" t="str">
        <v>PC</v>
      </c>
      <c r="AH5" t="e" cm="1">
        <f t="array" ref="AH5">_xlfn._xlws.FILTER(_xlfn.UNIQUE(_xlfn.HSTACK(LineEntryOLD2, DateEntryOld, PayIDEntryOld2)), _xlfn.UNIQUE(_xlfn.HSTACK(LineEntryOLD2, DateEntryOld, PayIDEntryOld2))&lt;&gt;0)</f>
        <v>#VALUE!</v>
      </c>
      <c r="AR5" s="188">
        <v>45849</v>
      </c>
      <c r="AS5" s="188">
        <v>45848</v>
      </c>
      <c r="AT5" s="188">
        <v>45849</v>
      </c>
      <c r="AU5" s="188"/>
    </row>
    <row r="6" spans="1:47" s="4" customFormat="1" ht="16">
      <c r="A6" s="48"/>
      <c r="B6" s="81"/>
      <c r="C6" s="249"/>
      <c r="D6" s="250"/>
      <c r="E6" s="243"/>
      <c r="F6" s="243"/>
      <c r="G6" s="243"/>
      <c r="H6" s="243"/>
      <c r="I6" s="82"/>
      <c r="J6" s="188"/>
      <c r="K6" s="188"/>
      <c r="L6" s="188"/>
      <c r="M6" s="188"/>
      <c r="N6" s="188"/>
      <c r="O6" s="188"/>
      <c r="P6" s="188"/>
      <c r="Q6" s="188"/>
      <c r="R6" s="188"/>
      <c r="S6" s="188"/>
      <c r="T6" s="188"/>
      <c r="U6" s="188"/>
      <c r="V6" s="188"/>
      <c r="W6" s="188"/>
      <c r="X6" s="4">
        <v>113</v>
      </c>
      <c r="Z6" s="4" t="str">
        <v>PC</v>
      </c>
      <c r="AA6" s="4" t="str" cm="1">
        <f t="array" ref="AA6">IF(Z6="","",IFERROR(INDEX(Description, MATCH(Z6, LINEOld, 0)), "Not Found"))</f>
        <v>Not Found</v>
      </c>
      <c r="AD6" s="121">
        <v>113</v>
      </c>
      <c r="AE6" s="127">
        <v>45846</v>
      </c>
      <c r="AF6" s="121" t="str">
        <v>PC</v>
      </c>
      <c r="AR6" s="188" t="s">
        <v>313</v>
      </c>
      <c r="AS6" s="188" t="s">
        <v>327</v>
      </c>
      <c r="AT6" s="188" t="s">
        <v>5</v>
      </c>
      <c r="AU6" s="188"/>
    </row>
    <row r="7" spans="1:47" s="4" customFormat="1" ht="16">
      <c r="A7" s="48"/>
      <c r="B7" s="244"/>
      <c r="C7" s="245"/>
      <c r="D7" s="246"/>
      <c r="E7" s="246"/>
      <c r="F7" s="51"/>
      <c r="G7" s="51"/>
      <c r="H7" s="51"/>
      <c r="I7" s="84"/>
      <c r="J7" s="188"/>
      <c r="K7" s="188"/>
      <c r="L7" s="188"/>
      <c r="M7" s="188"/>
      <c r="N7" s="188"/>
      <c r="O7" s="188"/>
      <c r="P7" s="188"/>
      <c r="Q7" s="188"/>
      <c r="R7" s="188"/>
      <c r="S7" s="188"/>
      <c r="T7" s="188"/>
      <c r="U7" s="188"/>
      <c r="V7" s="188"/>
      <c r="W7" s="188"/>
      <c r="X7" s="4">
        <v>114</v>
      </c>
      <c r="AA7" s="4" t="str" cm="1">
        <f t="array" ref="AA7">IF(Z7="","",IFERROR(INDEX(Description, MATCH(Z7, LINEOld, 0)), "Not Found"))</f>
        <v/>
      </c>
      <c r="AD7" s="121">
        <v>114</v>
      </c>
      <c r="AE7" s="127">
        <v>45846</v>
      </c>
      <c r="AF7" s="121" t="str">
        <v>PC</v>
      </c>
      <c r="AR7" s="188"/>
      <c r="AS7" s="188"/>
      <c r="AT7" s="188"/>
      <c r="AU7" s="188"/>
    </row>
    <row r="8" spans="1:47" s="4" customFormat="1" ht="16">
      <c r="A8" s="48"/>
      <c r="B8" s="83"/>
      <c r="C8" s="49"/>
      <c r="D8" s="50"/>
      <c r="E8" s="50"/>
      <c r="F8" s="51"/>
      <c r="G8" s="51"/>
      <c r="H8" s="51"/>
      <c r="I8" s="84"/>
      <c r="J8" s="188"/>
      <c r="K8" s="188"/>
      <c r="L8" s="188"/>
      <c r="M8" s="188"/>
      <c r="N8" s="188"/>
      <c r="O8" s="188"/>
      <c r="P8" s="188"/>
      <c r="Q8" s="188"/>
      <c r="R8" s="188"/>
      <c r="S8" s="188"/>
      <c r="T8" s="188"/>
      <c r="U8" s="188"/>
      <c r="V8" s="188"/>
      <c r="W8" s="188"/>
      <c r="X8" s="4">
        <v>116</v>
      </c>
      <c r="AA8" s="4" t="str" cm="1">
        <f t="array" ref="AA8">IF(Z8="","",IFERROR(INDEX(Description, MATCH(Z8, LINEOld, 0)), "Not Found"))</f>
        <v/>
      </c>
      <c r="AD8" s="121">
        <v>116</v>
      </c>
      <c r="AE8" s="127">
        <v>45846</v>
      </c>
      <c r="AF8" s="121" t="str">
        <v>PC</v>
      </c>
      <c r="AR8" s="188"/>
      <c r="AS8" s="188"/>
      <c r="AT8" s="188"/>
      <c r="AU8" s="188"/>
    </row>
    <row r="9" spans="1:47" s="4" customFormat="1" ht="16">
      <c r="A9" s="48"/>
      <c r="B9" s="85" t="s">
        <v>12</v>
      </c>
      <c r="C9" s="251" t="str">
        <f>IFERROR(
    IF(ISNUMBER(MATCH(Sheet_PO,#REF!, 0)),
       IF(INDEX(#REF!, MATCH(Sheet_PO,#REF!, 0)) = "", "",
          INDEX(#REF!, MATCH(Sheet_PO,#REF!, 0))),
       ""),
    "No match found")</f>
        <v/>
      </c>
      <c r="D9" s="251"/>
      <c r="E9" s="52" t="s">
        <v>11</v>
      </c>
      <c r="F9" s="252" t="str">
        <f>IF(TRIM(Job_Number)="", "", Job_Number)</f>
        <v/>
      </c>
      <c r="G9" s="252"/>
      <c r="H9" s="252"/>
      <c r="I9" s="253"/>
      <c r="J9" s="188"/>
      <c r="K9" s="188"/>
      <c r="L9" s="188"/>
      <c r="M9" s="188"/>
      <c r="N9" s="188"/>
      <c r="O9" s="188"/>
      <c r="P9" s="188"/>
      <c r="Q9" s="188"/>
      <c r="R9" s="188"/>
      <c r="S9" s="188"/>
      <c r="T9" s="188"/>
      <c r="U9" s="188"/>
      <c r="V9" s="188"/>
      <c r="W9" s="188"/>
      <c r="X9" s="4">
        <v>117</v>
      </c>
      <c r="AA9" s="4" t="str" cm="1">
        <f t="array" ref="AA9">IF(Z9="","",IFERROR(INDEX(Description, MATCH(Z9, LINEOld, 0)), "Not Found"))</f>
        <v/>
      </c>
      <c r="AD9" s="121">
        <v>117</v>
      </c>
      <c r="AE9" s="127">
        <v>45846</v>
      </c>
      <c r="AF9" s="121" t="str">
        <v>PC</v>
      </c>
      <c r="AH9" s="4" t="b" cm="1">
        <f t="array" ref="AH9:AJ16">_xlfn.UNIQUE(_xlfn.HSTACK(LineEntryOLD2,DateEntryOld,PayIDEntryOld2))&lt;&gt;0</f>
        <v>1</v>
      </c>
      <c r="AI9" s="4" t="b">
        <v>1</v>
      </c>
      <c r="AJ9" s="4" t="b">
        <v>1</v>
      </c>
      <c r="AR9" s="188"/>
      <c r="AS9" s="188"/>
      <c r="AT9" s="188"/>
      <c r="AU9" s="188"/>
    </row>
    <row r="10" spans="1:47" s="4" customFormat="1" ht="14" customHeight="1">
      <c r="A10" s="48"/>
      <c r="B10" s="85" t="s">
        <v>10</v>
      </c>
      <c r="C10" s="223" t="s">
        <v>343</v>
      </c>
      <c r="D10" s="223"/>
      <c r="E10" s="52" t="s">
        <v>9</v>
      </c>
      <c r="F10" s="224" t="str">
        <f>IF(TRIM(Job_Name)="", "", Job_Name)</f>
        <v/>
      </c>
      <c r="G10" s="224"/>
      <c r="H10" s="224"/>
      <c r="I10" s="225"/>
      <c r="J10" s="188"/>
      <c r="K10" s="188"/>
      <c r="L10" s="188"/>
      <c r="M10" s="188"/>
      <c r="N10" s="188"/>
      <c r="O10" s="188"/>
      <c r="P10" s="188"/>
      <c r="Q10" s="188"/>
      <c r="R10" s="188"/>
      <c r="S10" s="188"/>
      <c r="T10" s="188"/>
      <c r="U10" s="188"/>
      <c r="V10" s="188"/>
      <c r="W10" s="187"/>
      <c r="AA10" s="4" t="str" cm="1">
        <f t="array" ref="AA10">IF(Z10="","",IFERROR(INDEX(Description, MATCH(Z10, LINEOld, 0)), "Not Found"))</f>
        <v/>
      </c>
      <c r="AH10" s="4" t="b">
        <v>1</v>
      </c>
      <c r="AI10" s="4" t="b">
        <v>1</v>
      </c>
      <c r="AJ10" s="4" t="b">
        <v>1</v>
      </c>
      <c r="AR10" s="188"/>
      <c r="AS10" s="188"/>
      <c r="AT10" s="188"/>
      <c r="AU10" s="188"/>
    </row>
    <row r="11" spans="1:47" s="4" customFormat="1" ht="17">
      <c r="A11" s="48"/>
      <c r="B11" s="86"/>
      <c r="C11" s="223"/>
      <c r="D11" s="223"/>
      <c r="E11" s="53"/>
      <c r="I11" s="87"/>
      <c r="J11" s="188"/>
      <c r="K11" s="188"/>
      <c r="L11" s="188"/>
      <c r="M11" s="188"/>
      <c r="N11" s="188"/>
      <c r="O11" s="188"/>
      <c r="P11" s="188"/>
      <c r="Q11" s="188"/>
      <c r="R11" s="188"/>
      <c r="S11" s="188"/>
      <c r="T11" s="188"/>
      <c r="U11" s="188"/>
      <c r="V11" s="188"/>
      <c r="W11" s="188"/>
      <c r="AA11" s="4" t="str" cm="1">
        <f t="array" ref="AA11">IF(Z11="","",IFERROR(INDEX(Description, MATCH(Z11, LINEOld, 0)), "Not Found"))</f>
        <v/>
      </c>
      <c r="AD11" s="119" t="e" cm="1" vm="3">
        <f t="array" aca="1" ref="AD11" ca="1">_xlfn.UNIQUE(_xlfn.HSTACK(LineEntryOLD2, DateEntryOld, PayIDEntryOld2))&lt;&gt;0</f>
        <v>#VALUE!</v>
      </c>
      <c r="AH11" s="4" t="b">
        <v>1</v>
      </c>
      <c r="AI11" s="4" t="b">
        <v>1</v>
      </c>
      <c r="AJ11" s="4" t="b">
        <v>1</v>
      </c>
      <c r="AR11" s="188"/>
      <c r="AS11" s="188"/>
      <c r="AT11" s="188"/>
      <c r="AU11" s="188"/>
    </row>
    <row r="12" spans="1:47" s="4" customFormat="1" ht="22" customHeight="1">
      <c r="A12" s="48"/>
      <c r="B12" s="85" t="s">
        <v>8</v>
      </c>
      <c r="C12" s="223"/>
      <c r="D12" s="223"/>
      <c r="E12" s="52" t="s">
        <v>7</v>
      </c>
      <c r="F12" s="7"/>
      <c r="G12" s="7"/>
      <c r="H12" s="7"/>
      <c r="I12" s="88"/>
      <c r="J12" s="188"/>
      <c r="K12" s="188"/>
      <c r="L12" s="188"/>
      <c r="M12" s="188"/>
      <c r="N12" s="188"/>
      <c r="O12" s="188"/>
      <c r="P12" s="188"/>
      <c r="Q12" s="188"/>
      <c r="R12" s="188"/>
      <c r="S12" s="188"/>
      <c r="T12" s="188"/>
      <c r="U12" s="188"/>
      <c r="V12" s="188"/>
      <c r="W12" s="188"/>
      <c r="AA12" s="4" t="str" cm="1">
        <f t="array" ref="AA12">IF(Z12="","",IFERROR(INDEX(Description, MATCH(Z12, LINEOld, 0)), "Not Found"))</f>
        <v/>
      </c>
      <c r="AH12" s="4" t="b">
        <v>1</v>
      </c>
      <c r="AI12" s="4" t="b">
        <v>1</v>
      </c>
      <c r="AJ12" s="4" t="b">
        <v>1</v>
      </c>
      <c r="AR12" s="188"/>
      <c r="AS12" s="188"/>
      <c r="AT12" s="188"/>
      <c r="AU12" s="188"/>
    </row>
    <row r="13" spans="1:47" s="4" customFormat="1" ht="16">
      <c r="A13" s="48"/>
      <c r="B13" s="89"/>
      <c r="C13" s="223"/>
      <c r="D13" s="223"/>
      <c r="F13" s="218"/>
      <c r="G13" s="219"/>
      <c r="H13" s="219"/>
      <c r="I13" s="220"/>
      <c r="J13" s="188"/>
      <c r="K13" s="188"/>
      <c r="L13" s="188"/>
      <c r="M13" s="188"/>
      <c r="N13" s="188"/>
      <c r="O13" s="188"/>
      <c r="P13" s="188"/>
      <c r="Q13" s="188"/>
      <c r="R13" s="188"/>
      <c r="S13" s="188"/>
      <c r="T13" s="188"/>
      <c r="U13" s="188"/>
      <c r="V13" s="188"/>
      <c r="W13" s="188"/>
      <c r="AA13" s="4" t="str" cm="1">
        <f t="array" ref="AA13">IF(Z13="","",IFERROR(INDEX(Description, MATCH(Z13, LINEOld, 0)), "Not Found"))</f>
        <v/>
      </c>
      <c r="AH13" s="4" t="b">
        <v>1</v>
      </c>
      <c r="AI13" s="4" t="b">
        <v>1</v>
      </c>
      <c r="AJ13" s="4" t="b">
        <v>1</v>
      </c>
      <c r="AR13" s="188"/>
      <c r="AS13" s="188"/>
      <c r="AT13" s="188"/>
      <c r="AU13" s="188"/>
    </row>
    <row r="14" spans="1:47" s="4" customFormat="1" ht="16">
      <c r="A14" s="48"/>
      <c r="B14" s="89"/>
      <c r="C14" s="226"/>
      <c r="D14" s="226"/>
      <c r="E14" s="52" t="s">
        <v>265</v>
      </c>
      <c r="F14" s="218"/>
      <c r="G14" s="219"/>
      <c r="H14" s="219"/>
      <c r="I14" s="220"/>
      <c r="J14" s="188"/>
      <c r="K14" s="188"/>
      <c r="L14" s="188"/>
      <c r="M14" s="188"/>
      <c r="N14" s="188"/>
      <c r="O14" s="188"/>
      <c r="P14" s="188"/>
      <c r="Q14" s="188"/>
      <c r="R14" s="188"/>
      <c r="S14" s="188"/>
      <c r="T14" s="188"/>
      <c r="U14" s="188"/>
      <c r="V14" s="188"/>
      <c r="W14" s="188"/>
      <c r="X14" s="188"/>
      <c r="Y14" s="188"/>
      <c r="Z14" s="188"/>
      <c r="AA14" s="188"/>
      <c r="AB14" s="188"/>
      <c r="AC14" s="188"/>
      <c r="AD14" s="188" t="b">
        <v>1</v>
      </c>
      <c r="AE14" s="188" t="b">
        <v>1</v>
      </c>
      <c r="AF14" s="188" t="b">
        <v>1</v>
      </c>
      <c r="AG14" s="188"/>
      <c r="AH14" s="188" t="b">
        <v>1</v>
      </c>
      <c r="AI14" s="188" t="b">
        <v>1</v>
      </c>
      <c r="AJ14" s="188" t="b">
        <v>1</v>
      </c>
      <c r="AK14" s="188"/>
      <c r="AL14" s="188"/>
      <c r="AM14" s="188"/>
      <c r="AN14" s="188"/>
      <c r="AO14" s="188"/>
      <c r="AP14" s="188"/>
      <c r="AQ14" s="188"/>
      <c r="AR14" s="188"/>
      <c r="AS14" s="188"/>
      <c r="AT14" s="188"/>
      <c r="AU14" s="188"/>
    </row>
    <row r="15" spans="1:47" s="4" customFormat="1" ht="16">
      <c r="A15" s="48"/>
      <c r="B15" s="90"/>
      <c r="C15" s="54"/>
      <c r="D15" s="54"/>
      <c r="I15" s="87"/>
      <c r="J15" s="188"/>
      <c r="K15" s="188"/>
      <c r="L15" s="188"/>
      <c r="M15" s="188"/>
      <c r="N15" s="188"/>
      <c r="O15" s="188"/>
      <c r="P15" s="188"/>
      <c r="Q15" s="188"/>
      <c r="R15" s="188"/>
      <c r="S15" s="188"/>
      <c r="T15" s="188"/>
      <c r="U15" s="188"/>
      <c r="V15" s="188"/>
      <c r="W15" s="188"/>
      <c r="X15" s="188"/>
      <c r="Y15" s="188"/>
      <c r="Z15" s="188"/>
      <c r="AA15" s="188"/>
      <c r="AB15" s="188"/>
      <c r="AC15" s="188"/>
      <c r="AD15" s="188" t="b">
        <v>0</v>
      </c>
      <c r="AE15" s="188" t="b">
        <v>0</v>
      </c>
      <c r="AF15" s="188" t="b">
        <v>0</v>
      </c>
      <c r="AG15" s="188"/>
      <c r="AH15" s="188" t="b">
        <v>1</v>
      </c>
      <c r="AI15" s="188" t="b">
        <v>1</v>
      </c>
      <c r="AJ15" s="188" t="b">
        <v>1</v>
      </c>
      <c r="AK15" s="188"/>
      <c r="AL15" s="188"/>
      <c r="AM15" s="188"/>
      <c r="AN15" s="188"/>
      <c r="AO15" s="188"/>
      <c r="AP15" s="188"/>
      <c r="AQ15" s="188"/>
      <c r="AR15" s="188"/>
      <c r="AS15" s="188"/>
      <c r="AT15" s="188"/>
      <c r="AU15" s="188"/>
    </row>
    <row r="16" spans="1:47" s="3" customFormat="1" ht="23" customHeight="1">
      <c r="A16" s="46"/>
      <c r="B16" s="91" t="s">
        <v>6</v>
      </c>
      <c r="C16" s="55"/>
      <c r="D16" s="55"/>
      <c r="E16" s="55"/>
      <c r="F16" s="55"/>
      <c r="G16" s="70"/>
      <c r="H16" s="40"/>
      <c r="I16" s="92"/>
      <c r="J16" s="187"/>
      <c r="K16" s="187"/>
      <c r="L16" s="187"/>
      <c r="M16" s="187"/>
      <c r="N16" s="187"/>
      <c r="O16" s="187"/>
      <c r="P16" s="187"/>
      <c r="Q16" s="187"/>
      <c r="R16" s="187"/>
      <c r="S16" s="187"/>
      <c r="T16" s="187"/>
      <c r="U16" s="187"/>
      <c r="V16" s="187"/>
      <c r="W16" s="187"/>
      <c r="X16" s="187"/>
      <c r="Y16" s="187"/>
      <c r="Z16" s="187"/>
      <c r="AA16" s="187"/>
      <c r="AB16" s="187"/>
      <c r="AC16" s="187"/>
      <c r="AD16" s="187"/>
      <c r="AE16" s="187"/>
      <c r="AF16" s="187"/>
      <c r="AG16" s="187"/>
      <c r="AH16" s="187" t="b">
        <v>0</v>
      </c>
      <c r="AI16" s="187" t="b">
        <v>0</v>
      </c>
      <c r="AJ16" s="187" t="b">
        <v>0</v>
      </c>
      <c r="AK16" s="187"/>
      <c r="AL16" s="187"/>
      <c r="AM16" s="187"/>
      <c r="AN16" s="187"/>
      <c r="AO16" s="187"/>
      <c r="AP16" s="187"/>
      <c r="AQ16" s="187"/>
      <c r="AR16" s="187"/>
      <c r="AS16" s="187"/>
      <c r="AT16" s="187"/>
      <c r="AU16" s="187"/>
    </row>
    <row r="17" spans="1:50" s="3" customFormat="1" ht="23" customHeight="1">
      <c r="A17" s="46"/>
      <c r="B17" s="91"/>
      <c r="C17" s="71"/>
      <c r="D17" s="71"/>
      <c r="E17" s="71"/>
      <c r="F17" s="71"/>
      <c r="G17" s="72"/>
      <c r="H17" s="40"/>
      <c r="I17" s="92"/>
      <c r="J17" s="187"/>
      <c r="K17" s="187"/>
      <c r="L17" s="187"/>
      <c r="M17" s="187"/>
      <c r="N17" s="187"/>
      <c r="O17" s="187"/>
      <c r="P17" s="187"/>
      <c r="Q17" s="187"/>
      <c r="R17" s="187"/>
      <c r="S17" s="187"/>
      <c r="T17" s="187"/>
      <c r="U17" s="187"/>
      <c r="V17" s="187"/>
      <c r="W17" s="187"/>
      <c r="X17" s="187"/>
      <c r="Y17" s="187"/>
      <c r="Z17" s="187"/>
      <c r="AA17" s="187"/>
      <c r="AB17" s="187"/>
      <c r="AC17" s="187"/>
      <c r="AD17" s="187"/>
      <c r="AE17" s="189"/>
      <c r="AF17" s="189"/>
      <c r="AG17" s="189"/>
      <c r="AH17" s="189"/>
      <c r="AI17" s="189"/>
      <c r="AJ17" s="187"/>
      <c r="AK17" s="187"/>
      <c r="AS17" s="187"/>
      <c r="AT17" s="187"/>
      <c r="AU17" s="187"/>
    </row>
    <row r="18" spans="1:50" s="3" customFormat="1" ht="23" customHeight="1">
      <c r="A18" s="46"/>
      <c r="B18" s="91"/>
      <c r="C18" s="221"/>
      <c r="D18" s="221"/>
      <c r="E18" s="221"/>
      <c r="F18" s="221"/>
      <c r="G18" s="221"/>
      <c r="H18" s="221"/>
      <c r="I18" s="222"/>
      <c r="AL18" s="119" t="s">
        <v>320</v>
      </c>
    </row>
    <row r="19" spans="1:50" s="3" customFormat="1" ht="13" customHeight="1" thickBot="1">
      <c r="A19" s="46"/>
      <c r="B19" s="91"/>
      <c r="C19" s="221"/>
      <c r="D19" s="221"/>
      <c r="E19" s="221"/>
      <c r="F19" s="221"/>
      <c r="G19" s="221"/>
      <c r="H19" s="221"/>
      <c r="I19" s="222"/>
      <c r="AE19" s="4"/>
      <c r="AF19" s="4"/>
      <c r="AG19" s="4"/>
      <c r="AH19" s="4"/>
      <c r="AI19" s="4"/>
      <c r="AJ19" s="4"/>
      <c r="AK19" s="4"/>
    </row>
    <row r="20" spans="1:50" s="3" customFormat="1" ht="34" customHeight="1">
      <c r="A20" s="46"/>
      <c r="B20" s="91"/>
      <c r="C20" s="56"/>
      <c r="D20" s="56"/>
      <c r="E20" s="56"/>
      <c r="F20" s="56"/>
      <c r="G20" s="56"/>
      <c r="H20" s="56"/>
      <c r="I20" s="93"/>
      <c r="K20" s="137" t="s">
        <v>328</v>
      </c>
      <c r="L20" s="191" cm="1">
        <f t="array" ref="L20:S22">IFERROR(
    _xlfn.WRAPCOLS(
        _xlfn.TOCOL(
            INDEX(
                _xlfn._xlws.FILTER(
                    _xlfn.UNIQUE(_xlfn.HSTACK(LineEntry, DateEntry, PayIDEntry)),
                    _xlfn.BYROW(_xlfn.UNIQUE(_xlfn.HSTACK(LineEntry, DateEntry, PayIDEntry)), _xlfn.LAMBDA(_xlpm.row, SUM(_xlpm.row)&lt;&gt;0))
                ),
                _xlfn.SEQUENCE(8,1),
                {1,2,3}
            )
        ),
        3
    ),
    ""
)</f>
        <v>144</v>
      </c>
      <c r="M20" s="192">
        <v>112</v>
      </c>
      <c r="N20" s="192">
        <v>113</v>
      </c>
      <c r="O20" s="192">
        <v>114</v>
      </c>
      <c r="P20" s="192">
        <v>116</v>
      </c>
      <c r="Q20" s="192">
        <v>117</v>
      </c>
      <c r="R20" s="192">
        <v>118</v>
      </c>
      <c r="S20" s="192" t="str">
        <v/>
      </c>
      <c r="T20" s="193"/>
      <c r="V20" s="137" t="s">
        <v>328</v>
      </c>
      <c r="W20" s="134" cm="1">
        <f t="array" ref="W20:AE22">TRANSPOSE(_xlfn._xlws.SORT(TRANSPOSE(L20:T22), 1, TRUE))</f>
        <v>112</v>
      </c>
      <c r="X20" s="134">
        <v>113</v>
      </c>
      <c r="Y20" s="134">
        <v>114</v>
      </c>
      <c r="Z20" s="134">
        <v>116</v>
      </c>
      <c r="AA20" s="134">
        <v>117</v>
      </c>
      <c r="AB20" s="134">
        <v>118</v>
      </c>
      <c r="AC20" s="134">
        <v>144</v>
      </c>
      <c r="AD20" s="134" t="str">
        <v/>
      </c>
      <c r="AE20" s="134">
        <v>0</v>
      </c>
      <c r="AL20" s="208" t="s">
        <v>333</v>
      </c>
      <c r="AM20" s="208"/>
      <c r="AN20" s="208"/>
      <c r="AO20" s="208"/>
      <c r="AP20" s="208"/>
      <c r="AQ20" s="208"/>
      <c r="AR20" s="4" t="s">
        <v>334</v>
      </c>
    </row>
    <row r="21" spans="1:50" s="3" customFormat="1" ht="16" customHeight="1">
      <c r="A21" s="46"/>
      <c r="B21" s="91"/>
      <c r="C21" s="56"/>
      <c r="D21" s="56"/>
      <c r="E21" s="56"/>
      <c r="F21" s="56"/>
      <c r="G21" s="56"/>
      <c r="H21" s="56"/>
      <c r="I21" s="93"/>
      <c r="K21" s="137" t="s">
        <v>329</v>
      </c>
      <c r="L21" s="194">
        <v>45847</v>
      </c>
      <c r="M21" s="195">
        <v>45846</v>
      </c>
      <c r="N21" s="195">
        <v>45846</v>
      </c>
      <c r="O21" s="195">
        <v>45846</v>
      </c>
      <c r="P21" s="195">
        <v>45846</v>
      </c>
      <c r="Q21" s="195">
        <v>45846</v>
      </c>
      <c r="R21" s="195">
        <v>45846</v>
      </c>
      <c r="S21" s="195" t="str">
        <v/>
      </c>
      <c r="T21" s="196"/>
      <c r="V21" s="137" t="s">
        <v>329</v>
      </c>
      <c r="W21" s="135">
        <v>45846</v>
      </c>
      <c r="X21" s="135">
        <v>45846</v>
      </c>
      <c r="Y21" s="135">
        <v>45846</v>
      </c>
      <c r="Z21" s="135">
        <v>45846</v>
      </c>
      <c r="AA21" s="135">
        <v>45846</v>
      </c>
      <c r="AB21" s="135">
        <v>45846</v>
      </c>
      <c r="AC21" s="135">
        <v>45847</v>
      </c>
      <c r="AD21" s="135" t="str">
        <v/>
      </c>
      <c r="AE21" s="135">
        <v>0</v>
      </c>
      <c r="AL21" s="144" cm="1">
        <f t="array" ref="AL21:AQ23">IFERROR(
    _xlfn.WRAPCOLS(
        _xlfn.TOCOL(
            INDEX(
                _xlfn._xlws.FILTER(
                    _xlfn.UNIQUE(_xlfn.HSTACK(LineEntryOld3, DateEntryOld3, PayIDEntryOld3)),
                    _xlfn.BYROW(_xlfn.UNIQUE(_xlfn.HSTACK(LineEntryOld3, DateEntryOld3, PayIDEntryOld3)), _xlfn.LAMBDA(_xlpm.row, SUM(_xlpm.row)&lt;&gt;0))
                ),
                _xlfn.SEQUENCE(6,1),
                {1,2,3}
            )
        ),
        3
    ),
    ""
)</f>
        <v>144</v>
      </c>
      <c r="AM21" s="145">
        <v>112</v>
      </c>
      <c r="AN21" s="145">
        <v>113</v>
      </c>
      <c r="AO21" s="145">
        <v>114</v>
      </c>
      <c r="AP21" s="145">
        <v>116</v>
      </c>
      <c r="AQ21" s="146">
        <v>117</v>
      </c>
      <c r="AR21" s="3" cm="1">
        <f t="array" ref="AR21">SUMPRODUCT(--(TRIM(AL21:AQ21)&lt;&gt;""))</f>
        <v>6</v>
      </c>
      <c r="AS21" s="3" cm="1">
        <f t="array" ref="AS21:AX23">_xlfn._xlws.SORT(AL21:AQ23, 1, TRUE, FALSE)</f>
        <v>144</v>
      </c>
      <c r="AT21" s="3">
        <v>112</v>
      </c>
      <c r="AU21" s="3">
        <v>113</v>
      </c>
      <c r="AV21" s="3">
        <v>114</v>
      </c>
      <c r="AW21" s="3">
        <v>116</v>
      </c>
      <c r="AX21" s="3">
        <v>117</v>
      </c>
    </row>
    <row r="22" spans="1:50" ht="30" customHeight="1" thickBot="1">
      <c r="A22" s="42"/>
      <c r="B22" s="212"/>
      <c r="C22" s="213"/>
      <c r="D22" s="214"/>
      <c r="E22" s="214"/>
      <c r="F22" s="214"/>
      <c r="G22" s="214"/>
      <c r="H22" s="214"/>
      <c r="I22" s="215"/>
      <c r="K22" s="137" t="s">
        <v>330</v>
      </c>
      <c r="L22" s="197" t="str">
        <v>PC</v>
      </c>
      <c r="M22" s="198" t="str">
        <v>PC</v>
      </c>
      <c r="N22" s="198" t="str">
        <v>PC</v>
      </c>
      <c r="O22" s="198" t="str">
        <v>PC</v>
      </c>
      <c r="P22" s="198" t="str">
        <v>PC</v>
      </c>
      <c r="Q22" s="198" t="str">
        <v>PC</v>
      </c>
      <c r="R22" s="198" t="str">
        <v>PC</v>
      </c>
      <c r="S22" s="198" t="str">
        <v/>
      </c>
      <c r="T22" s="199"/>
      <c r="V22" s="137" t="s">
        <v>330</v>
      </c>
      <c r="W22" s="200" t="str">
        <v>PC</v>
      </c>
      <c r="X22" s="200" t="str">
        <v>PC</v>
      </c>
      <c r="Y22" s="200" t="str">
        <v>PC</v>
      </c>
      <c r="Z22" s="200" t="str">
        <v>PC</v>
      </c>
      <c r="AA22" s="200" t="str">
        <v>PC</v>
      </c>
      <c r="AB22" s="200" t="str">
        <v>PC</v>
      </c>
      <c r="AC22" s="200" t="str">
        <v>PC</v>
      </c>
      <c r="AD22" s="200" t="str">
        <v/>
      </c>
      <c r="AE22" s="136">
        <v>0</v>
      </c>
      <c r="AL22" s="46">
        <v>45847</v>
      </c>
      <c r="AM22" s="3">
        <v>45846</v>
      </c>
      <c r="AN22" s="3">
        <v>45846</v>
      </c>
      <c r="AO22" s="3">
        <v>45846</v>
      </c>
      <c r="AP22" s="3">
        <v>45846</v>
      </c>
      <c r="AQ22" s="147">
        <v>45846</v>
      </c>
      <c r="AR22" s="3"/>
      <c r="AS22" s="190">
        <v>45847</v>
      </c>
      <c r="AT22" s="190">
        <v>45846</v>
      </c>
      <c r="AU22" s="190">
        <v>45846</v>
      </c>
      <c r="AV22" s="190">
        <v>45846</v>
      </c>
      <c r="AW22" s="190">
        <v>45846</v>
      </c>
      <c r="AX22" s="190">
        <v>45846</v>
      </c>
    </row>
    <row r="23" spans="1:50" s="4" customFormat="1" ht="16" customHeight="1" thickBot="1">
      <c r="A23" s="48"/>
      <c r="B23" s="94" t="s">
        <v>4</v>
      </c>
      <c r="C23" s="216" t="s">
        <v>3</v>
      </c>
      <c r="D23" s="217"/>
      <c r="E23" s="65" t="s">
        <v>12</v>
      </c>
      <c r="F23" s="65" t="s">
        <v>18</v>
      </c>
      <c r="G23" s="65" t="s">
        <v>2</v>
      </c>
      <c r="H23" s="65" t="s">
        <v>1</v>
      </c>
      <c r="I23" s="95" t="s">
        <v>0</v>
      </c>
      <c r="W23" s="118" t="s">
        <v>314</v>
      </c>
      <c r="X23" s="118" t="s">
        <v>325</v>
      </c>
      <c r="Y23" s="118" t="s">
        <v>315</v>
      </c>
      <c r="Z23" s="118" t="s">
        <v>316</v>
      </c>
      <c r="AA23" s="118" t="s">
        <v>317</v>
      </c>
      <c r="AB23" s="118" t="s">
        <v>318</v>
      </c>
      <c r="AC23" s="118" t="s">
        <v>341</v>
      </c>
      <c r="AD23" s="118" t="s">
        <v>340</v>
      </c>
      <c r="AE23" s="118" t="s">
        <v>339</v>
      </c>
      <c r="AL23" s="62" t="str">
        <v>PC</v>
      </c>
      <c r="AM23" s="63" t="str">
        <v>PC</v>
      </c>
      <c r="AN23" s="63" t="str">
        <v>PC</v>
      </c>
      <c r="AO23" s="63" t="str">
        <v>PC</v>
      </c>
      <c r="AP23" s="63" t="str">
        <v>PC</v>
      </c>
      <c r="AQ23" s="64" t="str">
        <v>PC</v>
      </c>
      <c r="AR23" s="1"/>
      <c r="AS23" s="4" t="str">
        <v>PC</v>
      </c>
      <c r="AT23" s="4" t="str">
        <v>PC</v>
      </c>
      <c r="AU23" s="4" t="str">
        <v>PC</v>
      </c>
      <c r="AV23" s="4" t="str">
        <v>PC</v>
      </c>
      <c r="AW23" s="4" t="str">
        <v>PC</v>
      </c>
      <c r="AX23" s="4" t="str">
        <v>PC</v>
      </c>
    </row>
    <row r="24" spans="1:50" s="4" customFormat="1" ht="16" customHeight="1">
      <c r="A24" s="48"/>
      <c r="B24" s="122">
        <v>144</v>
      </c>
      <c r="C24" s="209" t="s">
        <v>312</v>
      </c>
      <c r="D24" s="210"/>
      <c r="E24" s="116">
        <v>45847</v>
      </c>
      <c r="F24" s="124" t="s">
        <v>344</v>
      </c>
      <c r="G24" s="6">
        <v>1</v>
      </c>
      <c r="H24" s="5">
        <v>800</v>
      </c>
      <c r="I24" s="96">
        <f>G24*H24</f>
        <v>800</v>
      </c>
      <c r="W24" s="133" t="str">
        <f>IF($B24="", "", IF(AND($I24, $B24=W$20, $E24=W$21, $F24=W$22, SUM($I$24)&gt;0), $I24, ""))</f>
        <v/>
      </c>
      <c r="X24" s="133" t="str">
        <f t="shared" ref="X24:AE24" si="0">IF($B24="", "", IF(AND($I24, $B24=X$20, $E24=X$21, $F24=X$22, SUM($I$24)&gt;0), $I24, ""))</f>
        <v/>
      </c>
      <c r="Y24" s="133" t="str">
        <f t="shared" si="0"/>
        <v/>
      </c>
      <c r="Z24" s="133" t="str">
        <f>IF($B24="", "", IF(AND($I24, $B24=Z$20, $E24=Z$21, $F24=Z$22, SUM($I$24)&gt;0), $I24, ""))</f>
        <v/>
      </c>
      <c r="AA24" s="133" t="str">
        <f t="shared" si="0"/>
        <v/>
      </c>
      <c r="AB24" s="133" t="str">
        <f t="shared" si="0"/>
        <v/>
      </c>
      <c r="AC24" s="133">
        <f t="shared" si="0"/>
        <v>800</v>
      </c>
      <c r="AD24" s="133" t="str">
        <f t="shared" si="0"/>
        <v/>
      </c>
      <c r="AE24" s="133" t="str">
        <f t="shared" si="0"/>
        <v/>
      </c>
    </row>
    <row r="25" spans="1:50" s="4" customFormat="1" ht="16" customHeight="1">
      <c r="A25" s="48"/>
      <c r="B25" s="122">
        <v>112</v>
      </c>
      <c r="C25" s="209" t="s">
        <v>345</v>
      </c>
      <c r="D25" s="210"/>
      <c r="E25" s="116">
        <v>45846</v>
      </c>
      <c r="F25" s="124" t="s">
        <v>344</v>
      </c>
      <c r="G25" s="6">
        <v>1</v>
      </c>
      <c r="H25" s="5">
        <v>1000</v>
      </c>
      <c r="I25" s="96">
        <f t="shared" ref="I25:I35" si="1">G25*H25</f>
        <v>1000</v>
      </c>
      <c r="W25" s="133">
        <f t="shared" ref="W25:AE35" si="2">IF($B25="", "", IF(AND($I25, $B25=W$20, $E25=W$21, $F25=W$22, SUM($I$24)&gt;0), $I25, ""))</f>
        <v>1000</v>
      </c>
      <c r="X25" s="133" t="str">
        <f t="shared" si="2"/>
        <v/>
      </c>
      <c r="Y25" s="133" t="str">
        <f t="shared" si="2"/>
        <v/>
      </c>
      <c r="Z25" s="133" t="str">
        <f t="shared" si="2"/>
        <v/>
      </c>
      <c r="AA25" s="133" t="str">
        <f t="shared" si="2"/>
        <v/>
      </c>
      <c r="AB25" s="133" t="str">
        <f t="shared" si="2"/>
        <v/>
      </c>
      <c r="AC25" s="133" t="str">
        <f t="shared" si="2"/>
        <v/>
      </c>
      <c r="AD25" s="133" t="str">
        <f t="shared" si="2"/>
        <v/>
      </c>
      <c r="AE25" s="133" t="str">
        <f t="shared" si="2"/>
        <v/>
      </c>
    </row>
    <row r="26" spans="1:50" s="4" customFormat="1" ht="16" customHeight="1">
      <c r="A26" s="48"/>
      <c r="B26" s="122">
        <v>113</v>
      </c>
      <c r="C26" s="209" t="s">
        <v>345</v>
      </c>
      <c r="D26" s="210"/>
      <c r="E26" s="116">
        <v>45846</v>
      </c>
      <c r="F26" s="124" t="s">
        <v>344</v>
      </c>
      <c r="G26" s="6">
        <v>1</v>
      </c>
      <c r="H26" s="5">
        <v>1000</v>
      </c>
      <c r="I26" s="96">
        <f t="shared" si="1"/>
        <v>1000</v>
      </c>
      <c r="W26" s="133" t="str">
        <f t="shared" si="2"/>
        <v/>
      </c>
      <c r="X26" s="133">
        <f t="shared" si="2"/>
        <v>1000</v>
      </c>
      <c r="Y26" s="133" t="str">
        <f t="shared" si="2"/>
        <v/>
      </c>
      <c r="Z26" s="133" t="str">
        <f t="shared" si="2"/>
        <v/>
      </c>
      <c r="AA26" s="133" t="str">
        <f t="shared" si="2"/>
        <v/>
      </c>
      <c r="AB26" s="133" t="str">
        <f t="shared" si="2"/>
        <v/>
      </c>
      <c r="AC26" s="133" t="str">
        <f t="shared" si="2"/>
        <v/>
      </c>
      <c r="AD26" s="133" t="str">
        <f t="shared" si="2"/>
        <v/>
      </c>
      <c r="AE26" s="133" t="str">
        <f t="shared" si="2"/>
        <v/>
      </c>
    </row>
    <row r="27" spans="1:50" s="4" customFormat="1" ht="16">
      <c r="A27" s="48"/>
      <c r="B27" s="122">
        <v>114</v>
      </c>
      <c r="C27" s="209" t="s">
        <v>345</v>
      </c>
      <c r="D27" s="210"/>
      <c r="E27" s="116">
        <v>45846</v>
      </c>
      <c r="F27" s="124" t="s">
        <v>344</v>
      </c>
      <c r="G27" s="6">
        <v>1</v>
      </c>
      <c r="H27" s="5">
        <v>1000</v>
      </c>
      <c r="I27" s="96">
        <f t="shared" si="1"/>
        <v>1000</v>
      </c>
      <c r="W27" s="133" t="str">
        <f t="shared" si="2"/>
        <v/>
      </c>
      <c r="X27" s="133" t="str">
        <f t="shared" si="2"/>
        <v/>
      </c>
      <c r="Y27" s="133">
        <f t="shared" si="2"/>
        <v>1000</v>
      </c>
      <c r="Z27" s="133" t="str">
        <f t="shared" si="2"/>
        <v/>
      </c>
      <c r="AA27" s="133" t="str">
        <f t="shared" si="2"/>
        <v/>
      </c>
      <c r="AB27" s="133" t="str">
        <f t="shared" si="2"/>
        <v/>
      </c>
      <c r="AC27" s="133" t="str">
        <f t="shared" si="2"/>
        <v/>
      </c>
      <c r="AD27" s="133" t="str">
        <f t="shared" si="2"/>
        <v/>
      </c>
      <c r="AE27" s="133" t="str">
        <f t="shared" si="2"/>
        <v/>
      </c>
    </row>
    <row r="28" spans="1:50" s="4" customFormat="1" ht="16" customHeight="1">
      <c r="A28" s="48"/>
      <c r="B28" s="122">
        <v>114</v>
      </c>
      <c r="C28" s="209" t="s">
        <v>345</v>
      </c>
      <c r="D28" s="210"/>
      <c r="E28" s="116">
        <v>45846</v>
      </c>
      <c r="F28" s="124" t="s">
        <v>344</v>
      </c>
      <c r="G28" s="6">
        <v>1</v>
      </c>
      <c r="H28" s="5">
        <v>1000</v>
      </c>
      <c r="I28" s="96">
        <f t="shared" si="1"/>
        <v>1000</v>
      </c>
      <c r="W28" s="133" t="str">
        <f t="shared" si="2"/>
        <v/>
      </c>
      <c r="X28" s="133" t="str">
        <f t="shared" si="2"/>
        <v/>
      </c>
      <c r="Y28" s="133">
        <f t="shared" si="2"/>
        <v>1000</v>
      </c>
      <c r="Z28" s="133" t="str">
        <f t="shared" si="2"/>
        <v/>
      </c>
      <c r="AA28" s="133" t="str">
        <f t="shared" si="2"/>
        <v/>
      </c>
      <c r="AB28" s="133" t="str">
        <f t="shared" si="2"/>
        <v/>
      </c>
      <c r="AC28" s="133" t="str">
        <f t="shared" si="2"/>
        <v/>
      </c>
      <c r="AD28" s="133" t="str">
        <f t="shared" si="2"/>
        <v/>
      </c>
      <c r="AE28" s="133" t="str">
        <f t="shared" si="2"/>
        <v/>
      </c>
    </row>
    <row r="29" spans="1:50" s="4" customFormat="1" ht="16" customHeight="1">
      <c r="A29" s="48"/>
      <c r="B29" s="122">
        <v>116</v>
      </c>
      <c r="C29" s="209" t="s">
        <v>345</v>
      </c>
      <c r="D29" s="210"/>
      <c r="E29" s="116">
        <v>45846</v>
      </c>
      <c r="F29" s="124" t="s">
        <v>344</v>
      </c>
      <c r="G29" s="6">
        <v>1</v>
      </c>
      <c r="H29" s="5">
        <v>1000</v>
      </c>
      <c r="I29" s="96">
        <f t="shared" si="1"/>
        <v>1000</v>
      </c>
      <c r="W29" s="133" t="str">
        <f t="shared" si="2"/>
        <v/>
      </c>
      <c r="X29" s="133" t="str">
        <f t="shared" si="2"/>
        <v/>
      </c>
      <c r="Y29" s="133" t="str">
        <f t="shared" si="2"/>
        <v/>
      </c>
      <c r="Z29" s="133">
        <f t="shared" si="2"/>
        <v>1000</v>
      </c>
      <c r="AA29" s="133" t="str">
        <f t="shared" si="2"/>
        <v/>
      </c>
      <c r="AB29" s="133" t="str">
        <f t="shared" si="2"/>
        <v/>
      </c>
      <c r="AC29" s="133" t="str">
        <f t="shared" si="2"/>
        <v/>
      </c>
      <c r="AD29" s="133" t="str">
        <f t="shared" si="2"/>
        <v/>
      </c>
      <c r="AE29" s="133" t="str">
        <f t="shared" si="2"/>
        <v/>
      </c>
    </row>
    <row r="30" spans="1:50" s="4" customFormat="1" ht="16" customHeight="1">
      <c r="A30" s="48"/>
      <c r="B30" s="122">
        <v>117</v>
      </c>
      <c r="C30" s="209" t="s">
        <v>345</v>
      </c>
      <c r="D30" s="210"/>
      <c r="E30" s="116">
        <v>45846</v>
      </c>
      <c r="F30" s="124" t="s">
        <v>344</v>
      </c>
      <c r="G30" s="6">
        <v>1</v>
      </c>
      <c r="H30" s="5">
        <v>1000</v>
      </c>
      <c r="I30" s="96">
        <f t="shared" si="1"/>
        <v>1000</v>
      </c>
      <c r="W30" s="133" t="str">
        <f t="shared" si="2"/>
        <v/>
      </c>
      <c r="X30" s="133" t="str">
        <f t="shared" si="2"/>
        <v/>
      </c>
      <c r="Y30" s="133" t="str">
        <f t="shared" si="2"/>
        <v/>
      </c>
      <c r="Z30" s="133" t="str">
        <f t="shared" si="2"/>
        <v/>
      </c>
      <c r="AA30" s="133">
        <f t="shared" si="2"/>
        <v>1000</v>
      </c>
      <c r="AB30" s="133" t="str">
        <f t="shared" si="2"/>
        <v/>
      </c>
      <c r="AC30" s="133" t="str">
        <f t="shared" si="2"/>
        <v/>
      </c>
      <c r="AD30" s="133" t="str">
        <f t="shared" si="2"/>
        <v/>
      </c>
      <c r="AE30" s="133" t="str">
        <f t="shared" si="2"/>
        <v/>
      </c>
    </row>
    <row r="31" spans="1:50" s="4" customFormat="1" ht="16" customHeight="1">
      <c r="A31" s="48"/>
      <c r="B31" s="122">
        <v>118</v>
      </c>
      <c r="C31" s="209" t="s">
        <v>345</v>
      </c>
      <c r="D31" s="210"/>
      <c r="E31" s="116">
        <v>45846</v>
      </c>
      <c r="F31" s="124" t="s">
        <v>344</v>
      </c>
      <c r="G31" s="6">
        <v>1</v>
      </c>
      <c r="H31" s="5">
        <v>1000</v>
      </c>
      <c r="I31" s="96">
        <f t="shared" si="1"/>
        <v>1000</v>
      </c>
      <c r="W31" s="133" t="str">
        <f t="shared" si="2"/>
        <v/>
      </c>
      <c r="X31" s="133" t="str">
        <f t="shared" si="2"/>
        <v/>
      </c>
      <c r="Y31" s="133" t="str">
        <f t="shared" si="2"/>
        <v/>
      </c>
      <c r="Z31" s="133" t="str">
        <f t="shared" si="2"/>
        <v/>
      </c>
      <c r="AA31" s="133" t="str">
        <f t="shared" si="2"/>
        <v/>
      </c>
      <c r="AB31" s="133">
        <f t="shared" si="2"/>
        <v>1000</v>
      </c>
      <c r="AC31" s="133" t="str">
        <f t="shared" si="2"/>
        <v/>
      </c>
      <c r="AD31" s="133" t="str">
        <f t="shared" si="2"/>
        <v/>
      </c>
      <c r="AE31" s="133" t="str">
        <f t="shared" si="2"/>
        <v/>
      </c>
    </row>
    <row r="32" spans="1:50" s="4" customFormat="1" ht="16" customHeight="1">
      <c r="A32" s="48"/>
      <c r="B32" s="122"/>
      <c r="C32" s="209"/>
      <c r="D32" s="210"/>
      <c r="E32" s="116"/>
      <c r="F32" s="124"/>
      <c r="G32" s="6"/>
      <c r="H32" s="5"/>
      <c r="I32" s="96">
        <f t="shared" si="1"/>
        <v>0</v>
      </c>
      <c r="W32" s="133" t="str">
        <f t="shared" si="2"/>
        <v/>
      </c>
      <c r="X32" s="133" t="str">
        <f t="shared" si="2"/>
        <v/>
      </c>
      <c r="Y32" s="133" t="str">
        <f t="shared" si="2"/>
        <v/>
      </c>
      <c r="Z32" s="133" t="str">
        <f t="shared" si="2"/>
        <v/>
      </c>
      <c r="AA32" s="133" t="str">
        <f t="shared" si="2"/>
        <v/>
      </c>
      <c r="AB32" s="133" t="str">
        <f t="shared" si="2"/>
        <v/>
      </c>
      <c r="AC32" s="133" t="str">
        <f t="shared" si="2"/>
        <v/>
      </c>
      <c r="AD32" s="133" t="str">
        <f t="shared" si="2"/>
        <v/>
      </c>
      <c r="AE32" s="133" t="str">
        <f t="shared" si="2"/>
        <v/>
      </c>
    </row>
    <row r="33" spans="1:31" s="4" customFormat="1" ht="16" customHeight="1">
      <c r="A33" s="48"/>
      <c r="B33" s="122"/>
      <c r="C33" s="209"/>
      <c r="D33" s="210"/>
      <c r="E33" s="116"/>
      <c r="F33" s="124"/>
      <c r="G33" s="6"/>
      <c r="H33" s="5"/>
      <c r="I33" s="96">
        <f t="shared" si="1"/>
        <v>0</v>
      </c>
      <c r="W33" s="133" t="str">
        <f t="shared" si="2"/>
        <v/>
      </c>
      <c r="X33" s="133" t="str">
        <f t="shared" si="2"/>
        <v/>
      </c>
      <c r="Y33" s="133" t="str">
        <f t="shared" si="2"/>
        <v/>
      </c>
      <c r="Z33" s="133" t="str">
        <f t="shared" si="2"/>
        <v/>
      </c>
      <c r="AA33" s="133" t="str">
        <f t="shared" si="2"/>
        <v/>
      </c>
      <c r="AB33" s="133" t="str">
        <f t="shared" si="2"/>
        <v/>
      </c>
      <c r="AC33" s="133" t="str">
        <f t="shared" si="2"/>
        <v/>
      </c>
      <c r="AD33" s="133" t="str">
        <f t="shared" si="2"/>
        <v/>
      </c>
      <c r="AE33" s="133" t="str">
        <f t="shared" si="2"/>
        <v/>
      </c>
    </row>
    <row r="34" spans="1:31" s="4" customFormat="1" ht="16" customHeight="1">
      <c r="A34" s="48"/>
      <c r="B34" s="122"/>
      <c r="C34" s="209"/>
      <c r="D34" s="210"/>
      <c r="E34" s="116"/>
      <c r="F34" s="124"/>
      <c r="G34" s="6"/>
      <c r="H34" s="5"/>
      <c r="I34" s="96">
        <f t="shared" si="1"/>
        <v>0</v>
      </c>
      <c r="W34" s="133" t="str">
        <f t="shared" si="2"/>
        <v/>
      </c>
      <c r="X34" s="133" t="str">
        <f t="shared" si="2"/>
        <v/>
      </c>
      <c r="Y34" s="133" t="str">
        <f t="shared" si="2"/>
        <v/>
      </c>
      <c r="Z34" s="133" t="str">
        <f t="shared" si="2"/>
        <v/>
      </c>
      <c r="AA34" s="133" t="str">
        <f t="shared" si="2"/>
        <v/>
      </c>
      <c r="AB34" s="133" t="str">
        <f t="shared" si="2"/>
        <v/>
      </c>
      <c r="AC34" s="133" t="str">
        <f t="shared" si="2"/>
        <v/>
      </c>
      <c r="AD34" s="133" t="str">
        <f t="shared" si="2"/>
        <v/>
      </c>
      <c r="AE34" s="133" t="str">
        <f t="shared" si="2"/>
        <v/>
      </c>
    </row>
    <row r="35" spans="1:31" s="4" customFormat="1" ht="16" customHeight="1" thickBot="1">
      <c r="A35" s="48"/>
      <c r="B35" s="123"/>
      <c r="C35" s="227"/>
      <c r="D35" s="228"/>
      <c r="E35" s="66"/>
      <c r="F35" s="125"/>
      <c r="G35" s="66"/>
      <c r="H35" s="67"/>
      <c r="I35" s="97">
        <f t="shared" si="1"/>
        <v>0</v>
      </c>
      <c r="W35" s="4" t="str">
        <f t="shared" si="2"/>
        <v/>
      </c>
      <c r="X35" s="4" t="str">
        <f t="shared" si="2"/>
        <v/>
      </c>
      <c r="Y35" s="4" t="str">
        <f t="shared" si="2"/>
        <v/>
      </c>
      <c r="Z35" s="4" t="str">
        <f t="shared" si="2"/>
        <v/>
      </c>
      <c r="AA35" s="4" t="str">
        <f t="shared" si="2"/>
        <v/>
      </c>
      <c r="AB35" s="4" t="str">
        <f t="shared" si="2"/>
        <v/>
      </c>
      <c r="AC35" s="4" t="str">
        <f t="shared" si="2"/>
        <v/>
      </c>
      <c r="AD35" s="4" t="str">
        <f t="shared" si="2"/>
        <v/>
      </c>
      <c r="AE35" s="4" t="str">
        <f t="shared" si="2"/>
        <v/>
      </c>
    </row>
    <row r="36" spans="1:31" s="4" customFormat="1" ht="16" customHeight="1" thickBot="1">
      <c r="A36" s="48"/>
      <c r="B36" s="98"/>
      <c r="C36" s="68"/>
      <c r="D36" s="68"/>
      <c r="E36" s="68"/>
      <c r="F36" s="68"/>
      <c r="G36" s="69"/>
      <c r="H36" s="69"/>
      <c r="I36" s="99"/>
      <c r="W36" s="138">
        <f>IF(SUM(W24:W35), SUM(W24:W35),"")</f>
        <v>1000</v>
      </c>
      <c r="X36" s="139">
        <f t="shared" ref="X36:AE36" si="3">IF(SUM(X24:X35), SUM(X24:X35),"")</f>
        <v>1000</v>
      </c>
      <c r="Y36" s="140">
        <f t="shared" si="3"/>
        <v>2000</v>
      </c>
      <c r="Z36" s="140">
        <f>IF(SUM(Z24:Z35), SUM(Z24:Z35),"")</f>
        <v>1000</v>
      </c>
      <c r="AA36" s="140">
        <f t="shared" si="3"/>
        <v>1000</v>
      </c>
      <c r="AB36" s="141">
        <f t="shared" si="3"/>
        <v>1000</v>
      </c>
      <c r="AC36" s="141">
        <f t="shared" si="3"/>
        <v>800</v>
      </c>
      <c r="AD36" s="141" t="str">
        <f t="shared" si="3"/>
        <v/>
      </c>
      <c r="AE36" s="141" t="str">
        <f t="shared" si="3"/>
        <v/>
      </c>
    </row>
    <row r="37" spans="1:31" s="4" customFormat="1" ht="16" customHeight="1" thickBot="1">
      <c r="A37" s="48"/>
      <c r="B37" s="100" t="s">
        <v>263</v>
      </c>
      <c r="C37" s="2"/>
      <c r="D37" s="2"/>
      <c r="E37" s="58"/>
      <c r="F37" s="59"/>
      <c r="G37" s="107" t="s">
        <v>261</v>
      </c>
      <c r="H37" s="108"/>
      <c r="I37" s="109">
        <f>SUM(I23:I35)</f>
        <v>7800</v>
      </c>
      <c r="W37" s="129" t="s">
        <v>314</v>
      </c>
      <c r="X37" s="130" t="s">
        <v>325</v>
      </c>
      <c r="Y37" s="131" t="s">
        <v>315</v>
      </c>
      <c r="Z37" s="131" t="s">
        <v>316</v>
      </c>
      <c r="AA37" s="131" t="s">
        <v>317</v>
      </c>
      <c r="AB37" s="132" t="s">
        <v>318</v>
      </c>
      <c r="AC37" s="118" t="s">
        <v>341</v>
      </c>
      <c r="AD37" s="118" t="s">
        <v>340</v>
      </c>
      <c r="AE37" s="118" t="s">
        <v>339</v>
      </c>
    </row>
    <row r="38" spans="1:31" s="4" customFormat="1" ht="16" customHeight="1" thickBot="1">
      <c r="A38" s="48"/>
      <c r="B38" s="100"/>
      <c r="C38" s="211"/>
      <c r="D38" s="211"/>
      <c r="E38" s="61"/>
      <c r="F38" s="60"/>
      <c r="G38" s="110"/>
      <c r="H38" s="57"/>
      <c r="I38" s="101"/>
    </row>
    <row r="39" spans="1:31" s="4" customFormat="1" ht="16" customHeight="1">
      <c r="A39" s="48"/>
      <c r="B39" s="100"/>
      <c r="C39" s="1"/>
      <c r="D39" s="1"/>
      <c r="E39" s="60"/>
      <c r="F39" s="60"/>
      <c r="G39" s="110" t="s">
        <v>260</v>
      </c>
      <c r="H39" s="60" t="s">
        <v>262</v>
      </c>
      <c r="I39" s="102"/>
      <c r="W39" s="229" t="s">
        <v>331</v>
      </c>
      <c r="X39" s="230"/>
      <c r="Y39" s="230"/>
      <c r="Z39" s="230"/>
      <c r="AA39" s="230"/>
      <c r="AB39" s="230"/>
      <c r="AC39" s="231"/>
    </row>
    <row r="40" spans="1:31" ht="16" customHeight="1" thickBot="1">
      <c r="A40" s="42"/>
      <c r="B40" s="100" t="s">
        <v>264</v>
      </c>
      <c r="C40" s="2"/>
      <c r="D40" s="2"/>
      <c r="E40" s="59"/>
      <c r="F40" s="59"/>
      <c r="G40" s="110" t="s">
        <v>21</v>
      </c>
      <c r="H40" s="60"/>
      <c r="I40" s="103">
        <f>SUM(I37:I39)</f>
        <v>7800</v>
      </c>
      <c r="W40" s="169" t="s">
        <v>337</v>
      </c>
      <c r="X40" s="149" t="s">
        <v>4</v>
      </c>
      <c r="Y40" s="170" t="s">
        <v>16</v>
      </c>
      <c r="Z40" s="170" t="s">
        <v>17</v>
      </c>
      <c r="AA40" s="171" t="s">
        <v>12</v>
      </c>
      <c r="AB40" s="170" t="s">
        <v>18</v>
      </c>
      <c r="AC40" s="172" t="s">
        <v>242</v>
      </c>
      <c r="AD40" s="173" t="s">
        <v>19</v>
      </c>
    </row>
    <row r="41" spans="1:31" ht="16" customHeight="1" thickBot="1">
      <c r="B41" s="104"/>
      <c r="C41" s="105"/>
      <c r="D41" s="105"/>
      <c r="E41" s="105"/>
      <c r="F41" s="105"/>
      <c r="G41" s="104"/>
      <c r="H41" s="105"/>
      <c r="I41" s="106"/>
      <c r="W41" s="165" t="str">
        <f>IF(SUM($W$24:$W$35), "#A","")</f>
        <v>#A</v>
      </c>
      <c r="X41" s="153">
        <f>IF('2499-005'!$W41="#A", W20,"")</f>
        <v>112</v>
      </c>
      <c r="Y41" s="154" t="str">
        <f>IF('2499-005'!$W41="#A", Vendor,"")</f>
        <v>Bartlett Fabrication</v>
      </c>
      <c r="Z41" s="155" t="str">
        <f>IF('2499-005'!$W41="#A", Sheet_PO,"")</f>
        <v>2499-005</v>
      </c>
      <c r="AA41" s="156">
        <f>IF('2499-005'!$W41="#A", W$21,"")</f>
        <v>45846</v>
      </c>
      <c r="AB41" s="155" t="str">
        <f>IF('2499-005'!$W41="#A", W$22,"")</f>
        <v>PC</v>
      </c>
      <c r="AC41" s="157">
        <f>IF('2499-005'!$W41="#A", W$36,"")</f>
        <v>1000</v>
      </c>
      <c r="AD41" s="155" t="str">
        <f>IF('2499-005'!$W41="#A",
      INDEX('Line No'!$B$1:$B$342, MATCH('2499-005'!$X41, 'Line No'!$A$1:$A$342, 0)),
      "")</f>
        <v>Pre Pro Meals</v>
      </c>
    </row>
    <row r="42" spans="1:31" ht="16" customHeight="1">
      <c r="W42" s="166" t="str">
        <f>IF(SUM($X$24:$X$34), "#B", "")</f>
        <v>#B</v>
      </c>
      <c r="X42" s="158">
        <f>IF('2499-005'!$W42="#B", X20,"")</f>
        <v>113</v>
      </c>
      <c r="Y42" s="158" t="str">
        <f>IF('2499-005'!$W42="#B", Vendor,"")</f>
        <v>Bartlett Fabrication</v>
      </c>
      <c r="Z42" s="158" t="str">
        <f>IF('2499-005'!$W42="#B", Sheet_PO,"")</f>
        <v>2499-005</v>
      </c>
      <c r="AA42" s="159">
        <f>IF('2499-005'!$W42="#B", X21,"")</f>
        <v>45846</v>
      </c>
      <c r="AB42" s="158" t="str">
        <f>IF('2499-005'!$W42="#B", X22,"")</f>
        <v>PC</v>
      </c>
      <c r="AC42" s="160">
        <f>IF('2499-005'!$W42="#B", X36,"")</f>
        <v>1000</v>
      </c>
      <c r="AD42" s="158" t="str">
        <f>IF('2499-005'!$W42="#B",
      INDEX('Line No'!$B$1:$B$342, MATCH('2499-005'!$X42, 'Line No'!$A$1:$A$342, 0)),
      "")</f>
        <v>Location Scouting Expenses</v>
      </c>
    </row>
    <row r="43" spans="1:31" ht="16" customHeight="1">
      <c r="G43" s="73"/>
      <c r="H43" s="73"/>
      <c r="I43" s="73"/>
      <c r="W43" s="167" t="str">
        <f>IF(SUM($Y$24:$Y$34), "#C", "")</f>
        <v>#C</v>
      </c>
      <c r="X43" s="155">
        <f>IF('2499-005'!$W43="#C", Y20,"")</f>
        <v>114</v>
      </c>
      <c r="Y43" s="154" t="str">
        <f>IF('2499-005'!$W43="#C", Vendor,"")</f>
        <v>Bartlett Fabrication</v>
      </c>
      <c r="Z43" s="155" t="str">
        <f>IF('2499-005'!$W43="#C", Sheet_PO,"")</f>
        <v>2499-005</v>
      </c>
      <c r="AA43" s="156">
        <f>IF('2499-005'!$W43="#C", Y21,"")</f>
        <v>45846</v>
      </c>
      <c r="AB43" s="155" t="str">
        <f>IF('2499-005'!$W43="#C", Y22,"")</f>
        <v>PC</v>
      </c>
      <c r="AC43" s="157">
        <f>IF('2499-005'!$W43="#C", Y36,"")</f>
        <v>2000</v>
      </c>
      <c r="AD43" s="155" t="str">
        <f>IF('2499-005'!$W43="#C",
      INDEX('Line No'!$B$1:$B$342, MATCH('2499-005'!$X43, 'Line No'!$A$1:$A$342, 0)),
      "")</f>
        <v>Location Fees - House/Grocery Store</v>
      </c>
    </row>
    <row r="44" spans="1:31" ht="16" customHeight="1">
      <c r="G44" s="73"/>
      <c r="H44" s="128"/>
      <c r="I44" s="73"/>
      <c r="W44" s="168" t="str">
        <f>IF(SUM($Z$24:$Z$34), "#D", "")</f>
        <v>#D</v>
      </c>
      <c r="X44" s="158">
        <f>IF('2499-005'!$W44="#D", Z20,"")</f>
        <v>116</v>
      </c>
      <c r="Y44" s="158" t="str">
        <f>IF('2499-005'!$W44="#D", Vendor,"")</f>
        <v>Bartlett Fabrication</v>
      </c>
      <c r="Z44" s="158" t="str">
        <f>IF('2499-005'!$W44="#D", Sheet_PO,"")</f>
        <v>2499-005</v>
      </c>
      <c r="AA44" s="159">
        <f>IF('2499-005'!$W44="#D", Z21,"")</f>
        <v>45846</v>
      </c>
      <c r="AB44" s="158" t="str">
        <f>IF('2499-005'!$W44="#D", Z22,"")</f>
        <v>PC</v>
      </c>
      <c r="AC44" s="160">
        <f>IF('2499-005'!$W44="#D", Z36,"")</f>
        <v>1000</v>
      </c>
      <c r="AD44" s="158" t="str">
        <f>IF('2499-005'!$W44="#D",
      INDEX('Line No'!$B$1:$B$342, MATCH('2499-005'!$X44, 'Line No'!$A$1:$A$342, 0)),
      "")</f>
        <v>Basecamp</v>
      </c>
    </row>
    <row r="45" spans="1:31" ht="16" customHeight="1">
      <c r="C45" s="142"/>
      <c r="D45" s="142"/>
      <c r="E45" s="142"/>
      <c r="F45" s="142"/>
      <c r="G45" s="74"/>
      <c r="H45" s="74"/>
      <c r="I45" s="75"/>
      <c r="W45" s="167" t="str">
        <f>IF(SUM($AA$24:$AA$34), "#E", "")</f>
        <v>#E</v>
      </c>
      <c r="X45" s="155">
        <f>IF('2499-005'!$W45="#E", AA20,"")</f>
        <v>117</v>
      </c>
      <c r="Y45" s="154" t="str">
        <f>IF('2499-005'!$W45="#E", Vendor,"")</f>
        <v>Bartlett Fabrication</v>
      </c>
      <c r="Z45" s="155" t="str">
        <f>IF('2499-005'!$W45="#E", Sheet_PO,"")</f>
        <v>2499-005</v>
      </c>
      <c r="AA45" s="156">
        <f>IF('2499-005'!$W45="#E", AA21,"")</f>
        <v>45846</v>
      </c>
      <c r="AB45" s="155" t="str">
        <f>IF('2499-005'!$W45="#E", AA22,"")</f>
        <v>PC</v>
      </c>
      <c r="AC45" s="157">
        <f>IF('2499-005'!$W45="#E", AA36,"")</f>
        <v>1000</v>
      </c>
      <c r="AD45" s="155" t="str">
        <f>IF('2499-005'!$W45="#E",
      INDEX('Line No'!$B$1:$B$342, MATCH('2499-005'!$X45, 'Line No'!$A$1:$A$342, 0)),
      "")</f>
        <v>Crew Shuttles</v>
      </c>
    </row>
    <row r="46" spans="1:31" ht="16" customHeight="1">
      <c r="W46" s="168" t="str">
        <f>IF(SUM($AB$24:$AB$34), "#F", "")</f>
        <v>#F</v>
      </c>
      <c r="X46" s="158">
        <f>IF('2499-005'!$W46="#F", AB20,"")</f>
        <v>118</v>
      </c>
      <c r="Y46" s="158" t="str">
        <f>IF('2499-005'!$W46="#F", Vendor,"")</f>
        <v>Bartlett Fabrication</v>
      </c>
      <c r="Z46" s="158" t="str">
        <f>IF('2499-005'!$W46="#F", Sheet_PO,"")</f>
        <v>2499-005</v>
      </c>
      <c r="AA46" s="159">
        <f>IF('2499-005'!$W46="#F", AB21,"")</f>
        <v>45846</v>
      </c>
      <c r="AB46" s="158" t="str">
        <f>IF('2499-005'!$W46="#F", AB22,"")</f>
        <v>PC</v>
      </c>
      <c r="AC46" s="160">
        <f>IF('2499-005'!$W46="#F", AB36,"")</f>
        <v>1000</v>
      </c>
      <c r="AD46" s="158" t="str">
        <f>IF('2499-005'!$W46="#F",
      INDEX('Line No'!$B$1:$B$342, MATCH('2499-005'!$X46, 'Line No'!$A$1:$A$342, 0)),
      "")</f>
        <v>Dressing Room Vehicles</v>
      </c>
    </row>
    <row r="47" spans="1:31" ht="16" customHeight="1">
      <c r="W47" s="167" t="str">
        <f>IF(SUM($AC$24:$AC$34), "#G", "")</f>
        <v>#G</v>
      </c>
      <c r="X47" s="155">
        <f>IF('2499-005'!$W47="#G", AC20,"")</f>
        <v>144</v>
      </c>
      <c r="Y47" s="154" t="str">
        <f>IF('2499-005'!$W47="#G", Vendor,"")</f>
        <v>Bartlett Fabrication</v>
      </c>
      <c r="Z47" s="155" t="str">
        <f>IF('2499-005'!$W47="#G", Sheet_PO,"")</f>
        <v>2499-005</v>
      </c>
      <c r="AA47" s="161">
        <f>IF('2499-005'!$W47="#G", AC21,"")</f>
        <v>45847</v>
      </c>
      <c r="AB47" s="162" t="str">
        <f>IF('2499-005'!$W47="#G", AC22,"")</f>
        <v>PC</v>
      </c>
      <c r="AC47" s="157">
        <f>IF('2499-005'!$W47="#G", AC36,"")</f>
        <v>800</v>
      </c>
      <c r="AD47" s="155" t="str">
        <f>IF('2499-005'!$W47="#G",
      INDEX('Line No'!$B$1:$B$342, MATCH('2499-005'!$X47, 'Line No'!$A$1:$A$342, 0)),
      "")</f>
        <v>Wardrobe Rentals</v>
      </c>
    </row>
    <row r="48" spans="1:31" ht="16" customHeight="1">
      <c r="W48" s="168" t="str">
        <f>IF(SUM($AD$24:$AD$34), "#H", "")</f>
        <v/>
      </c>
      <c r="X48" s="158" t="str">
        <f>IF('2499-005'!$W48="#H", AD20,"")</f>
        <v/>
      </c>
      <c r="Y48" s="158" t="str">
        <f>IF('2499-005'!$W48="#H", Vendor,"")</f>
        <v/>
      </c>
      <c r="Z48" s="158" t="str">
        <f>IF('2499-005'!$W48="#H", Sheet_PO,"")</f>
        <v/>
      </c>
      <c r="AA48" s="163" t="str">
        <f>IF('2499-005'!$W48="#H", AE21,"")</f>
        <v/>
      </c>
      <c r="AB48" s="164" t="str">
        <f>IF('2499-005'!$W48="#H", AE22,"")</f>
        <v/>
      </c>
      <c r="AC48" s="160" t="str">
        <f>IF('2499-005'!$W48="#H", AE36,"")</f>
        <v/>
      </c>
      <c r="AD48" s="158" t="str">
        <f>IF('2499-005'!$W48="#H",
      INDEX('Line No'!$B$1:$B$342, MATCH('2499-005'!$X48, 'Line No'!$A$1:$A$342, 0)),
      "")</f>
        <v/>
      </c>
    </row>
    <row r="49" spans="22:30" ht="16" customHeight="1">
      <c r="V49" s="1" cm="1">
        <f t="array" ref="V49">SUMPRODUCT(--(W41:W49&lt;&gt;""))</f>
        <v>7</v>
      </c>
      <c r="W49" s="167" t="str">
        <f>IF(SUM($AE$24:$AE$34), "#OTHER", "")</f>
        <v/>
      </c>
      <c r="X49" s="155" t="str">
        <f>IF('2499-005'!$W49="#I", AE20,"")</f>
        <v/>
      </c>
      <c r="Y49" s="154" t="str">
        <f>IF('2499-005'!$W49="#I", Vendor,"")</f>
        <v/>
      </c>
      <c r="Z49" s="155" t="str">
        <f>IF('2499-005'!$W49="#I", Sheet_PO,"")</f>
        <v/>
      </c>
      <c r="AA49" s="161" t="str">
        <f>IF('2499-005'!$W49="#I", AF21,"")</f>
        <v/>
      </c>
      <c r="AB49" s="162" t="str">
        <f>IF('2499-005'!$W49="#I", AF22,"")</f>
        <v/>
      </c>
      <c r="AC49" s="157" t="str">
        <f>IF('2499-005'!$W49="#I", AF36,"")</f>
        <v/>
      </c>
      <c r="AD49" s="155" t="str">
        <f>IF('2499-005'!$W49="#I",
      INDEX('Line No'!$B$1:$B$342, MATCH('2499-005'!$X49, 'Line No'!$A$1:$A$342, 0)),
      "")</f>
        <v/>
      </c>
    </row>
    <row r="50" spans="22:30" ht="16" customHeight="1">
      <c r="W50" s="174"/>
      <c r="X50" s="174"/>
      <c r="Y50" s="175"/>
      <c r="Z50" s="174"/>
      <c r="AA50" s="174"/>
      <c r="AB50" s="174"/>
      <c r="AC50" s="176"/>
      <c r="AD50" s="174"/>
    </row>
  </sheetData>
  <sheetProtection formatCells="0" formatColumns="0" formatRows="0" insertColumns="0" insertRows="0" deleteRows="0" selectLockedCells="1"/>
  <mergeCells count="42">
    <mergeCell ref="J3:W3"/>
    <mergeCell ref="B4:G4"/>
    <mergeCell ref="C9:D9"/>
    <mergeCell ref="F9:I9"/>
    <mergeCell ref="G1:I1"/>
    <mergeCell ref="B2:C2"/>
    <mergeCell ref="D2:G2"/>
    <mergeCell ref="G3:I3"/>
    <mergeCell ref="C5:D5"/>
    <mergeCell ref="E5:H6"/>
    <mergeCell ref="C6:D6"/>
    <mergeCell ref="B7:C7"/>
    <mergeCell ref="D7:E7"/>
    <mergeCell ref="C10:D10"/>
    <mergeCell ref="F10:I10"/>
    <mergeCell ref="C11:D11"/>
    <mergeCell ref="C12:D12"/>
    <mergeCell ref="C13:D13"/>
    <mergeCell ref="F13:I13"/>
    <mergeCell ref="C14:D14"/>
    <mergeCell ref="F14:I14"/>
    <mergeCell ref="C18:E18"/>
    <mergeCell ref="F18:I18"/>
    <mergeCell ref="C19:E19"/>
    <mergeCell ref="F19:I19"/>
    <mergeCell ref="C32:D32"/>
    <mergeCell ref="AL20:AQ20"/>
    <mergeCell ref="B22:I22"/>
    <mergeCell ref="C23:D23"/>
    <mergeCell ref="C24:D24"/>
    <mergeCell ref="C25:D25"/>
    <mergeCell ref="C26:D26"/>
    <mergeCell ref="C27:D27"/>
    <mergeCell ref="C28:D28"/>
    <mergeCell ref="C29:D29"/>
    <mergeCell ref="C30:D30"/>
    <mergeCell ref="C31:D31"/>
    <mergeCell ref="C33:D33"/>
    <mergeCell ref="C34:D34"/>
    <mergeCell ref="C35:D35"/>
    <mergeCell ref="C38:D38"/>
    <mergeCell ref="W39:AC39"/>
  </mergeCells>
  <conditionalFormatting sqref="AD41:AD49">
    <cfRule type="containsText" dxfId="5" priority="1" operator="containsText" text="zzzz">
      <formula>NOT(ISERROR(SEARCH("zzzz",AD41)))</formula>
    </cfRule>
  </conditionalFormatting>
  <printOptions horizontalCentered="1"/>
  <pageMargins left="0.75" right="0.75" top="0.5" bottom="0.5" header="0.5" footer="0.5"/>
  <pageSetup scale="81" orientation="portrait" r:id="rId1"/>
  <headerFooter alignWithMargins="0"/>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5FC6D4-A48C-2841-B5A2-2CC527E7B557}">
  <sheetPr codeName="Sheet14">
    <pageSetUpPr fitToPage="1"/>
  </sheetPr>
  <dimension ref="A1:AX50"/>
  <sheetViews>
    <sheetView zoomScale="75" zoomScaleNormal="100" workbookViewId="0">
      <selection activeCell="R16" sqref="R16"/>
    </sheetView>
    <sheetView topLeftCell="P20" workbookViewId="1">
      <selection activeCell="AC31" sqref="AC31"/>
    </sheetView>
  </sheetViews>
  <sheetFormatPr baseColWidth="10" defaultColWidth="8.83203125" defaultRowHeight="14"/>
  <cols>
    <col min="1" max="1" width="0.83203125" style="1" customWidth="1"/>
    <col min="2" max="2" width="10.1640625" style="1" customWidth="1"/>
    <col min="3" max="3" width="14.6640625" style="1" customWidth="1"/>
    <col min="4" max="4" width="10.1640625" style="1" customWidth="1"/>
    <col min="5" max="5" width="13.5" style="1" customWidth="1"/>
    <col min="6" max="6" width="11.6640625" style="1" bestFit="1" customWidth="1"/>
    <col min="7" max="7" width="10.1640625" style="1" customWidth="1"/>
    <col min="8" max="8" width="18.83203125" style="1" customWidth="1"/>
    <col min="9" max="9" width="13.33203125" style="1" customWidth="1"/>
    <col min="10" max="11" width="5.83203125" style="1" customWidth="1"/>
    <col min="12" max="12" width="6.33203125" style="1" customWidth="1"/>
    <col min="13" max="13" width="6.1640625" style="1" customWidth="1"/>
    <col min="14" max="14" width="5.6640625" style="1" customWidth="1"/>
    <col min="15" max="15" width="5.33203125" style="1" customWidth="1"/>
    <col min="16" max="16" width="5.6640625" style="1" customWidth="1"/>
    <col min="17" max="18" width="5" style="1" customWidth="1"/>
    <col min="19" max="21" width="5.83203125" style="1" customWidth="1"/>
    <col min="22" max="22" width="6.1640625" style="1" customWidth="1"/>
    <col min="23" max="23" width="13.6640625" style="1" customWidth="1"/>
    <col min="24" max="24" width="8" style="1" customWidth="1"/>
    <col min="25" max="25" width="10.33203125" style="1" customWidth="1"/>
    <col min="26" max="26" width="11.83203125" style="1" customWidth="1"/>
    <col min="27" max="27" width="11" style="1" customWidth="1"/>
    <col min="28" max="29" width="11.83203125" style="1" customWidth="1"/>
    <col min="30" max="30" width="23.33203125" style="1" customWidth="1"/>
    <col min="31" max="31" width="8.83203125" style="1"/>
    <col min="32" max="32" width="3.33203125" style="1" customWidth="1"/>
    <col min="33" max="33" width="5.1640625" style="1" customWidth="1"/>
    <col min="34" max="37" width="8.83203125" style="1"/>
    <col min="38" max="38" width="8.83203125" style="1" customWidth="1"/>
    <col min="39" max="16384" width="8.83203125" style="1"/>
  </cols>
  <sheetData>
    <row r="1" spans="1:47" ht="45" customHeight="1">
      <c r="A1" s="41"/>
      <c r="B1" s="143" t="s">
        <v>258</v>
      </c>
      <c r="C1" s="143"/>
      <c r="D1" s="143"/>
      <c r="E1" s="143"/>
      <c r="G1" s="234"/>
      <c r="H1" s="234"/>
      <c r="I1" s="235"/>
      <c r="J1" s="185"/>
      <c r="K1" s="185"/>
      <c r="L1" s="185"/>
      <c r="M1" s="185"/>
      <c r="N1" s="185"/>
      <c r="O1" s="185"/>
      <c r="P1" s="185"/>
      <c r="Q1" s="185"/>
      <c r="R1" s="185"/>
      <c r="S1" s="185"/>
      <c r="T1" s="185"/>
      <c r="U1" s="185"/>
      <c r="V1" s="185"/>
      <c r="W1" s="185"/>
      <c r="X1" s="185"/>
      <c r="Y1" s="185"/>
      <c r="Z1" s="185"/>
      <c r="AA1" s="185"/>
      <c r="AB1" s="185"/>
      <c r="AC1" s="185"/>
      <c r="AD1" s="185"/>
      <c r="AE1" s="185"/>
      <c r="AF1" s="185"/>
      <c r="AG1" s="185"/>
      <c r="AH1" s="185"/>
      <c r="AI1" s="186" t="s">
        <v>321</v>
      </c>
      <c r="AJ1" s="185"/>
      <c r="AK1" s="185"/>
      <c r="AL1" s="185"/>
      <c r="AM1" s="185"/>
      <c r="AN1" s="185"/>
      <c r="AO1" s="185"/>
      <c r="AP1" s="185"/>
      <c r="AQ1" s="185"/>
      <c r="AR1" s="185"/>
      <c r="AS1" s="185"/>
      <c r="AT1" s="185"/>
      <c r="AU1" s="185"/>
    </row>
    <row r="2" spans="1:47" ht="12.75" customHeight="1">
      <c r="A2" s="42"/>
      <c r="B2" s="236"/>
      <c r="C2" s="237"/>
      <c r="D2" s="238"/>
      <c r="E2" s="238"/>
      <c r="F2" s="238"/>
      <c r="G2" s="238"/>
      <c r="I2" s="76"/>
      <c r="J2" s="185"/>
      <c r="K2" s="185"/>
      <c r="L2" s="185"/>
      <c r="M2" s="185"/>
      <c r="N2" s="185"/>
      <c r="O2" s="185"/>
      <c r="P2" s="185"/>
      <c r="Q2" s="185"/>
      <c r="R2" s="185"/>
      <c r="S2" s="185"/>
      <c r="T2" s="185"/>
      <c r="U2" s="185"/>
      <c r="V2" s="185"/>
      <c r="W2" s="185"/>
      <c r="X2" s="185"/>
      <c r="Y2" s="185"/>
      <c r="Z2" s="185"/>
      <c r="AA2" s="185"/>
      <c r="AB2" s="185"/>
      <c r="AC2" s="185"/>
      <c r="AD2" s="186" t="s">
        <v>323</v>
      </c>
      <c r="AE2" s="185"/>
      <c r="AF2" s="185"/>
      <c r="AG2" s="185"/>
      <c r="AH2" s="185"/>
      <c r="AI2" s="185" t="s">
        <v>322</v>
      </c>
      <c r="AJ2" s="185"/>
      <c r="AK2" s="185"/>
      <c r="AL2" s="185"/>
      <c r="AM2" s="185"/>
      <c r="AN2" s="185"/>
      <c r="AO2" s="185"/>
      <c r="AP2" s="185"/>
      <c r="AQ2" s="185"/>
      <c r="AR2" s="185"/>
      <c r="AS2" s="185"/>
      <c r="AT2" s="185"/>
      <c r="AU2" s="185"/>
    </row>
    <row r="3" spans="1:47" ht="22">
      <c r="A3" s="42"/>
      <c r="B3" s="77" t="s">
        <v>14</v>
      </c>
      <c r="C3" s="43"/>
      <c r="D3" s="44"/>
      <c r="E3" s="44"/>
      <c r="F3" s="45" t="s">
        <v>13</v>
      </c>
      <c r="G3" s="239" t="s">
        <v>346</v>
      </c>
      <c r="H3" s="239"/>
      <c r="I3" s="240"/>
      <c r="J3" s="232"/>
      <c r="K3" s="233"/>
      <c r="L3" s="233"/>
      <c r="M3" s="233"/>
      <c r="N3" s="233"/>
      <c r="O3" s="233"/>
      <c r="P3" s="233"/>
      <c r="Q3" s="233"/>
      <c r="R3" s="233"/>
      <c r="S3" s="233"/>
      <c r="T3" s="233"/>
      <c r="U3" s="233"/>
      <c r="V3" s="233"/>
      <c r="W3" s="233"/>
      <c r="X3" s="115" t="s">
        <v>308</v>
      </c>
      <c r="Y3" s="117" t="s">
        <v>309</v>
      </c>
      <c r="Z3" s="117" t="s">
        <v>310</v>
      </c>
      <c r="AA3" s="117" t="s">
        <v>311</v>
      </c>
      <c r="AD3" s="115" t="s">
        <v>319</v>
      </c>
      <c r="AM3" s="1" t="s">
        <v>324</v>
      </c>
      <c r="AR3" s="185"/>
      <c r="AS3" s="185"/>
      <c r="AT3" s="185"/>
      <c r="AU3" s="185"/>
    </row>
    <row r="4" spans="1:47" s="3" customFormat="1" ht="29" customHeight="1">
      <c r="A4" s="46"/>
      <c r="B4" s="241"/>
      <c r="C4" s="242"/>
      <c r="D4" s="242"/>
      <c r="E4" s="242"/>
      <c r="F4" s="242"/>
      <c r="G4" s="242"/>
      <c r="H4" s="47"/>
      <c r="I4" s="78"/>
      <c r="J4" s="187"/>
      <c r="K4" s="187"/>
      <c r="L4" s="187"/>
      <c r="M4" s="187"/>
      <c r="N4" s="187"/>
      <c r="O4" s="187"/>
      <c r="P4" s="187"/>
      <c r="Q4" s="187"/>
      <c r="R4" s="187"/>
      <c r="S4" s="187"/>
      <c r="T4" s="187"/>
      <c r="U4" s="187"/>
      <c r="V4" s="187"/>
      <c r="W4" s="187"/>
      <c r="X4" s="4" cm="1">
        <f t="array" ref="X4:X9">IFERROR(
INDEX(
_xlfn._xlws.FILTER(
_xlfn.UNIQUE(
LineEntryOLD2,
),_xlfn.UNIQUE(
LineEntryOLD2,
)&lt;&gt;0
),_xlfn.SEQUENCE(6,1)
),"")</f>
        <v>204</v>
      </c>
      <c r="Y4" s="4" cm="1">
        <f t="array" ref="Y4">SUMPRODUCT(--(TRIM(X4:X12)&lt;&gt;""))</f>
        <v>6</v>
      </c>
      <c r="Z4" s="4" t="str" cm="1">
        <f t="array" ref="Z4:Z6">_xlfn._xlws.SORT(INDEX(AF7:AF16, 1):INDEX(AF7:AF9, AG7), 1, TRUE)</f>
        <v>CASH</v>
      </c>
      <c r="AA4" s="4" t="str" cm="1">
        <f t="array" ref="AA4">IF(Z4="","",IFERROR(INDEX(Description, MATCH(Z4, LINEOld, 0)), "Not Found"))</f>
        <v>Not Found</v>
      </c>
      <c r="AD4" s="120" cm="1">
        <f t="array" ref="AD4:AF9">IFERROR(
    INDEX(
        _xlfn._xlws.FILTER(
            _xlfn.UNIQUE(_xlfn.HSTACK(LineEntryOLD2, DateEntryOld, PayIDEntryOld2)),
            _xlfn.BYROW(_xlfn.UNIQUE(_xlfn.HSTACK(LineEntryOLD2, DateEntryOld, PayIDEntryOld2)), _xlfn.LAMBDA(_xlpm.row, SUM(_xlpm.row)&lt;&gt;0))
        ),
        _xlfn.SEQUENCE(6,1),
        {1,2,3}
    ),
    ""
)</f>
        <v>204</v>
      </c>
      <c r="AE4" s="126">
        <v>45849</v>
      </c>
      <c r="AF4" s="120" t="str">
        <v>CC 2456</v>
      </c>
      <c r="AM4" s="148" t="s">
        <v>335</v>
      </c>
      <c r="AO4" s="3" t="str" cm="1">
        <f t="array" ref="AO4">IFERROR(
    _xlfn.WRAPCOLS(
        INDEX(
            _xlfn._xlws.FILTER(
                _xlfn.UNIQUE(_xlfn.HSTACK(LineEntryOLD2, DateEntryOld, PayIDEntryOld2)),
                _xlfn.BYROW(_xlfn.UNIQUE(_xlfn.HSTACK(LineEntryOLD2, DateEntryOld, PayIDEntryOld2)), _xlfn.LAMBDA(_xlpm.row, SUM(_xlpm.row)&lt;&gt;0))
            ),
            _xlfn.SEQUENCE(6,1),
            {1,2,3}
        ),
        3
    ),
    ""
)</f>
        <v/>
      </c>
      <c r="AQ4" s="3" t="e" cm="1" vm="1">
        <f t="array" aca="1" ref="AQ4" ca="1">IFERROR(
    _xlfn.WRAPCOLS(
        _xlfn.TOCOL(
            INDEX(
                _xlfn._xlws.FILTER(
                    _xlfn.UNIQUE(_xlfn.HSTACK(LineEntryOLD2, DateEntryOld, PayIDEntryOld2)),
                    _xlfn.BYROW(_xlfn.UNIQUE(_xlfn.HSTACK(LineEntryOLD2, DateEntryOld, PayIDEntryOld2)), _xlfn.LAMBDA(_xlpm.row, SUM(_xlpm.row)&lt;&gt;0))
                ),
                _xlfn.SEQUENCE(6,1),
                {1,2,3}
            )
        ),
        3
    ),
    ""
)</f>
        <v>#VALUE!</v>
      </c>
      <c r="AR4" s="187">
        <v>205</v>
      </c>
      <c r="AS4" s="187">
        <v>112</v>
      </c>
      <c r="AT4" s="187">
        <v>1</v>
      </c>
      <c r="AU4" s="187"/>
    </row>
    <row r="5" spans="1:47" s="4" customFormat="1" ht="16" customHeight="1">
      <c r="A5" s="48"/>
      <c r="B5" s="79" t="s">
        <v>259</v>
      </c>
      <c r="C5" s="247"/>
      <c r="D5" s="248"/>
      <c r="E5" s="243"/>
      <c r="F5" s="243"/>
      <c r="G5" s="243"/>
      <c r="H5" s="243"/>
      <c r="I5" s="80"/>
      <c r="J5" s="188"/>
      <c r="K5" s="188"/>
      <c r="L5" s="188"/>
      <c r="M5" s="188"/>
      <c r="N5" s="188"/>
      <c r="O5" s="188"/>
      <c r="P5" s="188"/>
      <c r="Q5" s="188"/>
      <c r="R5" s="188"/>
      <c r="S5" s="188"/>
      <c r="T5" s="188"/>
      <c r="U5" s="188"/>
      <c r="V5" s="188"/>
      <c r="W5" s="188"/>
      <c r="X5" s="4">
        <v>205</v>
      </c>
      <c r="Z5" s="4" t="str">
        <v>CC 2456</v>
      </c>
      <c r="AA5" s="4" t="str" cm="1">
        <f t="array" ref="AA5">IF(Z5="","",IFERROR(INDEX(Description, MATCH(Z5, LINEOld, 0)), "Not Found"))</f>
        <v>Not Found</v>
      </c>
      <c r="AD5" s="121">
        <v>205</v>
      </c>
      <c r="AE5" s="127">
        <v>45849</v>
      </c>
      <c r="AF5" s="121" t="str">
        <v>CC 2456</v>
      </c>
      <c r="AH5" t="e" cm="1">
        <f t="array" ref="AH5">_xlfn._xlws.FILTER(_xlfn.UNIQUE(_xlfn.HSTACK(LineEntryOLD2, DateEntryOld, PayIDEntryOld2)), _xlfn.UNIQUE(_xlfn.HSTACK(LineEntryOLD2, DateEntryOld, PayIDEntryOld2))&lt;&gt;0)</f>
        <v>#VALUE!</v>
      </c>
      <c r="AR5" s="188">
        <v>45849</v>
      </c>
      <c r="AS5" s="188">
        <v>45848</v>
      </c>
      <c r="AT5" s="188">
        <v>45849</v>
      </c>
      <c r="AU5" s="188"/>
    </row>
    <row r="6" spans="1:47" s="4" customFormat="1" ht="16">
      <c r="A6" s="48"/>
      <c r="B6" s="81"/>
      <c r="C6" s="249"/>
      <c r="D6" s="250"/>
      <c r="E6" s="243"/>
      <c r="F6" s="243"/>
      <c r="G6" s="243"/>
      <c r="H6" s="243"/>
      <c r="I6" s="82"/>
      <c r="J6" s="188"/>
      <c r="K6" s="188"/>
      <c r="L6" s="188"/>
      <c r="M6" s="188"/>
      <c r="N6" s="188"/>
      <c r="O6" s="188"/>
      <c r="P6" s="188"/>
      <c r="Q6" s="188"/>
      <c r="R6" s="188"/>
      <c r="S6" s="188"/>
      <c r="T6" s="188"/>
      <c r="U6" s="188"/>
      <c r="V6" s="188"/>
      <c r="W6" s="188"/>
      <c r="X6" s="4">
        <v>112</v>
      </c>
      <c r="Z6" s="4" t="str">
        <v>CC 2456</v>
      </c>
      <c r="AA6" s="4" t="str" cm="1">
        <f t="array" ref="AA6">IF(Z6="","",IFERROR(INDEX(Description, MATCH(Z6, LINEOld, 0)), "Not Found"))</f>
        <v>Not Found</v>
      </c>
      <c r="AD6" s="121">
        <v>112</v>
      </c>
      <c r="AE6" s="127">
        <v>45848</v>
      </c>
      <c r="AF6" s="121" t="str">
        <v>CHK 101</v>
      </c>
      <c r="AR6" s="188" t="s">
        <v>313</v>
      </c>
      <c r="AS6" s="188" t="s">
        <v>327</v>
      </c>
      <c r="AT6" s="188" t="s">
        <v>5</v>
      </c>
      <c r="AU6" s="188"/>
    </row>
    <row r="7" spans="1:47" s="4" customFormat="1" ht="16">
      <c r="A7" s="48"/>
      <c r="B7" s="244"/>
      <c r="C7" s="245"/>
      <c r="D7" s="246"/>
      <c r="E7" s="246"/>
      <c r="F7" s="51"/>
      <c r="G7" s="51"/>
      <c r="H7" s="51"/>
      <c r="I7" s="84"/>
      <c r="J7" s="188"/>
      <c r="K7" s="188"/>
      <c r="L7" s="188"/>
      <c r="M7" s="188"/>
      <c r="N7" s="188"/>
      <c r="O7" s="188"/>
      <c r="P7" s="188"/>
      <c r="Q7" s="188"/>
      <c r="R7" s="188"/>
      <c r="S7" s="188"/>
      <c r="T7" s="188"/>
      <c r="U7" s="188"/>
      <c r="V7" s="188"/>
      <c r="W7" s="188"/>
      <c r="X7" s="4">
        <v>1</v>
      </c>
      <c r="AA7" s="4" t="str" cm="1">
        <f t="array" ref="AA7">IF(Z7="","",IFERROR(INDEX(Description, MATCH(Z7, LINEOld, 0)), "Not Found"))</f>
        <v/>
      </c>
      <c r="AD7" s="121">
        <v>1</v>
      </c>
      <c r="AE7" s="127">
        <v>45849</v>
      </c>
      <c r="AF7" s="121" t="str">
        <v>CASH</v>
      </c>
      <c r="AR7" s="188"/>
      <c r="AS7" s="188"/>
      <c r="AT7" s="188"/>
      <c r="AU7" s="188"/>
    </row>
    <row r="8" spans="1:47" s="4" customFormat="1" ht="16">
      <c r="A8" s="48"/>
      <c r="B8" s="83"/>
      <c r="C8" s="49"/>
      <c r="D8" s="50"/>
      <c r="E8" s="50"/>
      <c r="F8" s="51"/>
      <c r="G8" s="51"/>
      <c r="H8" s="51"/>
      <c r="I8" s="84"/>
      <c r="J8" s="188"/>
      <c r="K8" s="188"/>
      <c r="L8" s="188"/>
      <c r="M8" s="188"/>
      <c r="N8" s="188"/>
      <c r="O8" s="188"/>
      <c r="P8" s="188"/>
      <c r="Q8" s="188"/>
      <c r="R8" s="188"/>
      <c r="S8" s="188"/>
      <c r="T8" s="188"/>
      <c r="U8" s="188"/>
      <c r="V8" s="188"/>
      <c r="W8" s="188"/>
      <c r="X8" s="4">
        <v>5</v>
      </c>
      <c r="AA8" s="4" t="str" cm="1">
        <f t="array" ref="AA8">IF(Z8="","",IFERROR(INDEX(Description, MATCH(Z8, LINEOld, 0)), "Not Found"))</f>
        <v/>
      </c>
      <c r="AD8" s="121">
        <v>5</v>
      </c>
      <c r="AE8" s="127">
        <v>45849</v>
      </c>
      <c r="AF8" s="121" t="str">
        <v>CC 2456</v>
      </c>
      <c r="AR8" s="188"/>
      <c r="AS8" s="188"/>
      <c r="AT8" s="188"/>
      <c r="AU8" s="188"/>
    </row>
    <row r="9" spans="1:47" s="4" customFormat="1" ht="16">
      <c r="A9" s="48"/>
      <c r="B9" s="85" t="s">
        <v>12</v>
      </c>
      <c r="C9" s="251" t="str">
        <f>IFERROR(
    IF(ISNUMBER(MATCH(Sheet_PO,#REF!, 0)),
       IF(INDEX(#REF!, MATCH(Sheet_PO,#REF!, 0)) = "", "",
          INDEX(#REF!, MATCH(Sheet_PO,#REF!, 0))),
       ""),
    "No match found")</f>
        <v/>
      </c>
      <c r="D9" s="251"/>
      <c r="E9" s="52" t="s">
        <v>11</v>
      </c>
      <c r="F9" s="252" t="str">
        <f>IF(TRIM(Job_Number)="", "", Job_Number)</f>
        <v/>
      </c>
      <c r="G9" s="252"/>
      <c r="H9" s="252"/>
      <c r="I9" s="253"/>
      <c r="J9" s="188"/>
      <c r="K9" s="188"/>
      <c r="L9" s="188"/>
      <c r="M9" s="188"/>
      <c r="N9" s="188"/>
      <c r="O9" s="188"/>
      <c r="P9" s="188"/>
      <c r="Q9" s="188"/>
      <c r="R9" s="188"/>
      <c r="S9" s="188"/>
      <c r="T9" s="188"/>
      <c r="U9" s="188"/>
      <c r="V9" s="188"/>
      <c r="W9" s="188"/>
      <c r="X9" s="4">
        <v>6</v>
      </c>
      <c r="AA9" s="4" t="str" cm="1">
        <f t="array" ref="AA9">IF(Z9="","",IFERROR(INDEX(Description, MATCH(Z9, LINEOld, 0)), "Not Found"))</f>
        <v/>
      </c>
      <c r="AD9" s="121">
        <v>6</v>
      </c>
      <c r="AE9" s="127">
        <v>45849</v>
      </c>
      <c r="AF9" s="121" t="str">
        <v>CC 2456</v>
      </c>
      <c r="AH9" s="4" t="b" cm="1">
        <f t="array" ref="AH9:AJ15">_xlfn.UNIQUE(_xlfn.HSTACK(LineEntryOLD2,DateEntryOld,PayIDEntryOld2))&lt;&gt;0</f>
        <v>1</v>
      </c>
      <c r="AI9" s="4" t="b">
        <v>1</v>
      </c>
      <c r="AJ9" s="4" t="b">
        <v>1</v>
      </c>
      <c r="AR9" s="188"/>
      <c r="AS9" s="188"/>
      <c r="AT9" s="188"/>
      <c r="AU9" s="188"/>
    </row>
    <row r="10" spans="1:47" s="4" customFormat="1" ht="14" customHeight="1">
      <c r="A10" s="48"/>
      <c r="B10" s="85" t="s">
        <v>10</v>
      </c>
      <c r="C10" s="223" t="s">
        <v>332</v>
      </c>
      <c r="D10" s="223"/>
      <c r="E10" s="52" t="s">
        <v>9</v>
      </c>
      <c r="F10" s="224" t="str">
        <f>IF(TRIM(Job_Name)="", "", Job_Name)</f>
        <v/>
      </c>
      <c r="G10" s="224"/>
      <c r="H10" s="224"/>
      <c r="I10" s="225"/>
      <c r="J10" s="188"/>
      <c r="K10" s="188"/>
      <c r="L10" s="188"/>
      <c r="M10" s="188"/>
      <c r="N10" s="188"/>
      <c r="O10" s="188"/>
      <c r="P10" s="188"/>
      <c r="Q10" s="188"/>
      <c r="R10" s="188"/>
      <c r="S10" s="188"/>
      <c r="T10" s="188"/>
      <c r="U10" s="188"/>
      <c r="V10" s="188"/>
      <c r="W10" s="187"/>
      <c r="AA10" s="4" t="str" cm="1">
        <f t="array" ref="AA10">IF(Z10="","",IFERROR(INDEX(Description, MATCH(Z10, LINEOld, 0)), "Not Found"))</f>
        <v/>
      </c>
      <c r="AH10" s="4" t="b">
        <v>1</v>
      </c>
      <c r="AI10" s="4" t="b">
        <v>1</v>
      </c>
      <c r="AJ10" s="4" t="b">
        <v>1</v>
      </c>
      <c r="AR10" s="188"/>
      <c r="AS10" s="188"/>
      <c r="AT10" s="188"/>
      <c r="AU10" s="188"/>
    </row>
    <row r="11" spans="1:47" s="4" customFormat="1" ht="17">
      <c r="A11" s="48"/>
      <c r="B11" s="86"/>
      <c r="C11" s="223"/>
      <c r="D11" s="223"/>
      <c r="E11" s="53"/>
      <c r="I11" s="87"/>
      <c r="J11" s="188"/>
      <c r="K11" s="188"/>
      <c r="L11" s="188"/>
      <c r="M11" s="188"/>
      <c r="N11" s="188"/>
      <c r="O11" s="188"/>
      <c r="P11" s="188"/>
      <c r="Q11" s="188"/>
      <c r="R11" s="188"/>
      <c r="S11" s="188"/>
      <c r="T11" s="188"/>
      <c r="U11" s="188"/>
      <c r="V11" s="188"/>
      <c r="W11" s="188"/>
      <c r="AA11" s="4" t="str" cm="1">
        <f t="array" ref="AA11">IF(Z11="","",IFERROR(INDEX(Description, MATCH(Z11, LINEOld, 0)), "Not Found"))</f>
        <v/>
      </c>
      <c r="AD11" s="119" t="e" cm="1" vm="2">
        <f t="array" aca="1" ref="AD11" ca="1">_xlfn.UNIQUE(_xlfn.HSTACK(LineEntryOLD2, DateEntryOld, PayIDEntryOld2))&lt;&gt;0</f>
        <v>#VALUE!</v>
      </c>
      <c r="AH11" s="4" t="b">
        <v>1</v>
      </c>
      <c r="AI11" s="4" t="b">
        <v>1</v>
      </c>
      <c r="AJ11" s="4" t="b">
        <v>1</v>
      </c>
      <c r="AR11" s="188"/>
      <c r="AS11" s="188"/>
      <c r="AT11" s="188"/>
      <c r="AU11" s="188"/>
    </row>
    <row r="12" spans="1:47" s="4" customFormat="1" ht="22" customHeight="1">
      <c r="A12" s="48"/>
      <c r="B12" s="85" t="s">
        <v>8</v>
      </c>
      <c r="C12" s="223"/>
      <c r="D12" s="223"/>
      <c r="E12" s="52" t="s">
        <v>7</v>
      </c>
      <c r="F12" s="7"/>
      <c r="G12" s="7"/>
      <c r="H12" s="7"/>
      <c r="I12" s="88"/>
      <c r="J12" s="188"/>
      <c r="K12" s="188"/>
      <c r="L12" s="188"/>
      <c r="M12" s="188"/>
      <c r="N12" s="188"/>
      <c r="O12" s="188"/>
      <c r="P12" s="188"/>
      <c r="Q12" s="188"/>
      <c r="R12" s="188"/>
      <c r="S12" s="188"/>
      <c r="T12" s="188"/>
      <c r="U12" s="188"/>
      <c r="V12" s="188"/>
      <c r="W12" s="188"/>
      <c r="AA12" s="4" t="str" cm="1">
        <f t="array" ref="AA12">IF(Z12="","",IFERROR(INDEX(Description, MATCH(Z12, LINEOld, 0)), "Not Found"))</f>
        <v/>
      </c>
      <c r="AH12" s="4" t="b">
        <v>1</v>
      </c>
      <c r="AI12" s="4" t="b">
        <v>1</v>
      </c>
      <c r="AJ12" s="4" t="b">
        <v>1</v>
      </c>
      <c r="AR12" s="188"/>
      <c r="AS12" s="188"/>
      <c r="AT12" s="188"/>
      <c r="AU12" s="188"/>
    </row>
    <row r="13" spans="1:47" s="4" customFormat="1" ht="16">
      <c r="A13" s="48"/>
      <c r="B13" s="89"/>
      <c r="C13" s="223"/>
      <c r="D13" s="223"/>
      <c r="F13" s="218"/>
      <c r="G13" s="219"/>
      <c r="H13" s="219"/>
      <c r="I13" s="220"/>
      <c r="J13" s="188"/>
      <c r="K13" s="188"/>
      <c r="L13" s="188"/>
      <c r="M13" s="188"/>
      <c r="N13" s="188"/>
      <c r="O13" s="188"/>
      <c r="P13" s="188"/>
      <c r="Q13" s="188"/>
      <c r="R13" s="188"/>
      <c r="S13" s="188"/>
      <c r="T13" s="188"/>
      <c r="U13" s="188"/>
      <c r="V13" s="188"/>
      <c r="W13" s="188"/>
      <c r="AA13" s="4" t="str" cm="1">
        <f t="array" ref="AA13">IF(Z13="","",IFERROR(INDEX(Description, MATCH(Z13, LINEOld, 0)), "Not Found"))</f>
        <v/>
      </c>
      <c r="AH13" s="4" t="b">
        <v>1</v>
      </c>
      <c r="AI13" s="4" t="b">
        <v>1</v>
      </c>
      <c r="AJ13" s="4" t="b">
        <v>1</v>
      </c>
      <c r="AR13" s="188"/>
      <c r="AS13" s="188"/>
      <c r="AT13" s="188"/>
      <c r="AU13" s="188"/>
    </row>
    <row r="14" spans="1:47" s="4" customFormat="1" ht="16">
      <c r="A14" s="48"/>
      <c r="B14" s="89"/>
      <c r="C14" s="226"/>
      <c r="D14" s="226"/>
      <c r="E14" s="52" t="s">
        <v>265</v>
      </c>
      <c r="F14" s="218"/>
      <c r="G14" s="219"/>
      <c r="H14" s="219"/>
      <c r="I14" s="220"/>
      <c r="J14" s="188"/>
      <c r="K14" s="188"/>
      <c r="L14" s="188"/>
      <c r="M14" s="188"/>
      <c r="N14" s="188"/>
      <c r="O14" s="188"/>
      <c r="P14" s="188"/>
      <c r="Q14" s="188"/>
      <c r="R14" s="188"/>
      <c r="S14" s="188"/>
      <c r="T14" s="188"/>
      <c r="U14" s="188"/>
      <c r="V14" s="188"/>
      <c r="W14" s="188"/>
      <c r="X14" s="188"/>
      <c r="Y14" s="188"/>
      <c r="Z14" s="188"/>
      <c r="AA14" s="188"/>
      <c r="AB14" s="188"/>
      <c r="AC14" s="188"/>
      <c r="AD14" s="188" t="b">
        <v>1</v>
      </c>
      <c r="AE14" s="188" t="b">
        <v>1</v>
      </c>
      <c r="AF14" s="188" t="b">
        <v>1</v>
      </c>
      <c r="AG14" s="188"/>
      <c r="AH14" s="188" t="b">
        <v>1</v>
      </c>
      <c r="AI14" s="188" t="b">
        <v>1</v>
      </c>
      <c r="AJ14" s="188" t="b">
        <v>1</v>
      </c>
      <c r="AK14" s="188"/>
      <c r="AL14" s="188"/>
      <c r="AM14" s="188"/>
      <c r="AN14" s="188"/>
      <c r="AO14" s="188"/>
      <c r="AP14" s="188"/>
      <c r="AQ14" s="188"/>
      <c r="AR14" s="188"/>
      <c r="AS14" s="188"/>
      <c r="AT14" s="188"/>
      <c r="AU14" s="188"/>
    </row>
    <row r="15" spans="1:47" s="4" customFormat="1" ht="16">
      <c r="A15" s="48"/>
      <c r="B15" s="90"/>
      <c r="C15" s="54"/>
      <c r="D15" s="54"/>
      <c r="I15" s="87"/>
      <c r="J15" s="188"/>
      <c r="K15" s="188"/>
      <c r="L15" s="188"/>
      <c r="M15" s="188"/>
      <c r="N15" s="188"/>
      <c r="O15" s="188"/>
      <c r="P15" s="188"/>
      <c r="Q15" s="188"/>
      <c r="R15" s="188"/>
      <c r="S15" s="188"/>
      <c r="T15" s="188"/>
      <c r="U15" s="188"/>
      <c r="V15" s="188"/>
      <c r="W15" s="188"/>
      <c r="X15" s="188"/>
      <c r="Y15" s="188"/>
      <c r="Z15" s="188"/>
      <c r="AA15" s="188"/>
      <c r="AB15" s="188"/>
      <c r="AC15" s="188"/>
      <c r="AD15" s="188" t="b">
        <v>0</v>
      </c>
      <c r="AE15" s="188" t="b">
        <v>0</v>
      </c>
      <c r="AF15" s="188" t="b">
        <v>0</v>
      </c>
      <c r="AG15" s="188"/>
      <c r="AH15" s="188" t="b">
        <v>0</v>
      </c>
      <c r="AI15" s="188" t="b">
        <v>0</v>
      </c>
      <c r="AJ15" s="188" t="b">
        <v>0</v>
      </c>
      <c r="AK15" s="188"/>
      <c r="AL15" s="188"/>
      <c r="AM15" s="188"/>
      <c r="AN15" s="188"/>
      <c r="AO15" s="188"/>
      <c r="AP15" s="188"/>
      <c r="AQ15" s="188"/>
      <c r="AR15" s="188"/>
      <c r="AS15" s="188"/>
      <c r="AT15" s="188"/>
      <c r="AU15" s="188"/>
    </row>
    <row r="16" spans="1:47" s="3" customFormat="1" ht="23" customHeight="1">
      <c r="A16" s="46"/>
      <c r="B16" s="91" t="s">
        <v>6</v>
      </c>
      <c r="C16" s="55"/>
      <c r="D16" s="55"/>
      <c r="E16" s="55"/>
      <c r="F16" s="55"/>
      <c r="G16" s="70"/>
      <c r="H16" s="40"/>
      <c r="I16" s="92"/>
      <c r="J16" s="187"/>
      <c r="K16" s="187"/>
      <c r="L16" s="187"/>
      <c r="M16" s="187"/>
      <c r="N16" s="187"/>
      <c r="O16" s="187"/>
      <c r="P16" s="187"/>
      <c r="Q16" s="187"/>
      <c r="R16" s="187"/>
      <c r="S16" s="187"/>
      <c r="T16" s="187"/>
      <c r="U16" s="187"/>
      <c r="V16" s="187"/>
      <c r="W16" s="187"/>
      <c r="X16" s="187"/>
      <c r="Y16" s="187"/>
      <c r="Z16" s="187"/>
      <c r="AA16" s="187"/>
      <c r="AB16" s="187"/>
      <c r="AC16" s="187"/>
      <c r="AD16" s="187"/>
      <c r="AE16" s="187"/>
      <c r="AF16" s="187"/>
      <c r="AG16" s="187"/>
      <c r="AH16" s="187"/>
      <c r="AI16" s="187"/>
      <c r="AJ16" s="187"/>
      <c r="AK16" s="187"/>
      <c r="AL16" s="187"/>
      <c r="AM16" s="187"/>
      <c r="AN16" s="187"/>
      <c r="AO16" s="187"/>
      <c r="AP16" s="187"/>
      <c r="AQ16" s="187"/>
      <c r="AR16" s="187"/>
      <c r="AS16" s="187"/>
      <c r="AT16" s="187"/>
      <c r="AU16" s="187"/>
    </row>
    <row r="17" spans="1:50" s="3" customFormat="1" ht="23" customHeight="1">
      <c r="A17" s="46"/>
      <c r="B17" s="91"/>
      <c r="C17" s="71"/>
      <c r="D17" s="71"/>
      <c r="E17" s="71"/>
      <c r="F17" s="71"/>
      <c r="G17" s="72"/>
      <c r="H17" s="40"/>
      <c r="I17" s="92"/>
      <c r="J17" s="187"/>
      <c r="K17" s="187"/>
      <c r="L17" s="187"/>
      <c r="M17" s="187"/>
      <c r="N17" s="187"/>
      <c r="O17" s="187"/>
      <c r="P17" s="187"/>
      <c r="Q17" s="187"/>
      <c r="R17" s="187"/>
      <c r="S17" s="187"/>
      <c r="T17" s="187"/>
      <c r="U17" s="187"/>
      <c r="V17" s="187"/>
      <c r="W17" s="187"/>
      <c r="X17" s="187"/>
      <c r="Y17" s="187"/>
      <c r="Z17" s="187"/>
      <c r="AA17" s="187"/>
      <c r="AB17" s="187"/>
      <c r="AC17" s="187"/>
      <c r="AD17" s="187"/>
      <c r="AE17" s="189"/>
      <c r="AF17" s="189"/>
      <c r="AG17" s="189"/>
      <c r="AH17" s="189"/>
      <c r="AI17" s="189"/>
      <c r="AJ17" s="187"/>
      <c r="AK17" s="187"/>
      <c r="AS17" s="187"/>
      <c r="AT17" s="187"/>
      <c r="AU17" s="187"/>
    </row>
    <row r="18" spans="1:50" s="3" customFormat="1" ht="23" customHeight="1">
      <c r="A18" s="46"/>
      <c r="B18" s="91"/>
      <c r="C18" s="221"/>
      <c r="D18" s="221"/>
      <c r="E18" s="221"/>
      <c r="F18" s="221"/>
      <c r="G18" s="221"/>
      <c r="H18" s="221"/>
      <c r="I18" s="222"/>
      <c r="AL18" s="119" t="s">
        <v>320</v>
      </c>
    </row>
    <row r="19" spans="1:50" s="3" customFormat="1" ht="13" customHeight="1" thickBot="1">
      <c r="A19" s="46"/>
      <c r="B19" s="91"/>
      <c r="C19" s="221"/>
      <c r="D19" s="221"/>
      <c r="E19" s="221"/>
      <c r="F19" s="221"/>
      <c r="G19" s="221"/>
      <c r="H19" s="221"/>
      <c r="I19" s="222"/>
      <c r="AE19" s="4"/>
      <c r="AF19" s="4"/>
      <c r="AG19" s="4"/>
      <c r="AH19" s="4"/>
      <c r="AI19" s="4"/>
      <c r="AJ19" s="4"/>
      <c r="AK19" s="4"/>
    </row>
    <row r="20" spans="1:50" s="3" customFormat="1" ht="34" customHeight="1">
      <c r="A20" s="46"/>
      <c r="B20" s="91"/>
      <c r="C20" s="56"/>
      <c r="D20" s="56"/>
      <c r="E20" s="56"/>
      <c r="F20" s="56"/>
      <c r="G20" s="56"/>
      <c r="H20" s="56"/>
      <c r="I20" s="93"/>
      <c r="K20" s="137" t="s">
        <v>328</v>
      </c>
      <c r="L20" s="191" cm="1">
        <f t="array" ref="L20:S22">IFERROR(
    _xlfn.WRAPCOLS(
        _xlfn.TOCOL(
            INDEX(
                _xlfn._xlws.FILTER(
                    _xlfn.UNIQUE(_xlfn.HSTACK(LineEntry, DateEntry, PayIDEntry)),
                    _xlfn.BYROW(_xlfn.UNIQUE(_xlfn.HSTACK(LineEntry, DateEntry, PayIDEntry)), _xlfn.LAMBDA(_xlpm.row, SUM(_xlpm.row)&lt;&gt;0))
                ),
                _xlfn.SEQUENCE(8,1),
                {1,2,3}
            )
        ),
        3
    ),
    ""
)</f>
        <v>204</v>
      </c>
      <c r="M20" s="192">
        <v>205</v>
      </c>
      <c r="N20" s="192">
        <v>112</v>
      </c>
      <c r="O20" s="192">
        <v>1</v>
      </c>
      <c r="P20" s="192">
        <v>5</v>
      </c>
      <c r="Q20" s="192">
        <v>6</v>
      </c>
      <c r="R20" s="192" t="str">
        <v/>
      </c>
      <c r="S20" s="192" t="str">
        <v/>
      </c>
      <c r="T20" s="193"/>
      <c r="V20" s="137" t="s">
        <v>328</v>
      </c>
      <c r="W20" s="134" cm="1">
        <f t="array" ref="W20:AE22">TRANSPOSE(_xlfn._xlws.SORT(TRANSPOSE(L20:T22), 1, TRUE))</f>
        <v>1</v>
      </c>
      <c r="X20" s="134">
        <v>5</v>
      </c>
      <c r="Y20" s="134">
        <v>6</v>
      </c>
      <c r="Z20" s="134">
        <v>112</v>
      </c>
      <c r="AA20" s="134">
        <v>204</v>
      </c>
      <c r="AB20" s="134">
        <v>205</v>
      </c>
      <c r="AC20" s="134" t="str">
        <v/>
      </c>
      <c r="AD20" s="134" t="str">
        <v/>
      </c>
      <c r="AE20" s="134">
        <v>0</v>
      </c>
      <c r="AL20" s="208" t="s">
        <v>333</v>
      </c>
      <c r="AM20" s="208"/>
      <c r="AN20" s="208"/>
      <c r="AO20" s="208"/>
      <c r="AP20" s="208"/>
      <c r="AQ20" s="208"/>
      <c r="AR20" s="4" t="s">
        <v>334</v>
      </c>
    </row>
    <row r="21" spans="1:50" s="3" customFormat="1" ht="16" customHeight="1">
      <c r="A21" s="46"/>
      <c r="B21" s="91"/>
      <c r="C21" s="56"/>
      <c r="D21" s="56"/>
      <c r="E21" s="56"/>
      <c r="F21" s="56"/>
      <c r="G21" s="56"/>
      <c r="H21" s="56"/>
      <c r="I21" s="93"/>
      <c r="K21" s="137" t="s">
        <v>329</v>
      </c>
      <c r="L21" s="194">
        <v>45849</v>
      </c>
      <c r="M21" s="195">
        <v>45849</v>
      </c>
      <c r="N21" s="195">
        <v>45848</v>
      </c>
      <c r="O21" s="195">
        <v>45849</v>
      </c>
      <c r="P21" s="195">
        <v>45849</v>
      </c>
      <c r="Q21" s="195">
        <v>45849</v>
      </c>
      <c r="R21" s="195" t="str">
        <v/>
      </c>
      <c r="S21" s="195" t="str">
        <v/>
      </c>
      <c r="T21" s="196"/>
      <c r="V21" s="137" t="s">
        <v>329</v>
      </c>
      <c r="W21" s="135">
        <v>45849</v>
      </c>
      <c r="X21" s="135">
        <v>45849</v>
      </c>
      <c r="Y21" s="135">
        <v>45849</v>
      </c>
      <c r="Z21" s="135">
        <v>45848</v>
      </c>
      <c r="AA21" s="135">
        <v>45849</v>
      </c>
      <c r="AB21" s="135">
        <v>45849</v>
      </c>
      <c r="AC21" s="135" t="str">
        <v/>
      </c>
      <c r="AD21" s="135" t="str">
        <v/>
      </c>
      <c r="AE21" s="135">
        <v>0</v>
      </c>
      <c r="AL21" s="144" cm="1">
        <f t="array" ref="AL21:AQ23">IFERROR(
    _xlfn.WRAPCOLS(
        _xlfn.TOCOL(
            INDEX(
                _xlfn._xlws.FILTER(
                    _xlfn.UNIQUE(_xlfn.HSTACK(LineEntryOld3, DateEntryOld3, PayIDEntryOld3)),
                    _xlfn.BYROW(_xlfn.UNIQUE(_xlfn.HSTACK(LineEntryOld3, DateEntryOld3, PayIDEntryOld3)), _xlfn.LAMBDA(_xlpm.row, SUM(_xlpm.row)&lt;&gt;0))
                ),
                _xlfn.SEQUENCE(6,1),
                {1,2,3}
            )
        ),
        3
    ),
    ""
)</f>
        <v>204</v>
      </c>
      <c r="AM21" s="145">
        <v>205</v>
      </c>
      <c r="AN21" s="145">
        <v>112</v>
      </c>
      <c r="AO21" s="145">
        <v>1</v>
      </c>
      <c r="AP21" s="145">
        <v>5</v>
      </c>
      <c r="AQ21" s="146">
        <v>6</v>
      </c>
      <c r="AR21" s="3" cm="1">
        <f t="array" ref="AR21">SUMPRODUCT(--(TRIM(AL21:AQ21)&lt;&gt;""))</f>
        <v>6</v>
      </c>
      <c r="AS21" s="3" cm="1">
        <f t="array" ref="AS21:AX23">_xlfn._xlws.SORT(AL21:AQ23, 1, TRUE, FALSE)</f>
        <v>204</v>
      </c>
      <c r="AT21" s="3">
        <v>205</v>
      </c>
      <c r="AU21" s="3">
        <v>112</v>
      </c>
      <c r="AV21" s="3">
        <v>1</v>
      </c>
      <c r="AW21" s="3">
        <v>5</v>
      </c>
      <c r="AX21" s="3">
        <v>6</v>
      </c>
    </row>
    <row r="22" spans="1:50" ht="30" customHeight="1" thickBot="1">
      <c r="A22" s="42"/>
      <c r="B22" s="212"/>
      <c r="C22" s="213"/>
      <c r="D22" s="214"/>
      <c r="E22" s="214"/>
      <c r="F22" s="214"/>
      <c r="G22" s="214"/>
      <c r="H22" s="214"/>
      <c r="I22" s="215"/>
      <c r="K22" s="137" t="s">
        <v>330</v>
      </c>
      <c r="L22" s="197" t="str">
        <v>CC 2456</v>
      </c>
      <c r="M22" s="198" t="str">
        <v>CC 2456</v>
      </c>
      <c r="N22" s="198" t="str">
        <v>CHK 101</v>
      </c>
      <c r="O22" s="198" t="str">
        <v>CASH</v>
      </c>
      <c r="P22" s="198" t="str">
        <v>CC 2456</v>
      </c>
      <c r="Q22" s="198" t="str">
        <v>CC 2456</v>
      </c>
      <c r="R22" s="198" t="str">
        <v/>
      </c>
      <c r="S22" s="198" t="str">
        <v/>
      </c>
      <c r="T22" s="199"/>
      <c r="V22" s="137" t="s">
        <v>330</v>
      </c>
      <c r="W22" s="200" t="str">
        <v>CASH</v>
      </c>
      <c r="X22" s="200" t="str">
        <v>CC 2456</v>
      </c>
      <c r="Y22" s="200" t="str">
        <v>CC 2456</v>
      </c>
      <c r="Z22" s="200" t="str">
        <v>CHK 101</v>
      </c>
      <c r="AA22" s="200" t="str">
        <v>CC 2456</v>
      </c>
      <c r="AB22" s="200" t="str">
        <v>CC 2456</v>
      </c>
      <c r="AC22" s="200" t="str">
        <v/>
      </c>
      <c r="AD22" s="200" t="str">
        <v/>
      </c>
      <c r="AE22" s="136">
        <v>0</v>
      </c>
      <c r="AL22" s="46">
        <v>45849</v>
      </c>
      <c r="AM22" s="3">
        <v>45849</v>
      </c>
      <c r="AN22" s="3">
        <v>45848</v>
      </c>
      <c r="AO22" s="3">
        <v>45849</v>
      </c>
      <c r="AP22" s="3">
        <v>45849</v>
      </c>
      <c r="AQ22" s="147">
        <v>45849</v>
      </c>
      <c r="AR22" s="3"/>
      <c r="AS22" s="190">
        <v>45849</v>
      </c>
      <c r="AT22" s="190">
        <v>45849</v>
      </c>
      <c r="AU22" s="190">
        <v>45848</v>
      </c>
      <c r="AV22" s="190">
        <v>45849</v>
      </c>
      <c r="AW22" s="190">
        <v>45849</v>
      </c>
      <c r="AX22" s="190">
        <v>45849</v>
      </c>
    </row>
    <row r="23" spans="1:50" s="4" customFormat="1" ht="16" customHeight="1" thickBot="1">
      <c r="A23" s="48"/>
      <c r="B23" s="94" t="s">
        <v>4</v>
      </c>
      <c r="C23" s="216" t="s">
        <v>3</v>
      </c>
      <c r="D23" s="217"/>
      <c r="E23" s="65" t="s">
        <v>12</v>
      </c>
      <c r="F23" s="65" t="s">
        <v>18</v>
      </c>
      <c r="G23" s="65" t="s">
        <v>2</v>
      </c>
      <c r="H23" s="65" t="s">
        <v>1</v>
      </c>
      <c r="I23" s="95" t="s">
        <v>0</v>
      </c>
      <c r="W23" s="118" t="s">
        <v>314</v>
      </c>
      <c r="X23" s="118" t="s">
        <v>325</v>
      </c>
      <c r="Y23" s="118" t="s">
        <v>315</v>
      </c>
      <c r="Z23" s="118" t="s">
        <v>316</v>
      </c>
      <c r="AA23" s="118" t="s">
        <v>317</v>
      </c>
      <c r="AB23" s="118" t="s">
        <v>318</v>
      </c>
      <c r="AC23" s="118" t="s">
        <v>341</v>
      </c>
      <c r="AD23" s="118" t="s">
        <v>340</v>
      </c>
      <c r="AE23" s="118" t="s">
        <v>339</v>
      </c>
      <c r="AL23" s="62" t="str">
        <v>CC 2456</v>
      </c>
      <c r="AM23" s="63" t="str">
        <v>CC 2456</v>
      </c>
      <c r="AN23" s="63" t="str">
        <v>CHK 101</v>
      </c>
      <c r="AO23" s="63" t="str">
        <v>CASH</v>
      </c>
      <c r="AP23" s="63" t="str">
        <v>CC 2456</v>
      </c>
      <c r="AQ23" s="64" t="str">
        <v>CC 2456</v>
      </c>
      <c r="AR23" s="1"/>
      <c r="AS23" s="4" t="str">
        <v>CC 2456</v>
      </c>
      <c r="AT23" s="4" t="str">
        <v>CC 2456</v>
      </c>
      <c r="AU23" s="4" t="str">
        <v>CHK 101</v>
      </c>
      <c r="AV23" s="4" t="str">
        <v>CASH</v>
      </c>
      <c r="AW23" s="4" t="str">
        <v>CC 2456</v>
      </c>
      <c r="AX23" s="4" t="str">
        <v>CC 2456</v>
      </c>
    </row>
    <row r="24" spans="1:50" s="4" customFormat="1" ht="16" customHeight="1">
      <c r="A24" s="48"/>
      <c r="B24" s="122">
        <v>204</v>
      </c>
      <c r="C24" s="209" t="s">
        <v>312</v>
      </c>
      <c r="D24" s="210"/>
      <c r="E24" s="116">
        <v>45849</v>
      </c>
      <c r="F24" s="124" t="s">
        <v>313</v>
      </c>
      <c r="G24" s="6">
        <v>1</v>
      </c>
      <c r="H24" s="5">
        <v>100</v>
      </c>
      <c r="I24" s="96">
        <f>G24*H24</f>
        <v>100</v>
      </c>
      <c r="W24" s="133" t="str">
        <f>IF($B24="", "", IF(AND($I24, $B24=W$20, $E24=W$21, $F24=W$22, SUM($I$24)&gt;0), $I24, ""))</f>
        <v/>
      </c>
      <c r="X24" s="133" t="str">
        <f t="shared" ref="X24:AE24" si="0">IF($B24="", "", IF(AND($I24, $B24=X$20, $E24=X$21, $F24=X$22, SUM($I$24)&gt;0), $I24, ""))</f>
        <v/>
      </c>
      <c r="Y24" s="133" t="str">
        <f t="shared" si="0"/>
        <v/>
      </c>
      <c r="Z24" s="133" t="str">
        <f>IF($B24="", "", IF(AND($I24, $B24=Z$20, $E24=Z$21, $F24=Z$22, SUM($I$24)&gt;0), $I24, ""))</f>
        <v/>
      </c>
      <c r="AA24" s="133">
        <f t="shared" si="0"/>
        <v>100</v>
      </c>
      <c r="AB24" s="133" t="str">
        <f t="shared" si="0"/>
        <v/>
      </c>
      <c r="AC24" s="133" t="str">
        <f t="shared" si="0"/>
        <v/>
      </c>
      <c r="AD24" s="133" t="str">
        <f t="shared" si="0"/>
        <v/>
      </c>
      <c r="AE24" s="133" t="str">
        <f t="shared" si="0"/>
        <v/>
      </c>
    </row>
    <row r="25" spans="1:50" s="4" customFormat="1" ht="16" customHeight="1">
      <c r="A25" s="48"/>
      <c r="B25" s="122">
        <v>205</v>
      </c>
      <c r="C25" s="209"/>
      <c r="D25" s="210"/>
      <c r="E25" s="116">
        <v>45849</v>
      </c>
      <c r="F25" s="124" t="s">
        <v>313</v>
      </c>
      <c r="G25" s="6">
        <v>1</v>
      </c>
      <c r="H25" s="5">
        <v>50</v>
      </c>
      <c r="I25" s="96">
        <f t="shared" ref="I25:I35" si="1">G25*H25</f>
        <v>50</v>
      </c>
      <c r="W25" s="133" t="str">
        <f t="shared" ref="W25:AE35" si="2">IF($B25="", "", IF(AND($I25, $B25=W$20, $E25=W$21, $F25=W$22, SUM($I$24)&gt;0), $I25, ""))</f>
        <v/>
      </c>
      <c r="X25" s="133" t="str">
        <f t="shared" si="2"/>
        <v/>
      </c>
      <c r="Y25" s="133" t="str">
        <f t="shared" si="2"/>
        <v/>
      </c>
      <c r="Z25" s="133" t="str">
        <f t="shared" si="2"/>
        <v/>
      </c>
      <c r="AA25" s="133" t="str">
        <f t="shared" si="2"/>
        <v/>
      </c>
      <c r="AB25" s="133">
        <f t="shared" si="2"/>
        <v>50</v>
      </c>
      <c r="AC25" s="133" t="str">
        <f t="shared" si="2"/>
        <v/>
      </c>
      <c r="AD25" s="133" t="str">
        <f t="shared" si="2"/>
        <v/>
      </c>
      <c r="AE25" s="133" t="str">
        <f t="shared" si="2"/>
        <v/>
      </c>
    </row>
    <row r="26" spans="1:50" s="4" customFormat="1" ht="16" customHeight="1">
      <c r="A26" s="48"/>
      <c r="B26" s="122">
        <v>112</v>
      </c>
      <c r="C26" s="209" t="s">
        <v>326</v>
      </c>
      <c r="D26" s="210"/>
      <c r="E26" s="116">
        <v>45848</v>
      </c>
      <c r="F26" s="124" t="s">
        <v>327</v>
      </c>
      <c r="G26" s="6">
        <v>1</v>
      </c>
      <c r="H26" s="5">
        <v>1000</v>
      </c>
      <c r="I26" s="96">
        <f t="shared" si="1"/>
        <v>1000</v>
      </c>
      <c r="W26" s="133" t="str">
        <f t="shared" si="2"/>
        <v/>
      </c>
      <c r="X26" s="133" t="str">
        <f t="shared" si="2"/>
        <v/>
      </c>
      <c r="Y26" s="133" t="str">
        <f t="shared" si="2"/>
        <v/>
      </c>
      <c r="Z26" s="133">
        <f t="shared" si="2"/>
        <v>1000</v>
      </c>
      <c r="AA26" s="133" t="str">
        <f t="shared" si="2"/>
        <v/>
      </c>
      <c r="AB26" s="133" t="str">
        <f t="shared" si="2"/>
        <v/>
      </c>
      <c r="AC26" s="133" t="str">
        <f t="shared" si="2"/>
        <v/>
      </c>
      <c r="AD26" s="133" t="str">
        <f t="shared" si="2"/>
        <v/>
      </c>
      <c r="AE26" s="133" t="str">
        <f t="shared" si="2"/>
        <v/>
      </c>
    </row>
    <row r="27" spans="1:50" s="4" customFormat="1" ht="16">
      <c r="A27" s="48"/>
      <c r="B27" s="122">
        <v>204</v>
      </c>
      <c r="C27" s="209" t="s">
        <v>312</v>
      </c>
      <c r="D27" s="210"/>
      <c r="E27" s="116">
        <v>45849</v>
      </c>
      <c r="F27" s="124" t="s">
        <v>313</v>
      </c>
      <c r="G27" s="6">
        <v>1</v>
      </c>
      <c r="H27" s="5">
        <v>100</v>
      </c>
      <c r="I27" s="96">
        <f t="shared" si="1"/>
        <v>100</v>
      </c>
      <c r="W27" s="133" t="str">
        <f t="shared" si="2"/>
        <v/>
      </c>
      <c r="X27" s="133" t="str">
        <f t="shared" si="2"/>
        <v/>
      </c>
      <c r="Y27" s="133" t="str">
        <f t="shared" si="2"/>
        <v/>
      </c>
      <c r="Z27" s="133" t="str">
        <f t="shared" si="2"/>
        <v/>
      </c>
      <c r="AA27" s="133">
        <f t="shared" si="2"/>
        <v>100</v>
      </c>
      <c r="AB27" s="133" t="str">
        <f t="shared" si="2"/>
        <v/>
      </c>
      <c r="AC27" s="133" t="str">
        <f t="shared" si="2"/>
        <v/>
      </c>
      <c r="AD27" s="133" t="str">
        <f t="shared" si="2"/>
        <v/>
      </c>
      <c r="AE27" s="133" t="str">
        <f t="shared" si="2"/>
        <v/>
      </c>
    </row>
    <row r="28" spans="1:50" s="4" customFormat="1" ht="16" customHeight="1">
      <c r="A28" s="48"/>
      <c r="B28" s="122">
        <v>1</v>
      </c>
      <c r="C28" s="209" t="s">
        <v>336</v>
      </c>
      <c r="D28" s="210"/>
      <c r="E28" s="116">
        <v>45849</v>
      </c>
      <c r="F28" s="124" t="s">
        <v>5</v>
      </c>
      <c r="G28" s="6">
        <v>1</v>
      </c>
      <c r="H28" s="5">
        <v>1000</v>
      </c>
      <c r="I28" s="96">
        <f t="shared" si="1"/>
        <v>1000</v>
      </c>
      <c r="W28" s="133">
        <f t="shared" si="2"/>
        <v>1000</v>
      </c>
      <c r="X28" s="133" t="str">
        <f t="shared" si="2"/>
        <v/>
      </c>
      <c r="Y28" s="133" t="str">
        <f t="shared" si="2"/>
        <v/>
      </c>
      <c r="Z28" s="133" t="str">
        <f t="shared" si="2"/>
        <v/>
      </c>
      <c r="AA28" s="133" t="str">
        <f t="shared" si="2"/>
        <v/>
      </c>
      <c r="AB28" s="133" t="str">
        <f t="shared" si="2"/>
        <v/>
      </c>
      <c r="AC28" s="133" t="str">
        <f t="shared" si="2"/>
        <v/>
      </c>
      <c r="AD28" s="133" t="str">
        <f t="shared" si="2"/>
        <v/>
      </c>
      <c r="AE28" s="133" t="str">
        <f t="shared" si="2"/>
        <v/>
      </c>
    </row>
    <row r="29" spans="1:50" s="4" customFormat="1" ht="16" customHeight="1">
      <c r="A29" s="48"/>
      <c r="B29" s="122">
        <v>5</v>
      </c>
      <c r="C29" s="209" t="s">
        <v>312</v>
      </c>
      <c r="D29" s="210"/>
      <c r="E29" s="116">
        <v>45849</v>
      </c>
      <c r="F29" s="124" t="s">
        <v>313</v>
      </c>
      <c r="G29" s="6">
        <v>1</v>
      </c>
      <c r="H29" s="5">
        <v>100</v>
      </c>
      <c r="I29" s="96">
        <f t="shared" si="1"/>
        <v>100</v>
      </c>
      <c r="W29" s="133" t="str">
        <f t="shared" si="2"/>
        <v/>
      </c>
      <c r="X29" s="133">
        <f t="shared" si="2"/>
        <v>100</v>
      </c>
      <c r="Y29" s="133" t="str">
        <f t="shared" si="2"/>
        <v/>
      </c>
      <c r="Z29" s="133" t="str">
        <f t="shared" si="2"/>
        <v/>
      </c>
      <c r="AA29" s="133" t="str">
        <f t="shared" si="2"/>
        <v/>
      </c>
      <c r="AB29" s="133" t="str">
        <f t="shared" si="2"/>
        <v/>
      </c>
      <c r="AC29" s="133" t="str">
        <f t="shared" si="2"/>
        <v/>
      </c>
      <c r="AD29" s="133" t="str">
        <f t="shared" si="2"/>
        <v/>
      </c>
      <c r="AE29" s="133" t="str">
        <f t="shared" si="2"/>
        <v/>
      </c>
    </row>
    <row r="30" spans="1:50" s="4" customFormat="1" ht="16" customHeight="1">
      <c r="A30" s="48"/>
      <c r="B30" s="122">
        <v>6</v>
      </c>
      <c r="C30" s="209" t="s">
        <v>312</v>
      </c>
      <c r="D30" s="210"/>
      <c r="E30" s="116">
        <v>45849</v>
      </c>
      <c r="F30" s="124" t="s">
        <v>313</v>
      </c>
      <c r="G30" s="6">
        <v>1</v>
      </c>
      <c r="H30" s="5">
        <v>100</v>
      </c>
      <c r="I30" s="96">
        <f t="shared" si="1"/>
        <v>100</v>
      </c>
      <c r="W30" s="133" t="str">
        <f t="shared" si="2"/>
        <v/>
      </c>
      <c r="X30" s="133" t="str">
        <f t="shared" si="2"/>
        <v/>
      </c>
      <c r="Y30" s="133">
        <f t="shared" si="2"/>
        <v>100</v>
      </c>
      <c r="Z30" s="133" t="str">
        <f t="shared" si="2"/>
        <v/>
      </c>
      <c r="AA30" s="133" t="str">
        <f t="shared" si="2"/>
        <v/>
      </c>
      <c r="AB30" s="133" t="str">
        <f t="shared" si="2"/>
        <v/>
      </c>
      <c r="AC30" s="133" t="str">
        <f t="shared" si="2"/>
        <v/>
      </c>
      <c r="AD30" s="133" t="str">
        <f t="shared" si="2"/>
        <v/>
      </c>
      <c r="AE30" s="133" t="str">
        <f t="shared" si="2"/>
        <v/>
      </c>
    </row>
    <row r="31" spans="1:50" s="4" customFormat="1" ht="16" customHeight="1">
      <c r="A31" s="48"/>
      <c r="B31" s="122">
        <v>204</v>
      </c>
      <c r="C31" s="209" t="s">
        <v>312</v>
      </c>
      <c r="D31" s="210"/>
      <c r="E31" s="116">
        <v>45849</v>
      </c>
      <c r="F31" s="124" t="s">
        <v>313</v>
      </c>
      <c r="G31" s="6">
        <v>1</v>
      </c>
      <c r="H31" s="5">
        <v>100</v>
      </c>
      <c r="I31" s="96">
        <f t="shared" si="1"/>
        <v>100</v>
      </c>
      <c r="W31" s="133" t="str">
        <f t="shared" si="2"/>
        <v/>
      </c>
      <c r="X31" s="133" t="str">
        <f t="shared" si="2"/>
        <v/>
      </c>
      <c r="Y31" s="133" t="str">
        <f t="shared" si="2"/>
        <v/>
      </c>
      <c r="Z31" s="133" t="str">
        <f t="shared" si="2"/>
        <v/>
      </c>
      <c r="AA31" s="133">
        <f t="shared" si="2"/>
        <v>100</v>
      </c>
      <c r="AB31" s="133" t="str">
        <f t="shared" si="2"/>
        <v/>
      </c>
      <c r="AC31" s="133" t="str">
        <f t="shared" si="2"/>
        <v/>
      </c>
      <c r="AD31" s="133" t="str">
        <f t="shared" si="2"/>
        <v/>
      </c>
      <c r="AE31" s="133" t="str">
        <f t="shared" si="2"/>
        <v/>
      </c>
    </row>
    <row r="32" spans="1:50" s="4" customFormat="1" ht="16" customHeight="1">
      <c r="A32" s="48"/>
      <c r="B32" s="122">
        <v>204</v>
      </c>
      <c r="C32" s="209" t="s">
        <v>312</v>
      </c>
      <c r="D32" s="210"/>
      <c r="E32" s="116">
        <v>45849</v>
      </c>
      <c r="F32" s="124" t="s">
        <v>313</v>
      </c>
      <c r="G32" s="6">
        <v>1</v>
      </c>
      <c r="H32" s="5">
        <v>100</v>
      </c>
      <c r="I32" s="96">
        <f t="shared" si="1"/>
        <v>100</v>
      </c>
      <c r="W32" s="133" t="str">
        <f t="shared" si="2"/>
        <v/>
      </c>
      <c r="X32" s="133" t="str">
        <f t="shared" si="2"/>
        <v/>
      </c>
      <c r="Y32" s="133" t="str">
        <f t="shared" si="2"/>
        <v/>
      </c>
      <c r="Z32" s="133" t="str">
        <f t="shared" si="2"/>
        <v/>
      </c>
      <c r="AA32" s="133">
        <f t="shared" si="2"/>
        <v>100</v>
      </c>
      <c r="AB32" s="133" t="str">
        <f t="shared" si="2"/>
        <v/>
      </c>
      <c r="AC32" s="133" t="str">
        <f t="shared" si="2"/>
        <v/>
      </c>
      <c r="AD32" s="133" t="str">
        <f t="shared" si="2"/>
        <v/>
      </c>
      <c r="AE32" s="133" t="str">
        <f t="shared" si="2"/>
        <v/>
      </c>
    </row>
    <row r="33" spans="1:31" s="4" customFormat="1" ht="16" customHeight="1">
      <c r="A33" s="48"/>
      <c r="B33" s="122">
        <v>204</v>
      </c>
      <c r="C33" s="209" t="s">
        <v>312</v>
      </c>
      <c r="D33" s="210"/>
      <c r="E33" s="116">
        <v>45849</v>
      </c>
      <c r="F33" s="124" t="s">
        <v>313</v>
      </c>
      <c r="G33" s="6">
        <v>1</v>
      </c>
      <c r="H33" s="5">
        <v>100</v>
      </c>
      <c r="I33" s="96">
        <f t="shared" si="1"/>
        <v>100</v>
      </c>
      <c r="W33" s="133" t="str">
        <f t="shared" si="2"/>
        <v/>
      </c>
      <c r="X33" s="133" t="str">
        <f t="shared" si="2"/>
        <v/>
      </c>
      <c r="Y33" s="133" t="str">
        <f t="shared" si="2"/>
        <v/>
      </c>
      <c r="Z33" s="133" t="str">
        <f t="shared" si="2"/>
        <v/>
      </c>
      <c r="AA33" s="133">
        <f t="shared" si="2"/>
        <v>100</v>
      </c>
      <c r="AB33" s="133" t="str">
        <f t="shared" si="2"/>
        <v/>
      </c>
      <c r="AC33" s="133" t="str">
        <f t="shared" si="2"/>
        <v/>
      </c>
      <c r="AD33" s="133" t="str">
        <f t="shared" si="2"/>
        <v/>
      </c>
      <c r="AE33" s="133" t="str">
        <f t="shared" si="2"/>
        <v/>
      </c>
    </row>
    <row r="34" spans="1:31" s="4" customFormat="1" ht="16" customHeight="1">
      <c r="A34" s="48"/>
      <c r="B34" s="122">
        <v>204</v>
      </c>
      <c r="C34" s="209" t="s">
        <v>312</v>
      </c>
      <c r="D34" s="210"/>
      <c r="E34" s="116">
        <v>45849</v>
      </c>
      <c r="F34" s="124" t="s">
        <v>313</v>
      </c>
      <c r="G34" s="6">
        <v>1</v>
      </c>
      <c r="H34" s="5">
        <v>100</v>
      </c>
      <c r="I34" s="96">
        <f t="shared" si="1"/>
        <v>100</v>
      </c>
      <c r="W34" s="133" t="str">
        <f t="shared" si="2"/>
        <v/>
      </c>
      <c r="X34" s="133" t="str">
        <f t="shared" si="2"/>
        <v/>
      </c>
      <c r="Y34" s="133" t="str">
        <f t="shared" si="2"/>
        <v/>
      </c>
      <c r="Z34" s="133" t="str">
        <f t="shared" si="2"/>
        <v/>
      </c>
      <c r="AA34" s="133">
        <f t="shared" si="2"/>
        <v>100</v>
      </c>
      <c r="AB34" s="133" t="str">
        <f t="shared" si="2"/>
        <v/>
      </c>
      <c r="AC34" s="133" t="str">
        <f t="shared" si="2"/>
        <v/>
      </c>
      <c r="AD34" s="133" t="str">
        <f t="shared" si="2"/>
        <v/>
      </c>
      <c r="AE34" s="133" t="str">
        <f t="shared" si="2"/>
        <v/>
      </c>
    </row>
    <row r="35" spans="1:31" s="4" customFormat="1" ht="16" customHeight="1" thickBot="1">
      <c r="A35" s="48"/>
      <c r="B35" s="123"/>
      <c r="C35" s="227"/>
      <c r="D35" s="228"/>
      <c r="E35" s="66"/>
      <c r="F35" s="125"/>
      <c r="G35" s="66"/>
      <c r="H35" s="67"/>
      <c r="I35" s="97">
        <f t="shared" si="1"/>
        <v>0</v>
      </c>
      <c r="W35" s="4" t="str">
        <f t="shared" si="2"/>
        <v/>
      </c>
      <c r="X35" s="4" t="str">
        <f t="shared" si="2"/>
        <v/>
      </c>
      <c r="Y35" s="4" t="str">
        <f t="shared" si="2"/>
        <v/>
      </c>
      <c r="Z35" s="4" t="str">
        <f t="shared" si="2"/>
        <v/>
      </c>
      <c r="AA35" s="4" t="str">
        <f t="shared" si="2"/>
        <v/>
      </c>
      <c r="AB35" s="4" t="str">
        <f t="shared" si="2"/>
        <v/>
      </c>
      <c r="AC35" s="4" t="str">
        <f t="shared" si="2"/>
        <v/>
      </c>
      <c r="AD35" s="4" t="str">
        <f t="shared" si="2"/>
        <v/>
      </c>
      <c r="AE35" s="4" t="str">
        <f t="shared" si="2"/>
        <v/>
      </c>
    </row>
    <row r="36" spans="1:31" s="4" customFormat="1" ht="16" customHeight="1" thickBot="1">
      <c r="A36" s="48"/>
      <c r="B36" s="98"/>
      <c r="C36" s="68"/>
      <c r="D36" s="68"/>
      <c r="E36" s="68"/>
      <c r="F36" s="68"/>
      <c r="G36" s="69"/>
      <c r="H36" s="69"/>
      <c r="I36" s="99"/>
      <c r="W36" s="138">
        <f>IF(SUM(W24:W35), SUM(W24:W35),"")</f>
        <v>1000</v>
      </c>
      <c r="X36" s="139">
        <f t="shared" ref="X36:AE36" si="3">IF(SUM(X24:X35), SUM(X24:X35),"")</f>
        <v>100</v>
      </c>
      <c r="Y36" s="140">
        <f t="shared" si="3"/>
        <v>100</v>
      </c>
      <c r="Z36" s="140">
        <f>IF(SUM(Z24:Z35), SUM(Z24:Z35),"")</f>
        <v>1000</v>
      </c>
      <c r="AA36" s="140">
        <f t="shared" si="3"/>
        <v>600</v>
      </c>
      <c r="AB36" s="141">
        <f t="shared" si="3"/>
        <v>50</v>
      </c>
      <c r="AC36" s="141" t="str">
        <f t="shared" si="3"/>
        <v/>
      </c>
      <c r="AD36" s="141" t="str">
        <f t="shared" si="3"/>
        <v/>
      </c>
      <c r="AE36" s="141" t="str">
        <f t="shared" si="3"/>
        <v/>
      </c>
    </row>
    <row r="37" spans="1:31" s="4" customFormat="1" ht="16" customHeight="1" thickBot="1">
      <c r="A37" s="48"/>
      <c r="B37" s="100" t="s">
        <v>263</v>
      </c>
      <c r="C37" s="2"/>
      <c r="D37" s="2"/>
      <c r="E37" s="58"/>
      <c r="F37" s="59"/>
      <c r="G37" s="107" t="s">
        <v>261</v>
      </c>
      <c r="H37" s="108"/>
      <c r="I37" s="109">
        <f>SUM(I23:I35)</f>
        <v>2850</v>
      </c>
      <c r="W37" s="129" t="s">
        <v>314</v>
      </c>
      <c r="X37" s="130" t="s">
        <v>325</v>
      </c>
      <c r="Y37" s="131" t="s">
        <v>315</v>
      </c>
      <c r="Z37" s="131" t="s">
        <v>316</v>
      </c>
      <c r="AA37" s="131" t="s">
        <v>317</v>
      </c>
      <c r="AB37" s="132" t="s">
        <v>318</v>
      </c>
      <c r="AC37" s="118" t="s">
        <v>341</v>
      </c>
      <c r="AD37" s="118" t="s">
        <v>340</v>
      </c>
      <c r="AE37" s="118" t="s">
        <v>339</v>
      </c>
    </row>
    <row r="38" spans="1:31" s="4" customFormat="1" ht="16" customHeight="1" thickBot="1">
      <c r="A38" s="48"/>
      <c r="B38" s="100"/>
      <c r="C38" s="211"/>
      <c r="D38" s="211"/>
      <c r="E38" s="61"/>
      <c r="F38" s="60"/>
      <c r="G38" s="110"/>
      <c r="H38" s="57"/>
      <c r="I38" s="101"/>
    </row>
    <row r="39" spans="1:31" s="4" customFormat="1" ht="16" customHeight="1">
      <c r="A39" s="48"/>
      <c r="B39" s="100"/>
      <c r="C39" s="1"/>
      <c r="D39" s="1"/>
      <c r="E39" s="60"/>
      <c r="F39" s="60"/>
      <c r="G39" s="110" t="s">
        <v>260</v>
      </c>
      <c r="H39" s="60" t="s">
        <v>262</v>
      </c>
      <c r="I39" s="102"/>
      <c r="W39" s="229" t="s">
        <v>331</v>
      </c>
      <c r="X39" s="230"/>
      <c r="Y39" s="230"/>
      <c r="Z39" s="230"/>
      <c r="AA39" s="230"/>
      <c r="AB39" s="230"/>
      <c r="AC39" s="231"/>
    </row>
    <row r="40" spans="1:31" ht="16" customHeight="1" thickBot="1">
      <c r="A40" s="42"/>
      <c r="B40" s="100" t="s">
        <v>264</v>
      </c>
      <c r="C40" s="2"/>
      <c r="D40" s="2"/>
      <c r="E40" s="59"/>
      <c r="F40" s="59"/>
      <c r="G40" s="110" t="s">
        <v>21</v>
      </c>
      <c r="H40" s="60"/>
      <c r="I40" s="103">
        <f>SUM(I37:I39)</f>
        <v>2850</v>
      </c>
      <c r="W40" s="169" t="s">
        <v>337</v>
      </c>
      <c r="X40" s="149" t="s">
        <v>4</v>
      </c>
      <c r="Y40" s="170" t="s">
        <v>16</v>
      </c>
      <c r="Z40" s="170" t="s">
        <v>17</v>
      </c>
      <c r="AA40" s="171" t="s">
        <v>12</v>
      </c>
      <c r="AB40" s="170" t="s">
        <v>18</v>
      </c>
      <c r="AC40" s="172" t="s">
        <v>242</v>
      </c>
      <c r="AD40" s="173" t="s">
        <v>19</v>
      </c>
    </row>
    <row r="41" spans="1:31" ht="16" customHeight="1" thickBot="1">
      <c r="B41" s="104"/>
      <c r="C41" s="105"/>
      <c r="D41" s="105"/>
      <c r="E41" s="105"/>
      <c r="F41" s="105"/>
      <c r="G41" s="104"/>
      <c r="H41" s="105"/>
      <c r="I41" s="106"/>
      <c r="W41" s="165" t="str">
        <f>IF(SUM($W$24:$W$35), "#A","")</f>
        <v>#A</v>
      </c>
      <c r="X41" s="153">
        <f>IF('2499-006'!$W41="#A", W20,"")</f>
        <v>1</v>
      </c>
      <c r="Y41" s="154" t="str">
        <f>IF('2499-006'!$W41="#A", Vendor,"")</f>
        <v>Vendor</v>
      </c>
      <c r="Z41" s="155" t="str">
        <f>IF('2499-006'!$W41="#A", Sheet_PO,"")</f>
        <v>2499-006</v>
      </c>
      <c r="AA41" s="156">
        <f>IF('2499-006'!$W41="#A", W$21,"")</f>
        <v>45849</v>
      </c>
      <c r="AB41" s="155" t="str">
        <f>IF('2499-006'!$W41="#A", W$22,"")</f>
        <v>CASH</v>
      </c>
      <c r="AC41" s="157">
        <f>IF('2499-006'!$W41="#A", W$36,"")</f>
        <v>1000</v>
      </c>
      <c r="AD41" s="155" t="str">
        <f>IF('2499-006'!$W41="#A",
      INDEX('Line No'!$B$1:$B$342, MATCH('2499-006'!$X41, 'Line No'!$A$1:$A$342, 0)),
      "")</f>
        <v>Line Producer</v>
      </c>
    </row>
    <row r="42" spans="1:31" ht="16" customHeight="1">
      <c r="W42" s="166" t="str">
        <f>IF(SUM($X$24:$X$34), "#B", "")</f>
        <v>#B</v>
      </c>
      <c r="X42" s="158">
        <f>IF('2499-006'!$W42="#B", X20,"")</f>
        <v>5</v>
      </c>
      <c r="Y42" s="158" t="str">
        <f>IF('2499-006'!$W42="#B", Vendor,"")</f>
        <v>Vendor</v>
      </c>
      <c r="Z42" s="158" t="str">
        <f>IF('2499-006'!$W42="#B", Sheet_PO,"")</f>
        <v>2499-006</v>
      </c>
      <c r="AA42" s="159">
        <f>IF('2499-006'!$W42="#B", X21,"")</f>
        <v>45849</v>
      </c>
      <c r="AB42" s="158" t="str">
        <f>IF('2499-006'!$W42="#B", X22,"")</f>
        <v>CC 2456</v>
      </c>
      <c r="AC42" s="160">
        <f>IF('2499-006'!$W42="#B", X36,"")</f>
        <v>100</v>
      </c>
      <c r="AD42" s="158" t="str">
        <f>IF('2499-006'!$W42="#B",
      INDEX('Line No'!$B$1:$B$342, MATCH('2499-006'!$X42, 'Line No'!$A$1:$A$342, 0)),
      "")</f>
        <v>1st AC</v>
      </c>
    </row>
    <row r="43" spans="1:31" ht="16" customHeight="1">
      <c r="G43" s="73"/>
      <c r="H43" s="73"/>
      <c r="I43" s="73"/>
      <c r="W43" s="167" t="str">
        <f>IF(SUM($Y$24:$Y$34), "#C", "")</f>
        <v>#C</v>
      </c>
      <c r="X43" s="155">
        <f>IF('2499-006'!$W43="#C", Y20,"")</f>
        <v>6</v>
      </c>
      <c r="Y43" s="154" t="str">
        <f>IF('2499-006'!$W43="#C", Vendor,"")</f>
        <v>Vendor</v>
      </c>
      <c r="Z43" s="155" t="str">
        <f>IF('2499-006'!$W43="#C", Sheet_PO,"")</f>
        <v>2499-006</v>
      </c>
      <c r="AA43" s="156">
        <f>IF('2499-006'!$W43="#C", Y21,"")</f>
        <v>45849</v>
      </c>
      <c r="AB43" s="155" t="str">
        <f>IF('2499-006'!$W43="#C", Y22,"")</f>
        <v>CC 2456</v>
      </c>
      <c r="AC43" s="157">
        <f>IF('2499-006'!$W43="#C", Y36,"")</f>
        <v>100</v>
      </c>
      <c r="AD43" s="155" t="str">
        <f>IF('2499-006'!$W43="#C",
      INDEX('Line No'!$B$1:$B$342, MATCH('2499-006'!$X43, 'Line No'!$A$1:$A$342, 0)),
      "")</f>
        <v>2nd AC</v>
      </c>
    </row>
    <row r="44" spans="1:31" ht="16" customHeight="1">
      <c r="G44" s="73"/>
      <c r="H44" s="128"/>
      <c r="I44" s="73"/>
      <c r="W44" s="168" t="str">
        <f>IF(SUM($Z$24:$Z$34), "#D", "")</f>
        <v>#D</v>
      </c>
      <c r="X44" s="158">
        <f>IF('2499-006'!$W44="#D", Z20,"")</f>
        <v>112</v>
      </c>
      <c r="Y44" s="158" t="str">
        <f>IF('2499-006'!$W44="#D", Vendor,"")</f>
        <v>Vendor</v>
      </c>
      <c r="Z44" s="158" t="str">
        <f>IF('2499-006'!$W44="#D", Sheet_PO,"")</f>
        <v>2499-006</v>
      </c>
      <c r="AA44" s="159">
        <f>IF('2499-006'!$W44="#D", Z21,"")</f>
        <v>45848</v>
      </c>
      <c r="AB44" s="158" t="str">
        <f>IF('2499-006'!$W44="#D", Z22,"")</f>
        <v>CHK 101</v>
      </c>
      <c r="AC44" s="160">
        <f>IF('2499-006'!$W44="#D", Z36,"")</f>
        <v>1000</v>
      </c>
      <c r="AD44" s="158" t="str">
        <f>IF('2499-006'!$W44="#D",
      INDEX('Line No'!$B$1:$B$342, MATCH('2499-006'!$X44, 'Line No'!$A$1:$A$342, 0)),
      "")</f>
        <v>Pre Pro Meals</v>
      </c>
    </row>
    <row r="45" spans="1:31" ht="16" customHeight="1">
      <c r="C45" s="142"/>
      <c r="D45" s="142"/>
      <c r="E45" s="142"/>
      <c r="F45" s="142"/>
      <c r="G45" s="74"/>
      <c r="H45" s="74"/>
      <c r="I45" s="75"/>
      <c r="W45" s="167" t="str">
        <f>IF(SUM($AA$24:$AA$34), "#E", "")</f>
        <v>#E</v>
      </c>
      <c r="X45" s="155">
        <f>IF('2499-006'!$W45="#E", AA20,"")</f>
        <v>204</v>
      </c>
      <c r="Y45" s="154" t="str">
        <f>IF('2499-006'!$W45="#E", Vendor,"")</f>
        <v>Vendor</v>
      </c>
      <c r="Z45" s="155" t="str">
        <f>IF('2499-006'!$W45="#E", Sheet_PO,"")</f>
        <v>2499-006</v>
      </c>
      <c r="AA45" s="156">
        <f>IF('2499-006'!$W45="#E", AA21,"")</f>
        <v>45849</v>
      </c>
      <c r="AB45" s="155" t="str">
        <f>IF('2499-006'!$W45="#E", AA22,"")</f>
        <v>CC 2456</v>
      </c>
      <c r="AC45" s="157">
        <f>IF('2499-006'!$W45="#E", AA36,"")</f>
        <v>600</v>
      </c>
      <c r="AD45" s="155" t="str">
        <f>IF('2499-006'!$W45="#E",
      INDEX('Line No'!$B$1:$B$342, MATCH('2499-006'!$X45, 'Line No'!$A$1:$A$342, 0)),
      "")</f>
        <v>Production Supplies</v>
      </c>
    </row>
    <row r="46" spans="1:31" ht="16" customHeight="1">
      <c r="W46" s="168" t="str">
        <f>IF(SUM($AB$24:$AB$34), "#F", "")</f>
        <v>#F</v>
      </c>
      <c r="X46" s="158">
        <f>IF('2499-006'!$W46="#F", AB20,"")</f>
        <v>205</v>
      </c>
      <c r="Y46" s="158" t="str">
        <f>IF('2499-006'!$W46="#F", Vendor,"")</f>
        <v>Vendor</v>
      </c>
      <c r="Z46" s="158" t="str">
        <f>IF('2499-006'!$W46="#F", Sheet_PO,"")</f>
        <v>2499-006</v>
      </c>
      <c r="AA46" s="159">
        <f>IF('2499-006'!$W46="#F", AB21,"")</f>
        <v>45849</v>
      </c>
      <c r="AB46" s="158" t="str">
        <f>IF('2499-006'!$W46="#F", AB22,"")</f>
        <v>CC 2456</v>
      </c>
      <c r="AC46" s="160">
        <f>IF('2499-006'!$W46="#F", AB36,"")</f>
        <v>50</v>
      </c>
      <c r="AD46" s="158" t="str">
        <f>IF('2499-006'!$W46="#F",
      INDEX('Line No'!$B$1:$B$342, MATCH('2499-006'!$X46, 'Line No'!$A$1:$A$342, 0)),
      "")</f>
        <v>Location Supplies</v>
      </c>
    </row>
    <row r="47" spans="1:31" ht="16" customHeight="1">
      <c r="W47" s="167" t="str">
        <f>IF(SUM($AC$24:$AC$34), "#G", "")</f>
        <v/>
      </c>
      <c r="X47" s="155" t="str">
        <f>IF('2499-006'!$W47="#G", AC20,"")</f>
        <v/>
      </c>
      <c r="Y47" s="154" t="str">
        <f>IF('2499-006'!$W47="#G", Vendor,"")</f>
        <v/>
      </c>
      <c r="Z47" s="155" t="str">
        <f>IF('2499-006'!$W47="#G", Sheet_PO,"")</f>
        <v/>
      </c>
      <c r="AA47" s="161" t="str">
        <f>IF('2499-006'!$W47="#G", AC21,"")</f>
        <v/>
      </c>
      <c r="AB47" s="162" t="str">
        <f>IF('2499-006'!$W47="#G", AC22,"")</f>
        <v/>
      </c>
      <c r="AC47" s="157" t="str">
        <f>IF('2499-006'!$W47="#G", AC36,"")</f>
        <v/>
      </c>
      <c r="AD47" s="155" t="str">
        <f>IF('2499-006'!$W47="#G",
      INDEX('Line No'!$B$1:$B$342, MATCH('2499-006'!$X47, 'Line No'!$A$1:$A$342, 0)),
      "")</f>
        <v/>
      </c>
    </row>
    <row r="48" spans="1:31" ht="16" customHeight="1">
      <c r="W48" s="168" t="str">
        <f>IF(SUM($AD$24:$AD$34), "#H", "")</f>
        <v/>
      </c>
      <c r="X48" s="158" t="str">
        <f>IF('2499-006'!$W48="#H", AD20,"")</f>
        <v/>
      </c>
      <c r="Y48" s="158" t="str">
        <f>IF('2499-006'!$W48="#H", Vendor,"")</f>
        <v/>
      </c>
      <c r="Z48" s="158" t="str">
        <f>IF('2499-006'!$W48="#H", Sheet_PO,"")</f>
        <v/>
      </c>
      <c r="AA48" s="163" t="str">
        <f>IF('2499-006'!$W48="#H", AE21,"")</f>
        <v/>
      </c>
      <c r="AB48" s="164" t="str">
        <f>IF('2499-006'!$W48="#H", AE22,"")</f>
        <v/>
      </c>
      <c r="AC48" s="160" t="str">
        <f>IF('2499-006'!$W48="#H", AE36,"")</f>
        <v/>
      </c>
      <c r="AD48" s="158" t="str">
        <f>IF('2499-006'!$W48="#H",
      INDEX('Line No'!$B$1:$B$342, MATCH('2499-006'!$X48, 'Line No'!$A$1:$A$342, 0)),
      "")</f>
        <v/>
      </c>
    </row>
    <row r="49" spans="22:30" ht="16" customHeight="1">
      <c r="V49" s="1" cm="1">
        <f t="array" ref="V49">SUMPRODUCT(--(W41:W49&lt;&gt;""))</f>
        <v>6</v>
      </c>
      <c r="W49" s="167" t="str">
        <f>IF(SUM($AE$24:$AE$34), "#OTHER", "")</f>
        <v/>
      </c>
      <c r="X49" s="155" t="str">
        <f>IF('2499-006'!$W49="#I", AE20,"")</f>
        <v/>
      </c>
      <c r="Y49" s="154" t="str">
        <f>IF('2499-006'!$W49="#I", Vendor,"")</f>
        <v/>
      </c>
      <c r="Z49" s="155" t="str">
        <f>IF('2499-006'!$W49="#I", Sheet_PO,"")</f>
        <v/>
      </c>
      <c r="AA49" s="161" t="str">
        <f>IF('2499-006'!$W49="#I", AF21,"")</f>
        <v/>
      </c>
      <c r="AB49" s="162" t="str">
        <f>IF('2499-006'!$W49="#I", AF22,"")</f>
        <v/>
      </c>
      <c r="AC49" s="157" t="str">
        <f>IF('2499-006'!$W49="#I", AF36,"")</f>
        <v/>
      </c>
      <c r="AD49" s="155" t="str">
        <f>IF('2499-006'!$W49="#I",
      INDEX('Line No'!$B$1:$B$342, MATCH('2499-006'!$X49, 'Line No'!$A$1:$A$342, 0)),
      "")</f>
        <v/>
      </c>
    </row>
    <row r="50" spans="22:30" ht="16" customHeight="1">
      <c r="W50" s="174"/>
      <c r="X50" s="174"/>
      <c r="Y50" s="175"/>
      <c r="Z50" s="174"/>
      <c r="AA50" s="174"/>
      <c r="AB50" s="174"/>
      <c r="AC50" s="176"/>
      <c r="AD50" s="174"/>
    </row>
  </sheetData>
  <sheetProtection formatCells="0" formatColumns="0" formatRows="0" insertColumns="0" insertRows="0" deleteRows="0" selectLockedCells="1"/>
  <mergeCells count="42">
    <mergeCell ref="C33:D33"/>
    <mergeCell ref="C34:D34"/>
    <mergeCell ref="C35:D35"/>
    <mergeCell ref="C38:D38"/>
    <mergeCell ref="W39:AC39"/>
    <mergeCell ref="C27:D27"/>
    <mergeCell ref="C28:D28"/>
    <mergeCell ref="C29:D29"/>
    <mergeCell ref="C30:D30"/>
    <mergeCell ref="C31:D31"/>
    <mergeCell ref="C32:D32"/>
    <mergeCell ref="AL20:AQ20"/>
    <mergeCell ref="B22:I22"/>
    <mergeCell ref="C23:D23"/>
    <mergeCell ref="C24:D24"/>
    <mergeCell ref="C25:D25"/>
    <mergeCell ref="C26:D26"/>
    <mergeCell ref="C14:D14"/>
    <mergeCell ref="F14:I14"/>
    <mergeCell ref="C18:E18"/>
    <mergeCell ref="F18:I18"/>
    <mergeCell ref="C19:E19"/>
    <mergeCell ref="F19:I19"/>
    <mergeCell ref="C10:D10"/>
    <mergeCell ref="F10:I10"/>
    <mergeCell ref="C11:D11"/>
    <mergeCell ref="C12:D12"/>
    <mergeCell ref="C13:D13"/>
    <mergeCell ref="F13:I13"/>
    <mergeCell ref="C5:D5"/>
    <mergeCell ref="E5:H6"/>
    <mergeCell ref="C6:D6"/>
    <mergeCell ref="B7:C7"/>
    <mergeCell ref="D7:E7"/>
    <mergeCell ref="C9:D9"/>
    <mergeCell ref="F9:I9"/>
    <mergeCell ref="G1:I1"/>
    <mergeCell ref="B2:C2"/>
    <mergeCell ref="D2:G2"/>
    <mergeCell ref="G3:I3"/>
    <mergeCell ref="J3:W3"/>
    <mergeCell ref="B4:G4"/>
  </mergeCells>
  <conditionalFormatting sqref="AD41:AD49">
    <cfRule type="containsText" dxfId="4" priority="1" operator="containsText" text="zzzz">
      <formula>NOT(ISERROR(SEARCH("zzzz",AD41)))</formula>
    </cfRule>
  </conditionalFormatting>
  <printOptions horizontalCentered="1"/>
  <pageMargins left="0.75" right="0.75" top="0.5" bottom="0.5" header="0.5" footer="0.5"/>
  <pageSetup scale="81" orientation="portrait" r:id="rId1"/>
  <headerFooter alignWithMargins="0"/>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47ADD-6E2A-0040-91B5-8EA306D738D9}">
  <sheetPr codeName="Sheet15">
    <pageSetUpPr fitToPage="1"/>
  </sheetPr>
  <dimension ref="A1:AX50"/>
  <sheetViews>
    <sheetView zoomScale="75" zoomScaleNormal="100" workbookViewId="0">
      <selection activeCell="R16" sqref="R16"/>
    </sheetView>
    <sheetView workbookViewId="1"/>
  </sheetViews>
  <sheetFormatPr baseColWidth="10" defaultColWidth="8.83203125" defaultRowHeight="14"/>
  <cols>
    <col min="1" max="1" width="0.83203125" style="1" customWidth="1"/>
    <col min="2" max="2" width="10.1640625" style="1" customWidth="1"/>
    <col min="3" max="3" width="14.6640625" style="1" customWidth="1"/>
    <col min="4" max="4" width="10.1640625" style="1" customWidth="1"/>
    <col min="5" max="5" width="13.5" style="1" customWidth="1"/>
    <col min="6" max="6" width="11.6640625" style="1" bestFit="1" customWidth="1"/>
    <col min="7" max="7" width="10.1640625" style="1" customWidth="1"/>
    <col min="8" max="8" width="18.83203125" style="1" customWidth="1"/>
    <col min="9" max="9" width="13.33203125" style="1" customWidth="1"/>
    <col min="10" max="11" width="5.83203125" style="1" customWidth="1"/>
    <col min="12" max="12" width="6.33203125" style="1" customWidth="1"/>
    <col min="13" max="13" width="6.1640625" style="1" customWidth="1"/>
    <col min="14" max="14" width="5.6640625" style="1" customWidth="1"/>
    <col min="15" max="15" width="5.33203125" style="1" customWidth="1"/>
    <col min="16" max="16" width="5.6640625" style="1" customWidth="1"/>
    <col min="17" max="18" width="5" style="1" customWidth="1"/>
    <col min="19" max="21" width="5.83203125" style="1" customWidth="1"/>
    <col min="22" max="22" width="6.1640625" style="1" customWidth="1"/>
    <col min="23" max="23" width="13.6640625" style="1" customWidth="1"/>
    <col min="24" max="24" width="8" style="1" customWidth="1"/>
    <col min="25" max="25" width="10.33203125" style="1" customWidth="1"/>
    <col min="26" max="26" width="11.83203125" style="1" customWidth="1"/>
    <col min="27" max="27" width="11" style="1" customWidth="1"/>
    <col min="28" max="29" width="11.83203125" style="1" customWidth="1"/>
    <col min="30" max="30" width="23.33203125" style="1" customWidth="1"/>
    <col min="31" max="31" width="8.83203125" style="1"/>
    <col min="32" max="32" width="3.33203125" style="1" customWidth="1"/>
    <col min="33" max="33" width="5.1640625" style="1" customWidth="1"/>
    <col min="34" max="37" width="8.83203125" style="1"/>
    <col min="38" max="38" width="8.83203125" style="1" customWidth="1"/>
    <col min="39" max="16384" width="8.83203125" style="1"/>
  </cols>
  <sheetData>
    <row r="1" spans="1:47" ht="45" customHeight="1">
      <c r="A1" s="41"/>
      <c r="B1" s="143" t="s">
        <v>258</v>
      </c>
      <c r="C1" s="143"/>
      <c r="D1" s="143"/>
      <c r="E1" s="143"/>
      <c r="G1" s="234"/>
      <c r="H1" s="234"/>
      <c r="I1" s="235"/>
      <c r="J1" s="185"/>
      <c r="K1" s="185"/>
      <c r="L1" s="185"/>
      <c r="M1" s="185"/>
      <c r="N1" s="185"/>
      <c r="O1" s="185"/>
      <c r="P1" s="185"/>
      <c r="Q1" s="185"/>
      <c r="R1" s="185"/>
      <c r="S1" s="185"/>
      <c r="T1" s="185"/>
      <c r="U1" s="185"/>
      <c r="V1" s="185"/>
      <c r="W1" s="185"/>
      <c r="X1" s="185"/>
      <c r="Y1" s="185"/>
      <c r="Z1" s="185"/>
      <c r="AA1" s="185"/>
      <c r="AB1" s="185"/>
      <c r="AC1" s="185"/>
      <c r="AD1" s="185"/>
      <c r="AE1" s="185"/>
      <c r="AF1" s="185"/>
      <c r="AG1" s="185"/>
      <c r="AH1" s="185"/>
      <c r="AI1" s="186" t="s">
        <v>321</v>
      </c>
      <c r="AJ1" s="185"/>
      <c r="AK1" s="185"/>
      <c r="AL1" s="185"/>
      <c r="AM1" s="185"/>
      <c r="AN1" s="185"/>
      <c r="AO1" s="185"/>
      <c r="AP1" s="185"/>
      <c r="AQ1" s="185"/>
      <c r="AR1" s="185"/>
      <c r="AS1" s="185"/>
      <c r="AT1" s="185"/>
      <c r="AU1" s="185"/>
    </row>
    <row r="2" spans="1:47" ht="12.75" customHeight="1">
      <c r="A2" s="42"/>
      <c r="B2" s="236"/>
      <c r="C2" s="237"/>
      <c r="D2" s="238"/>
      <c r="E2" s="238"/>
      <c r="F2" s="238"/>
      <c r="G2" s="238"/>
      <c r="I2" s="76"/>
      <c r="J2" s="185"/>
      <c r="K2" s="185"/>
      <c r="L2" s="185"/>
      <c r="M2" s="185"/>
      <c r="N2" s="185"/>
      <c r="O2" s="185"/>
      <c r="P2" s="185"/>
      <c r="Q2" s="185"/>
      <c r="R2" s="185"/>
      <c r="S2" s="185"/>
      <c r="T2" s="185"/>
      <c r="U2" s="185"/>
      <c r="V2" s="185"/>
      <c r="W2" s="185"/>
      <c r="X2" s="185"/>
      <c r="Y2" s="185"/>
      <c r="Z2" s="185"/>
      <c r="AA2" s="185"/>
      <c r="AB2" s="185"/>
      <c r="AC2" s="185"/>
      <c r="AD2" s="186" t="s">
        <v>323</v>
      </c>
      <c r="AE2" s="185"/>
      <c r="AF2" s="185"/>
      <c r="AG2" s="185"/>
      <c r="AH2" s="185"/>
      <c r="AI2" s="185" t="s">
        <v>322</v>
      </c>
      <c r="AJ2" s="185"/>
      <c r="AK2" s="185"/>
      <c r="AL2" s="185"/>
      <c r="AM2" s="185"/>
      <c r="AN2" s="185"/>
      <c r="AO2" s="185"/>
      <c r="AP2" s="185"/>
      <c r="AQ2" s="185"/>
      <c r="AR2" s="185"/>
      <c r="AS2" s="185"/>
      <c r="AT2" s="185"/>
      <c r="AU2" s="185"/>
    </row>
    <row r="3" spans="1:47" ht="22">
      <c r="A3" s="42"/>
      <c r="B3" s="77" t="s">
        <v>14</v>
      </c>
      <c r="C3" s="43"/>
      <c r="D3" s="44"/>
      <c r="E3" s="44"/>
      <c r="F3" s="45" t="s">
        <v>13</v>
      </c>
      <c r="G3" s="239" t="s">
        <v>347</v>
      </c>
      <c r="H3" s="239"/>
      <c r="I3" s="240"/>
      <c r="J3" s="232"/>
      <c r="K3" s="233"/>
      <c r="L3" s="233"/>
      <c r="M3" s="233"/>
      <c r="N3" s="233"/>
      <c r="O3" s="233"/>
      <c r="P3" s="233"/>
      <c r="Q3" s="233"/>
      <c r="R3" s="233"/>
      <c r="S3" s="233"/>
      <c r="T3" s="233"/>
      <c r="U3" s="233"/>
      <c r="V3" s="233"/>
      <c r="W3" s="233"/>
      <c r="X3" s="115" t="s">
        <v>308</v>
      </c>
      <c r="Y3" s="117" t="s">
        <v>309</v>
      </c>
      <c r="Z3" s="117" t="s">
        <v>310</v>
      </c>
      <c r="AA3" s="117" t="s">
        <v>311</v>
      </c>
      <c r="AD3" s="115" t="s">
        <v>319</v>
      </c>
      <c r="AM3" s="1" t="s">
        <v>324</v>
      </c>
      <c r="AR3" s="185"/>
      <c r="AS3" s="185"/>
      <c r="AT3" s="185"/>
      <c r="AU3" s="185"/>
    </row>
    <row r="4" spans="1:47" s="3" customFormat="1" ht="29" customHeight="1">
      <c r="A4" s="46"/>
      <c r="B4" s="241"/>
      <c r="C4" s="242"/>
      <c r="D4" s="242"/>
      <c r="E4" s="242"/>
      <c r="F4" s="242"/>
      <c r="G4" s="242"/>
      <c r="H4" s="47"/>
      <c r="I4" s="78"/>
      <c r="J4" s="187"/>
      <c r="K4" s="187"/>
      <c r="L4" s="187"/>
      <c r="M4" s="187"/>
      <c r="N4" s="187"/>
      <c r="O4" s="187"/>
      <c r="P4" s="187"/>
      <c r="Q4" s="187"/>
      <c r="R4" s="187"/>
      <c r="S4" s="187"/>
      <c r="T4" s="187"/>
      <c r="U4" s="187"/>
      <c r="V4" s="187"/>
      <c r="W4" s="187"/>
      <c r="X4" s="4" cm="1">
        <f t="array" ref="X4:X9">IFERROR(
INDEX(
_xlfn._xlws.FILTER(
_xlfn.UNIQUE(
LineEntryOLD2,
),_xlfn.UNIQUE(
LineEntryOLD2,
)&lt;&gt;0
),_xlfn.SEQUENCE(6,1)
),"")</f>
        <v>204</v>
      </c>
      <c r="Y4" s="4" cm="1">
        <f t="array" ref="Y4">SUMPRODUCT(--(TRIM(X4:X12)&lt;&gt;""))</f>
        <v>6</v>
      </c>
      <c r="Z4" s="4" t="str" cm="1">
        <f t="array" ref="Z4:Z6">_xlfn._xlws.SORT(INDEX(AF7:AF16, 1):INDEX(AF7:AF9, AG7), 1, TRUE)</f>
        <v>CASH</v>
      </c>
      <c r="AA4" s="4" t="str" cm="1">
        <f t="array" ref="AA4">IF(Z4="","",IFERROR(INDEX(Description, MATCH(Z4, LINEOld, 0)), "Not Found"))</f>
        <v>Not Found</v>
      </c>
      <c r="AD4" s="120" cm="1">
        <f t="array" ref="AD4:AF9">IFERROR(
    INDEX(
        _xlfn._xlws.FILTER(
            _xlfn.UNIQUE(_xlfn.HSTACK(LineEntryOLD2, DateEntryOld, PayIDEntryOld2)),
            _xlfn.BYROW(_xlfn.UNIQUE(_xlfn.HSTACK(LineEntryOLD2, DateEntryOld, PayIDEntryOld2)), _xlfn.LAMBDA(_xlpm.row, SUM(_xlpm.row)&lt;&gt;0))
        ),
        _xlfn.SEQUENCE(6,1),
        {1,2,3}
    ),
    ""
)</f>
        <v>204</v>
      </c>
      <c r="AE4" s="126">
        <v>45849</v>
      </c>
      <c r="AF4" s="120" t="str">
        <v>CC 2456</v>
      </c>
      <c r="AM4" s="148" t="s">
        <v>335</v>
      </c>
      <c r="AO4" s="3" t="str" cm="1">
        <f t="array" ref="AO4">IFERROR(
    _xlfn.WRAPCOLS(
        INDEX(
            _xlfn._xlws.FILTER(
                _xlfn.UNIQUE(_xlfn.HSTACK(LineEntryOLD2, DateEntryOld, PayIDEntryOld2)),
                _xlfn.BYROW(_xlfn.UNIQUE(_xlfn.HSTACK(LineEntryOLD2, DateEntryOld, PayIDEntryOld2)), _xlfn.LAMBDA(_xlpm.row, SUM(_xlpm.row)&lt;&gt;0))
            ),
            _xlfn.SEQUENCE(6,1),
            {1,2,3}
        ),
        3
    ),
    ""
)</f>
        <v/>
      </c>
      <c r="AQ4" s="3" t="e" cm="1" vm="1">
        <f t="array" aca="1" ref="AQ4" ca="1">IFERROR(
    _xlfn.WRAPCOLS(
        _xlfn.TOCOL(
            INDEX(
                _xlfn._xlws.FILTER(
                    _xlfn.UNIQUE(_xlfn.HSTACK(LineEntryOLD2, DateEntryOld, PayIDEntryOld2)),
                    _xlfn.BYROW(_xlfn.UNIQUE(_xlfn.HSTACK(LineEntryOLD2, DateEntryOld, PayIDEntryOld2)), _xlfn.LAMBDA(_xlpm.row, SUM(_xlpm.row)&lt;&gt;0))
                ),
                _xlfn.SEQUENCE(6,1),
                {1,2,3}
            )
        ),
        3
    ),
    ""
)</f>
        <v>#VALUE!</v>
      </c>
      <c r="AR4" s="187">
        <v>205</v>
      </c>
      <c r="AS4" s="187">
        <v>112</v>
      </c>
      <c r="AT4" s="187">
        <v>1</v>
      </c>
      <c r="AU4" s="187"/>
    </row>
    <row r="5" spans="1:47" s="4" customFormat="1" ht="16" customHeight="1">
      <c r="A5" s="48"/>
      <c r="B5" s="79" t="s">
        <v>259</v>
      </c>
      <c r="C5" s="247"/>
      <c r="D5" s="248"/>
      <c r="E5" s="243"/>
      <c r="F5" s="243"/>
      <c r="G5" s="243"/>
      <c r="H5" s="243"/>
      <c r="I5" s="80"/>
      <c r="J5" s="188"/>
      <c r="K5" s="188"/>
      <c r="L5" s="188"/>
      <c r="M5" s="188"/>
      <c r="N5" s="188"/>
      <c r="O5" s="188"/>
      <c r="P5" s="188"/>
      <c r="Q5" s="188"/>
      <c r="R5" s="188"/>
      <c r="S5" s="188"/>
      <c r="T5" s="188"/>
      <c r="U5" s="188"/>
      <c r="V5" s="188"/>
      <c r="W5" s="188"/>
      <c r="X5" s="4">
        <v>205</v>
      </c>
      <c r="Z5" s="4" t="str">
        <v>CC 2456</v>
      </c>
      <c r="AA5" s="4" t="str" cm="1">
        <f t="array" ref="AA5">IF(Z5="","",IFERROR(INDEX(Description, MATCH(Z5, LINEOld, 0)), "Not Found"))</f>
        <v>Not Found</v>
      </c>
      <c r="AD5" s="121">
        <v>205</v>
      </c>
      <c r="AE5" s="127">
        <v>45849</v>
      </c>
      <c r="AF5" s="121" t="str">
        <v>CC 2456</v>
      </c>
      <c r="AH5" t="e" cm="1">
        <f t="array" ref="AH5">_xlfn._xlws.FILTER(_xlfn.UNIQUE(_xlfn.HSTACK(LineEntryOLD2, DateEntryOld, PayIDEntryOld2)), _xlfn.UNIQUE(_xlfn.HSTACK(LineEntryOLD2, DateEntryOld, PayIDEntryOld2))&lt;&gt;0)</f>
        <v>#VALUE!</v>
      </c>
      <c r="AR5" s="188">
        <v>45849</v>
      </c>
      <c r="AS5" s="188">
        <v>45848</v>
      </c>
      <c r="AT5" s="188">
        <v>45849</v>
      </c>
      <c r="AU5" s="188"/>
    </row>
    <row r="6" spans="1:47" s="4" customFormat="1" ht="16">
      <c r="A6" s="48"/>
      <c r="B6" s="81"/>
      <c r="C6" s="249"/>
      <c r="D6" s="250"/>
      <c r="E6" s="243"/>
      <c r="F6" s="243"/>
      <c r="G6" s="243"/>
      <c r="H6" s="243"/>
      <c r="I6" s="82"/>
      <c r="J6" s="188"/>
      <c r="K6" s="188"/>
      <c r="L6" s="188"/>
      <c r="M6" s="188"/>
      <c r="N6" s="188"/>
      <c r="O6" s="188"/>
      <c r="P6" s="188"/>
      <c r="Q6" s="188"/>
      <c r="R6" s="188"/>
      <c r="S6" s="188"/>
      <c r="T6" s="188"/>
      <c r="U6" s="188"/>
      <c r="V6" s="188"/>
      <c r="W6" s="188"/>
      <c r="X6" s="4">
        <v>112</v>
      </c>
      <c r="Z6" s="4" t="str">
        <v>CC 2456</v>
      </c>
      <c r="AA6" s="4" t="str" cm="1">
        <f t="array" ref="AA6">IF(Z6="","",IFERROR(INDEX(Description, MATCH(Z6, LINEOld, 0)), "Not Found"))</f>
        <v>Not Found</v>
      </c>
      <c r="AD6" s="121">
        <v>112</v>
      </c>
      <c r="AE6" s="127">
        <v>45848</v>
      </c>
      <c r="AF6" s="121" t="str">
        <v>CHK 101</v>
      </c>
      <c r="AR6" s="188" t="s">
        <v>313</v>
      </c>
      <c r="AS6" s="188" t="s">
        <v>327</v>
      </c>
      <c r="AT6" s="188" t="s">
        <v>5</v>
      </c>
      <c r="AU6" s="188"/>
    </row>
    <row r="7" spans="1:47" s="4" customFormat="1" ht="16">
      <c r="A7" s="48"/>
      <c r="B7" s="244"/>
      <c r="C7" s="245"/>
      <c r="D7" s="246"/>
      <c r="E7" s="246"/>
      <c r="F7" s="51"/>
      <c r="G7" s="51"/>
      <c r="H7" s="51"/>
      <c r="I7" s="84"/>
      <c r="J7" s="188"/>
      <c r="K7" s="188"/>
      <c r="L7" s="188"/>
      <c r="M7" s="188"/>
      <c r="N7" s="188"/>
      <c r="O7" s="188"/>
      <c r="P7" s="188"/>
      <c r="Q7" s="188"/>
      <c r="R7" s="188"/>
      <c r="S7" s="188"/>
      <c r="T7" s="188"/>
      <c r="U7" s="188"/>
      <c r="V7" s="188"/>
      <c r="W7" s="188"/>
      <c r="X7" s="4">
        <v>1</v>
      </c>
      <c r="AA7" s="4" t="str" cm="1">
        <f t="array" ref="AA7">IF(Z7="","",IFERROR(INDEX(Description, MATCH(Z7, LINEOld, 0)), "Not Found"))</f>
        <v/>
      </c>
      <c r="AD7" s="121">
        <v>1</v>
      </c>
      <c r="AE7" s="127">
        <v>45849</v>
      </c>
      <c r="AF7" s="121" t="str">
        <v>CASH</v>
      </c>
      <c r="AR7" s="188"/>
      <c r="AS7" s="188"/>
      <c r="AT7" s="188"/>
      <c r="AU7" s="188"/>
    </row>
    <row r="8" spans="1:47" s="4" customFormat="1" ht="16">
      <c r="A8" s="48"/>
      <c r="B8" s="83"/>
      <c r="C8" s="49"/>
      <c r="D8" s="50"/>
      <c r="E8" s="50"/>
      <c r="F8" s="51"/>
      <c r="G8" s="51"/>
      <c r="H8" s="51"/>
      <c r="I8" s="84"/>
      <c r="J8" s="188"/>
      <c r="K8" s="188"/>
      <c r="L8" s="188"/>
      <c r="M8" s="188"/>
      <c r="N8" s="188"/>
      <c r="O8" s="188"/>
      <c r="P8" s="188"/>
      <c r="Q8" s="188"/>
      <c r="R8" s="188"/>
      <c r="S8" s="188"/>
      <c r="T8" s="188"/>
      <c r="U8" s="188"/>
      <c r="V8" s="188"/>
      <c r="W8" s="188"/>
      <c r="X8" s="4">
        <v>5</v>
      </c>
      <c r="AA8" s="4" t="str" cm="1">
        <f t="array" ref="AA8">IF(Z8="","",IFERROR(INDEX(Description, MATCH(Z8, LINEOld, 0)), "Not Found"))</f>
        <v/>
      </c>
      <c r="AD8" s="121">
        <v>5</v>
      </c>
      <c r="AE8" s="127">
        <v>45849</v>
      </c>
      <c r="AF8" s="121" t="str">
        <v>CC 2456</v>
      </c>
      <c r="AR8" s="188"/>
      <c r="AS8" s="188"/>
      <c r="AT8" s="188"/>
      <c r="AU8" s="188"/>
    </row>
    <row r="9" spans="1:47" s="4" customFormat="1" ht="16">
      <c r="A9" s="48"/>
      <c r="B9" s="85" t="s">
        <v>12</v>
      </c>
      <c r="C9" s="251" t="str">
        <f>IFERROR(
    IF(ISNUMBER(MATCH(Sheet_PO,#REF!, 0)),
       IF(INDEX(#REF!, MATCH(Sheet_PO,#REF!, 0)) = "", "",
          INDEX(#REF!, MATCH(Sheet_PO,#REF!, 0))),
       ""),
    "No match found")</f>
        <v/>
      </c>
      <c r="D9" s="251"/>
      <c r="E9" s="52" t="s">
        <v>11</v>
      </c>
      <c r="F9" s="252" t="str">
        <f>IF(TRIM(Job_Number)="", "", Job_Number)</f>
        <v/>
      </c>
      <c r="G9" s="252"/>
      <c r="H9" s="252"/>
      <c r="I9" s="253"/>
      <c r="J9" s="188"/>
      <c r="K9" s="188"/>
      <c r="L9" s="188"/>
      <c r="M9" s="188"/>
      <c r="N9" s="188"/>
      <c r="O9" s="188"/>
      <c r="P9" s="188"/>
      <c r="Q9" s="188"/>
      <c r="R9" s="188"/>
      <c r="S9" s="188"/>
      <c r="T9" s="188"/>
      <c r="U9" s="188"/>
      <c r="V9" s="188"/>
      <c r="W9" s="188"/>
      <c r="X9" s="4">
        <v>6</v>
      </c>
      <c r="AA9" s="4" t="str" cm="1">
        <f t="array" ref="AA9">IF(Z9="","",IFERROR(INDEX(Description, MATCH(Z9, LINEOld, 0)), "Not Found"))</f>
        <v/>
      </c>
      <c r="AD9" s="121">
        <v>6</v>
      </c>
      <c r="AE9" s="127">
        <v>45849</v>
      </c>
      <c r="AF9" s="121" t="str">
        <v>CC 2456</v>
      </c>
      <c r="AH9" s="4" t="b" cm="1">
        <f t="array" ref="AH9:AJ15">_xlfn.UNIQUE(_xlfn.HSTACK(LineEntryOLD2,DateEntryOld,PayIDEntryOld2))&lt;&gt;0</f>
        <v>1</v>
      </c>
      <c r="AI9" s="4" t="b">
        <v>1</v>
      </c>
      <c r="AJ9" s="4" t="b">
        <v>1</v>
      </c>
      <c r="AR9" s="188"/>
      <c r="AS9" s="188"/>
      <c r="AT9" s="188"/>
      <c r="AU9" s="188"/>
    </row>
    <row r="10" spans="1:47" s="4" customFormat="1" ht="14" customHeight="1">
      <c r="A10" s="48"/>
      <c r="B10" s="85" t="s">
        <v>10</v>
      </c>
      <c r="C10" s="223" t="s">
        <v>332</v>
      </c>
      <c r="D10" s="223"/>
      <c r="E10" s="52" t="s">
        <v>9</v>
      </c>
      <c r="F10" s="224" t="str">
        <f>IF(TRIM(Job_Name)="", "", Job_Name)</f>
        <v/>
      </c>
      <c r="G10" s="224"/>
      <c r="H10" s="224"/>
      <c r="I10" s="225"/>
      <c r="J10" s="188"/>
      <c r="K10" s="188"/>
      <c r="L10" s="188"/>
      <c r="M10" s="188"/>
      <c r="N10" s="188"/>
      <c r="O10" s="188"/>
      <c r="P10" s="188"/>
      <c r="Q10" s="188"/>
      <c r="R10" s="188"/>
      <c r="S10" s="188"/>
      <c r="T10" s="188"/>
      <c r="U10" s="188"/>
      <c r="V10" s="188"/>
      <c r="W10" s="187"/>
      <c r="AA10" s="4" t="str" cm="1">
        <f t="array" ref="AA10">IF(Z10="","",IFERROR(INDEX(Description, MATCH(Z10, LINEOld, 0)), "Not Found"))</f>
        <v/>
      </c>
      <c r="AH10" s="4" t="b">
        <v>1</v>
      </c>
      <c r="AI10" s="4" t="b">
        <v>1</v>
      </c>
      <c r="AJ10" s="4" t="b">
        <v>1</v>
      </c>
      <c r="AR10" s="188"/>
      <c r="AS10" s="188"/>
      <c r="AT10" s="188"/>
      <c r="AU10" s="188"/>
    </row>
    <row r="11" spans="1:47" s="4" customFormat="1" ht="17">
      <c r="A11" s="48"/>
      <c r="B11" s="86"/>
      <c r="C11" s="223"/>
      <c r="D11" s="223"/>
      <c r="E11" s="53"/>
      <c r="I11" s="87"/>
      <c r="J11" s="188"/>
      <c r="K11" s="188"/>
      <c r="L11" s="188"/>
      <c r="M11" s="188"/>
      <c r="N11" s="188"/>
      <c r="O11" s="188"/>
      <c r="P11" s="188"/>
      <c r="Q11" s="188"/>
      <c r="R11" s="188"/>
      <c r="S11" s="188"/>
      <c r="T11" s="188"/>
      <c r="U11" s="188"/>
      <c r="V11" s="188"/>
      <c r="W11" s="188"/>
      <c r="AA11" s="4" t="str" cm="1">
        <f t="array" ref="AA11">IF(Z11="","",IFERROR(INDEX(Description, MATCH(Z11, LINEOld, 0)), "Not Found"))</f>
        <v/>
      </c>
      <c r="AD11" s="119" t="e" cm="1" vm="2">
        <f t="array" aca="1" ref="AD11" ca="1">_xlfn.UNIQUE(_xlfn.HSTACK(LineEntryOLD2, DateEntryOld, PayIDEntryOld2))&lt;&gt;0</f>
        <v>#VALUE!</v>
      </c>
      <c r="AH11" s="4" t="b">
        <v>1</v>
      </c>
      <c r="AI11" s="4" t="b">
        <v>1</v>
      </c>
      <c r="AJ11" s="4" t="b">
        <v>1</v>
      </c>
      <c r="AR11" s="188"/>
      <c r="AS11" s="188"/>
      <c r="AT11" s="188"/>
      <c r="AU11" s="188"/>
    </row>
    <row r="12" spans="1:47" s="4" customFormat="1" ht="22" customHeight="1">
      <c r="A12" s="48"/>
      <c r="B12" s="85" t="s">
        <v>8</v>
      </c>
      <c r="C12" s="223"/>
      <c r="D12" s="223"/>
      <c r="E12" s="52" t="s">
        <v>7</v>
      </c>
      <c r="F12" s="7"/>
      <c r="G12" s="7"/>
      <c r="H12" s="7"/>
      <c r="I12" s="88"/>
      <c r="J12" s="188"/>
      <c r="K12" s="188"/>
      <c r="L12" s="188"/>
      <c r="M12" s="188"/>
      <c r="N12" s="188"/>
      <c r="O12" s="188"/>
      <c r="P12" s="188"/>
      <c r="Q12" s="188"/>
      <c r="R12" s="188"/>
      <c r="S12" s="188"/>
      <c r="T12" s="188"/>
      <c r="U12" s="188"/>
      <c r="V12" s="188"/>
      <c r="W12" s="188"/>
      <c r="AA12" s="4" t="str" cm="1">
        <f t="array" ref="AA12">IF(Z12="","",IFERROR(INDEX(Description, MATCH(Z12, LINEOld, 0)), "Not Found"))</f>
        <v/>
      </c>
      <c r="AH12" s="4" t="b">
        <v>1</v>
      </c>
      <c r="AI12" s="4" t="b">
        <v>1</v>
      </c>
      <c r="AJ12" s="4" t="b">
        <v>1</v>
      </c>
      <c r="AR12" s="188"/>
      <c r="AS12" s="188"/>
      <c r="AT12" s="188"/>
      <c r="AU12" s="188"/>
    </row>
    <row r="13" spans="1:47" s="4" customFormat="1" ht="16">
      <c r="A13" s="48"/>
      <c r="B13" s="89"/>
      <c r="C13" s="223"/>
      <c r="D13" s="223"/>
      <c r="F13" s="218"/>
      <c r="G13" s="219"/>
      <c r="H13" s="219"/>
      <c r="I13" s="220"/>
      <c r="J13" s="188"/>
      <c r="K13" s="188"/>
      <c r="L13" s="188"/>
      <c r="M13" s="188"/>
      <c r="N13" s="188"/>
      <c r="O13" s="188"/>
      <c r="P13" s="188"/>
      <c r="Q13" s="188"/>
      <c r="R13" s="188"/>
      <c r="S13" s="188"/>
      <c r="T13" s="188"/>
      <c r="U13" s="188"/>
      <c r="V13" s="188"/>
      <c r="W13" s="188"/>
      <c r="AA13" s="4" t="str" cm="1">
        <f t="array" ref="AA13">IF(Z13="","",IFERROR(INDEX(Description, MATCH(Z13, LINEOld, 0)), "Not Found"))</f>
        <v/>
      </c>
      <c r="AH13" s="4" t="b">
        <v>1</v>
      </c>
      <c r="AI13" s="4" t="b">
        <v>1</v>
      </c>
      <c r="AJ13" s="4" t="b">
        <v>1</v>
      </c>
      <c r="AR13" s="188"/>
      <c r="AS13" s="188"/>
      <c r="AT13" s="188"/>
      <c r="AU13" s="188"/>
    </row>
    <row r="14" spans="1:47" s="4" customFormat="1" ht="16">
      <c r="A14" s="48"/>
      <c r="B14" s="89"/>
      <c r="C14" s="226"/>
      <c r="D14" s="226"/>
      <c r="E14" s="52" t="s">
        <v>265</v>
      </c>
      <c r="F14" s="218"/>
      <c r="G14" s="219"/>
      <c r="H14" s="219"/>
      <c r="I14" s="220"/>
      <c r="J14" s="188"/>
      <c r="K14" s="188"/>
      <c r="L14" s="188"/>
      <c r="M14" s="188"/>
      <c r="N14" s="188"/>
      <c r="O14" s="188"/>
      <c r="P14" s="188"/>
      <c r="Q14" s="188"/>
      <c r="R14" s="188"/>
      <c r="S14" s="188"/>
      <c r="T14" s="188"/>
      <c r="U14" s="188"/>
      <c r="V14" s="188"/>
      <c r="W14" s="188"/>
      <c r="X14" s="188"/>
      <c r="Y14" s="188"/>
      <c r="Z14" s="188"/>
      <c r="AA14" s="188"/>
      <c r="AB14" s="188"/>
      <c r="AC14" s="188"/>
      <c r="AD14" s="188" t="b">
        <v>1</v>
      </c>
      <c r="AE14" s="188" t="b">
        <v>1</v>
      </c>
      <c r="AF14" s="188" t="b">
        <v>1</v>
      </c>
      <c r="AG14" s="188"/>
      <c r="AH14" s="188" t="b">
        <v>1</v>
      </c>
      <c r="AI14" s="188" t="b">
        <v>1</v>
      </c>
      <c r="AJ14" s="188" t="b">
        <v>1</v>
      </c>
      <c r="AK14" s="188"/>
      <c r="AL14" s="188"/>
      <c r="AM14" s="188"/>
      <c r="AN14" s="188"/>
      <c r="AO14" s="188"/>
      <c r="AP14" s="188"/>
      <c r="AQ14" s="188"/>
      <c r="AR14" s="188"/>
      <c r="AS14" s="188"/>
      <c r="AT14" s="188"/>
      <c r="AU14" s="188"/>
    </row>
    <row r="15" spans="1:47" s="4" customFormat="1" ht="16">
      <c r="A15" s="48"/>
      <c r="B15" s="90"/>
      <c r="C15" s="54"/>
      <c r="D15" s="54"/>
      <c r="I15" s="87"/>
      <c r="J15" s="188"/>
      <c r="K15" s="188"/>
      <c r="L15" s="188"/>
      <c r="M15" s="188"/>
      <c r="N15" s="188"/>
      <c r="O15" s="188"/>
      <c r="P15" s="188"/>
      <c r="Q15" s="188"/>
      <c r="R15" s="188"/>
      <c r="S15" s="188"/>
      <c r="T15" s="188"/>
      <c r="U15" s="188"/>
      <c r="V15" s="188"/>
      <c r="W15" s="188"/>
      <c r="X15" s="188"/>
      <c r="Y15" s="188"/>
      <c r="Z15" s="188"/>
      <c r="AA15" s="188"/>
      <c r="AB15" s="188"/>
      <c r="AC15" s="188"/>
      <c r="AD15" s="188" t="b">
        <v>0</v>
      </c>
      <c r="AE15" s="188" t="b">
        <v>0</v>
      </c>
      <c r="AF15" s="188" t="b">
        <v>0</v>
      </c>
      <c r="AG15" s="188"/>
      <c r="AH15" s="188" t="b">
        <v>0</v>
      </c>
      <c r="AI15" s="188" t="b">
        <v>0</v>
      </c>
      <c r="AJ15" s="188" t="b">
        <v>0</v>
      </c>
      <c r="AK15" s="188"/>
      <c r="AL15" s="188"/>
      <c r="AM15" s="188"/>
      <c r="AN15" s="188"/>
      <c r="AO15" s="188"/>
      <c r="AP15" s="188"/>
      <c r="AQ15" s="188"/>
      <c r="AR15" s="188"/>
      <c r="AS15" s="188"/>
      <c r="AT15" s="188"/>
      <c r="AU15" s="188"/>
    </row>
    <row r="16" spans="1:47" s="3" customFormat="1" ht="23" customHeight="1">
      <c r="A16" s="46"/>
      <c r="B16" s="91" t="s">
        <v>6</v>
      </c>
      <c r="C16" s="55"/>
      <c r="D16" s="55"/>
      <c r="E16" s="55"/>
      <c r="F16" s="55"/>
      <c r="G16" s="70"/>
      <c r="H16" s="40"/>
      <c r="I16" s="92"/>
      <c r="J16" s="187"/>
      <c r="K16" s="187"/>
      <c r="L16" s="187"/>
      <c r="M16" s="187"/>
      <c r="N16" s="187"/>
      <c r="O16" s="187"/>
      <c r="P16" s="187"/>
      <c r="Q16" s="187"/>
      <c r="R16" s="187"/>
      <c r="S16" s="187"/>
      <c r="T16" s="187"/>
      <c r="U16" s="187"/>
      <c r="V16" s="187"/>
      <c r="W16" s="187"/>
      <c r="X16" s="187"/>
      <c r="Y16" s="187"/>
      <c r="Z16" s="187"/>
      <c r="AA16" s="187"/>
      <c r="AB16" s="187"/>
      <c r="AC16" s="187"/>
      <c r="AD16" s="187"/>
      <c r="AE16" s="187"/>
      <c r="AF16" s="187"/>
      <c r="AG16" s="187"/>
      <c r="AH16" s="187"/>
      <c r="AI16" s="187"/>
      <c r="AJ16" s="187"/>
      <c r="AK16" s="187"/>
      <c r="AL16" s="187"/>
      <c r="AM16" s="187"/>
      <c r="AN16" s="187"/>
      <c r="AO16" s="187"/>
      <c r="AP16" s="187"/>
      <c r="AQ16" s="187"/>
      <c r="AR16" s="187"/>
      <c r="AS16" s="187"/>
      <c r="AT16" s="187"/>
      <c r="AU16" s="187"/>
    </row>
    <row r="17" spans="1:50" s="3" customFormat="1" ht="23" customHeight="1">
      <c r="A17" s="46"/>
      <c r="B17" s="91"/>
      <c r="C17" s="71"/>
      <c r="D17" s="71"/>
      <c r="E17" s="71"/>
      <c r="F17" s="71"/>
      <c r="G17" s="72"/>
      <c r="H17" s="40"/>
      <c r="I17" s="92"/>
      <c r="J17" s="187"/>
      <c r="K17" s="187"/>
      <c r="L17" s="187"/>
      <c r="M17" s="187"/>
      <c r="N17" s="187"/>
      <c r="O17" s="187"/>
      <c r="P17" s="187"/>
      <c r="Q17" s="187"/>
      <c r="R17" s="187"/>
      <c r="S17" s="187"/>
      <c r="T17" s="187"/>
      <c r="U17" s="187"/>
      <c r="V17" s="187"/>
      <c r="W17" s="187"/>
      <c r="X17" s="187"/>
      <c r="Y17" s="187"/>
      <c r="Z17" s="187"/>
      <c r="AA17" s="187"/>
      <c r="AB17" s="187"/>
      <c r="AC17" s="187"/>
      <c r="AD17" s="187"/>
      <c r="AE17" s="189"/>
      <c r="AF17" s="189"/>
      <c r="AG17" s="189"/>
      <c r="AH17" s="189"/>
      <c r="AI17" s="189"/>
      <c r="AJ17" s="187"/>
      <c r="AK17" s="187"/>
      <c r="AS17" s="187"/>
      <c r="AT17" s="187"/>
      <c r="AU17" s="187"/>
    </row>
    <row r="18" spans="1:50" s="3" customFormat="1" ht="23" customHeight="1">
      <c r="A18" s="46"/>
      <c r="B18" s="91"/>
      <c r="C18" s="221"/>
      <c r="D18" s="221"/>
      <c r="E18" s="221"/>
      <c r="F18" s="221"/>
      <c r="G18" s="221"/>
      <c r="H18" s="221"/>
      <c r="I18" s="222"/>
      <c r="AL18" s="119" t="s">
        <v>320</v>
      </c>
    </row>
    <row r="19" spans="1:50" s="3" customFormat="1" ht="13" customHeight="1" thickBot="1">
      <c r="A19" s="46"/>
      <c r="B19" s="91"/>
      <c r="C19" s="221"/>
      <c r="D19" s="221"/>
      <c r="E19" s="221"/>
      <c r="F19" s="221"/>
      <c r="G19" s="221"/>
      <c r="H19" s="221"/>
      <c r="I19" s="222"/>
      <c r="AE19" s="4"/>
      <c r="AF19" s="4"/>
      <c r="AG19" s="4"/>
      <c r="AH19" s="4"/>
      <c r="AI19" s="4"/>
      <c r="AJ19" s="4"/>
      <c r="AK19" s="4"/>
    </row>
    <row r="20" spans="1:50" s="3" customFormat="1" ht="34" customHeight="1">
      <c r="A20" s="46"/>
      <c r="B20" s="91"/>
      <c r="C20" s="56"/>
      <c r="D20" s="56"/>
      <c r="E20" s="56"/>
      <c r="F20" s="56"/>
      <c r="G20" s="56"/>
      <c r="H20" s="56"/>
      <c r="I20" s="93"/>
      <c r="K20" s="137" t="s">
        <v>328</v>
      </c>
      <c r="L20" s="191" cm="1">
        <f t="array" ref="L20:S22">IFERROR(
    _xlfn.WRAPCOLS(
        _xlfn.TOCOL(
            INDEX(
                _xlfn._xlws.FILTER(
                    _xlfn.UNIQUE(_xlfn.HSTACK(LineEntry, DateEntry, PayIDEntry)),
                    _xlfn.BYROW(_xlfn.UNIQUE(_xlfn.HSTACK(LineEntry, DateEntry, PayIDEntry)), _xlfn.LAMBDA(_xlpm.row, SUM(_xlpm.row)&lt;&gt;0))
                ),
                _xlfn.SEQUENCE(8,1),
                {1,2,3}
            )
        ),
        3
    ),
    ""
)</f>
        <v>204</v>
      </c>
      <c r="M20" s="192">
        <v>205</v>
      </c>
      <c r="N20" s="192">
        <v>112</v>
      </c>
      <c r="O20" s="192">
        <v>1</v>
      </c>
      <c r="P20" s="192">
        <v>5</v>
      </c>
      <c r="Q20" s="192">
        <v>6</v>
      </c>
      <c r="R20" s="192" t="str">
        <v/>
      </c>
      <c r="S20" s="192" t="str">
        <v/>
      </c>
      <c r="T20" s="193"/>
      <c r="V20" s="137" t="s">
        <v>328</v>
      </c>
      <c r="W20" s="134" cm="1">
        <f t="array" ref="W20:AE22">TRANSPOSE(_xlfn._xlws.SORT(TRANSPOSE(L20:T22), 1, TRUE))</f>
        <v>1</v>
      </c>
      <c r="X20" s="134">
        <v>5</v>
      </c>
      <c r="Y20" s="134">
        <v>6</v>
      </c>
      <c r="Z20" s="134">
        <v>112</v>
      </c>
      <c r="AA20" s="134">
        <v>204</v>
      </c>
      <c r="AB20" s="134">
        <v>205</v>
      </c>
      <c r="AC20" s="134" t="str">
        <v/>
      </c>
      <c r="AD20" s="134" t="str">
        <v/>
      </c>
      <c r="AE20" s="134">
        <v>0</v>
      </c>
      <c r="AL20" s="208" t="s">
        <v>333</v>
      </c>
      <c r="AM20" s="208"/>
      <c r="AN20" s="208"/>
      <c r="AO20" s="208"/>
      <c r="AP20" s="208"/>
      <c r="AQ20" s="208"/>
      <c r="AR20" s="4" t="s">
        <v>334</v>
      </c>
    </row>
    <row r="21" spans="1:50" s="3" customFormat="1" ht="16" customHeight="1">
      <c r="A21" s="46"/>
      <c r="B21" s="91"/>
      <c r="C21" s="56"/>
      <c r="D21" s="56"/>
      <c r="E21" s="56"/>
      <c r="F21" s="56"/>
      <c r="G21" s="56"/>
      <c r="H21" s="56"/>
      <c r="I21" s="93"/>
      <c r="K21" s="137" t="s">
        <v>329</v>
      </c>
      <c r="L21" s="194">
        <v>45849</v>
      </c>
      <c r="M21" s="195">
        <v>45849</v>
      </c>
      <c r="N21" s="195">
        <v>45848</v>
      </c>
      <c r="O21" s="195">
        <v>45849</v>
      </c>
      <c r="P21" s="195">
        <v>45849</v>
      </c>
      <c r="Q21" s="195">
        <v>45849</v>
      </c>
      <c r="R21" s="195" t="str">
        <v/>
      </c>
      <c r="S21" s="195" t="str">
        <v/>
      </c>
      <c r="T21" s="196"/>
      <c r="V21" s="137" t="s">
        <v>329</v>
      </c>
      <c r="W21" s="135">
        <v>45849</v>
      </c>
      <c r="X21" s="135">
        <v>45849</v>
      </c>
      <c r="Y21" s="135">
        <v>45849</v>
      </c>
      <c r="Z21" s="135">
        <v>45848</v>
      </c>
      <c r="AA21" s="135">
        <v>45849</v>
      </c>
      <c r="AB21" s="135">
        <v>45849</v>
      </c>
      <c r="AC21" s="135" t="str">
        <v/>
      </c>
      <c r="AD21" s="135" t="str">
        <v/>
      </c>
      <c r="AE21" s="135">
        <v>0</v>
      </c>
      <c r="AL21" s="144" cm="1">
        <f t="array" ref="AL21:AQ23">IFERROR(
    _xlfn.WRAPCOLS(
        _xlfn.TOCOL(
            INDEX(
                _xlfn._xlws.FILTER(
                    _xlfn.UNIQUE(_xlfn.HSTACK(LineEntryOld3, DateEntryOld3, PayIDEntryOld3)),
                    _xlfn.BYROW(_xlfn.UNIQUE(_xlfn.HSTACK(LineEntryOld3, DateEntryOld3, PayIDEntryOld3)), _xlfn.LAMBDA(_xlpm.row, SUM(_xlpm.row)&lt;&gt;0))
                ),
                _xlfn.SEQUENCE(6,1),
                {1,2,3}
            )
        ),
        3
    ),
    ""
)</f>
        <v>204</v>
      </c>
      <c r="AM21" s="145">
        <v>205</v>
      </c>
      <c r="AN21" s="145">
        <v>112</v>
      </c>
      <c r="AO21" s="145">
        <v>1</v>
      </c>
      <c r="AP21" s="145">
        <v>5</v>
      </c>
      <c r="AQ21" s="146">
        <v>6</v>
      </c>
      <c r="AR21" s="3" cm="1">
        <f t="array" ref="AR21">SUMPRODUCT(--(TRIM(AL21:AQ21)&lt;&gt;""))</f>
        <v>6</v>
      </c>
      <c r="AS21" s="3" cm="1">
        <f t="array" ref="AS21:AX23">_xlfn._xlws.SORT(AL21:AQ23, 1, TRUE, FALSE)</f>
        <v>204</v>
      </c>
      <c r="AT21" s="3">
        <v>205</v>
      </c>
      <c r="AU21" s="3">
        <v>112</v>
      </c>
      <c r="AV21" s="3">
        <v>1</v>
      </c>
      <c r="AW21" s="3">
        <v>5</v>
      </c>
      <c r="AX21" s="3">
        <v>6</v>
      </c>
    </row>
    <row r="22" spans="1:50" ht="30" customHeight="1" thickBot="1">
      <c r="A22" s="42"/>
      <c r="B22" s="212"/>
      <c r="C22" s="213"/>
      <c r="D22" s="214"/>
      <c r="E22" s="214"/>
      <c r="F22" s="214"/>
      <c r="G22" s="214"/>
      <c r="H22" s="214"/>
      <c r="I22" s="215"/>
      <c r="K22" s="137" t="s">
        <v>330</v>
      </c>
      <c r="L22" s="197" t="str">
        <v>CC 2456</v>
      </c>
      <c r="M22" s="198" t="str">
        <v>CC 2456</v>
      </c>
      <c r="N22" s="198" t="str">
        <v>CHK 101</v>
      </c>
      <c r="O22" s="198" t="str">
        <v>CASH</v>
      </c>
      <c r="P22" s="198" t="str">
        <v>CC 2456</v>
      </c>
      <c r="Q22" s="198" t="str">
        <v>CC 2456</v>
      </c>
      <c r="R22" s="198" t="str">
        <v/>
      </c>
      <c r="S22" s="198" t="str">
        <v/>
      </c>
      <c r="T22" s="199"/>
      <c r="V22" s="137" t="s">
        <v>330</v>
      </c>
      <c r="W22" s="200" t="str">
        <v>CASH</v>
      </c>
      <c r="X22" s="200" t="str">
        <v>CC 2456</v>
      </c>
      <c r="Y22" s="200" t="str">
        <v>CC 2456</v>
      </c>
      <c r="Z22" s="200" t="str">
        <v>CHK 101</v>
      </c>
      <c r="AA22" s="200" t="str">
        <v>CC 2456</v>
      </c>
      <c r="AB22" s="200" t="str">
        <v>CC 2456</v>
      </c>
      <c r="AC22" s="200" t="str">
        <v/>
      </c>
      <c r="AD22" s="200" t="str">
        <v/>
      </c>
      <c r="AE22" s="136">
        <v>0</v>
      </c>
      <c r="AL22" s="46">
        <v>45849</v>
      </c>
      <c r="AM22" s="3">
        <v>45849</v>
      </c>
      <c r="AN22" s="3">
        <v>45848</v>
      </c>
      <c r="AO22" s="3">
        <v>45849</v>
      </c>
      <c r="AP22" s="3">
        <v>45849</v>
      </c>
      <c r="AQ22" s="147">
        <v>45849</v>
      </c>
      <c r="AR22" s="3"/>
      <c r="AS22" s="190">
        <v>45849</v>
      </c>
      <c r="AT22" s="190">
        <v>45849</v>
      </c>
      <c r="AU22" s="190">
        <v>45848</v>
      </c>
      <c r="AV22" s="190">
        <v>45849</v>
      </c>
      <c r="AW22" s="190">
        <v>45849</v>
      </c>
      <c r="AX22" s="190">
        <v>45849</v>
      </c>
    </row>
    <row r="23" spans="1:50" s="4" customFormat="1" ht="16" customHeight="1" thickBot="1">
      <c r="A23" s="48"/>
      <c r="B23" s="94" t="s">
        <v>4</v>
      </c>
      <c r="C23" s="216" t="s">
        <v>3</v>
      </c>
      <c r="D23" s="217"/>
      <c r="E23" s="65" t="s">
        <v>12</v>
      </c>
      <c r="F23" s="65" t="s">
        <v>18</v>
      </c>
      <c r="G23" s="65" t="s">
        <v>2</v>
      </c>
      <c r="H23" s="65" t="s">
        <v>1</v>
      </c>
      <c r="I23" s="95" t="s">
        <v>0</v>
      </c>
      <c r="W23" s="118" t="s">
        <v>314</v>
      </c>
      <c r="X23" s="118" t="s">
        <v>325</v>
      </c>
      <c r="Y23" s="118" t="s">
        <v>315</v>
      </c>
      <c r="Z23" s="118" t="s">
        <v>316</v>
      </c>
      <c r="AA23" s="118" t="s">
        <v>317</v>
      </c>
      <c r="AB23" s="118" t="s">
        <v>318</v>
      </c>
      <c r="AC23" s="118" t="s">
        <v>341</v>
      </c>
      <c r="AD23" s="118" t="s">
        <v>340</v>
      </c>
      <c r="AE23" s="118" t="s">
        <v>339</v>
      </c>
      <c r="AL23" s="62" t="str">
        <v>CC 2456</v>
      </c>
      <c r="AM23" s="63" t="str">
        <v>CC 2456</v>
      </c>
      <c r="AN23" s="63" t="str">
        <v>CHK 101</v>
      </c>
      <c r="AO23" s="63" t="str">
        <v>CASH</v>
      </c>
      <c r="AP23" s="63" t="str">
        <v>CC 2456</v>
      </c>
      <c r="AQ23" s="64" t="str">
        <v>CC 2456</v>
      </c>
      <c r="AR23" s="1"/>
      <c r="AS23" s="4" t="str">
        <v>CC 2456</v>
      </c>
      <c r="AT23" s="4" t="str">
        <v>CC 2456</v>
      </c>
      <c r="AU23" s="4" t="str">
        <v>CHK 101</v>
      </c>
      <c r="AV23" s="4" t="str">
        <v>CASH</v>
      </c>
      <c r="AW23" s="4" t="str">
        <v>CC 2456</v>
      </c>
      <c r="AX23" s="4" t="str">
        <v>CC 2456</v>
      </c>
    </row>
    <row r="24" spans="1:50" s="4" customFormat="1" ht="16" customHeight="1">
      <c r="A24" s="48"/>
      <c r="B24" s="122">
        <v>204</v>
      </c>
      <c r="C24" s="209" t="s">
        <v>312</v>
      </c>
      <c r="D24" s="210"/>
      <c r="E24" s="116">
        <v>45849</v>
      </c>
      <c r="F24" s="124" t="s">
        <v>313</v>
      </c>
      <c r="G24" s="6">
        <v>1</v>
      </c>
      <c r="H24" s="5">
        <v>100</v>
      </c>
      <c r="I24" s="96">
        <f>G24*H24</f>
        <v>100</v>
      </c>
      <c r="W24" s="133" t="str">
        <f>IF($B24="", "", IF(AND($I24, $B24=W$20, $E24=W$21, $F24=W$22, SUM($I$24)&gt;0), $I24, ""))</f>
        <v/>
      </c>
      <c r="X24" s="133" t="str">
        <f t="shared" ref="X24:AE24" si="0">IF($B24="", "", IF(AND($I24, $B24=X$20, $E24=X$21, $F24=X$22, SUM($I$24)&gt;0), $I24, ""))</f>
        <v/>
      </c>
      <c r="Y24" s="133" t="str">
        <f t="shared" si="0"/>
        <v/>
      </c>
      <c r="Z24" s="133" t="str">
        <f>IF($B24="", "", IF(AND($I24, $B24=Z$20, $E24=Z$21, $F24=Z$22, SUM($I$24)&gt;0), $I24, ""))</f>
        <v/>
      </c>
      <c r="AA24" s="133">
        <f t="shared" si="0"/>
        <v>100</v>
      </c>
      <c r="AB24" s="133" t="str">
        <f t="shared" si="0"/>
        <v/>
      </c>
      <c r="AC24" s="133" t="str">
        <f t="shared" si="0"/>
        <v/>
      </c>
      <c r="AD24" s="133" t="str">
        <f t="shared" si="0"/>
        <v/>
      </c>
      <c r="AE24" s="133" t="str">
        <f t="shared" si="0"/>
        <v/>
      </c>
    </row>
    <row r="25" spans="1:50" s="4" customFormat="1" ht="16" customHeight="1">
      <c r="A25" s="48"/>
      <c r="B25" s="122">
        <v>205</v>
      </c>
      <c r="C25" s="209"/>
      <c r="D25" s="210"/>
      <c r="E25" s="116">
        <v>45849</v>
      </c>
      <c r="F25" s="124" t="s">
        <v>313</v>
      </c>
      <c r="G25" s="6">
        <v>1</v>
      </c>
      <c r="H25" s="5">
        <v>50</v>
      </c>
      <c r="I25" s="96">
        <f t="shared" ref="I25:I35" si="1">G25*H25</f>
        <v>50</v>
      </c>
      <c r="W25" s="133" t="str">
        <f t="shared" ref="W25:AE35" si="2">IF($B25="", "", IF(AND($I25, $B25=W$20, $E25=W$21, $F25=W$22, SUM($I$24)&gt;0), $I25, ""))</f>
        <v/>
      </c>
      <c r="X25" s="133" t="str">
        <f t="shared" si="2"/>
        <v/>
      </c>
      <c r="Y25" s="133" t="str">
        <f t="shared" si="2"/>
        <v/>
      </c>
      <c r="Z25" s="133" t="str">
        <f t="shared" si="2"/>
        <v/>
      </c>
      <c r="AA25" s="133" t="str">
        <f t="shared" si="2"/>
        <v/>
      </c>
      <c r="AB25" s="133">
        <f t="shared" si="2"/>
        <v>50</v>
      </c>
      <c r="AC25" s="133" t="str">
        <f t="shared" si="2"/>
        <v/>
      </c>
      <c r="AD25" s="133" t="str">
        <f t="shared" si="2"/>
        <v/>
      </c>
      <c r="AE25" s="133" t="str">
        <f t="shared" si="2"/>
        <v/>
      </c>
    </row>
    <row r="26" spans="1:50" s="4" customFormat="1" ht="16" customHeight="1">
      <c r="A26" s="48"/>
      <c r="B26" s="122">
        <v>112</v>
      </c>
      <c r="C26" s="209" t="s">
        <v>326</v>
      </c>
      <c r="D26" s="210"/>
      <c r="E26" s="116">
        <v>45848</v>
      </c>
      <c r="F26" s="124" t="s">
        <v>327</v>
      </c>
      <c r="G26" s="6">
        <v>1</v>
      </c>
      <c r="H26" s="5">
        <v>1000</v>
      </c>
      <c r="I26" s="96">
        <f t="shared" si="1"/>
        <v>1000</v>
      </c>
      <c r="W26" s="133" t="str">
        <f t="shared" si="2"/>
        <v/>
      </c>
      <c r="X26" s="133" t="str">
        <f t="shared" si="2"/>
        <v/>
      </c>
      <c r="Y26" s="133" t="str">
        <f t="shared" si="2"/>
        <v/>
      </c>
      <c r="Z26" s="133">
        <f t="shared" si="2"/>
        <v>1000</v>
      </c>
      <c r="AA26" s="133" t="str">
        <f t="shared" si="2"/>
        <v/>
      </c>
      <c r="AB26" s="133" t="str">
        <f t="shared" si="2"/>
        <v/>
      </c>
      <c r="AC26" s="133" t="str">
        <f t="shared" si="2"/>
        <v/>
      </c>
      <c r="AD26" s="133" t="str">
        <f t="shared" si="2"/>
        <v/>
      </c>
      <c r="AE26" s="133" t="str">
        <f t="shared" si="2"/>
        <v/>
      </c>
    </row>
    <row r="27" spans="1:50" s="4" customFormat="1" ht="16">
      <c r="A27" s="48"/>
      <c r="B27" s="122">
        <v>204</v>
      </c>
      <c r="C27" s="209" t="s">
        <v>312</v>
      </c>
      <c r="D27" s="210"/>
      <c r="E27" s="116">
        <v>45849</v>
      </c>
      <c r="F27" s="124" t="s">
        <v>313</v>
      </c>
      <c r="G27" s="6">
        <v>1</v>
      </c>
      <c r="H27" s="5">
        <v>100</v>
      </c>
      <c r="I27" s="96">
        <f t="shared" si="1"/>
        <v>100</v>
      </c>
      <c r="W27" s="133" t="str">
        <f t="shared" si="2"/>
        <v/>
      </c>
      <c r="X27" s="133" t="str">
        <f t="shared" si="2"/>
        <v/>
      </c>
      <c r="Y27" s="133" t="str">
        <f t="shared" si="2"/>
        <v/>
      </c>
      <c r="Z27" s="133" t="str">
        <f t="shared" si="2"/>
        <v/>
      </c>
      <c r="AA27" s="133">
        <f t="shared" si="2"/>
        <v>100</v>
      </c>
      <c r="AB27" s="133" t="str">
        <f t="shared" si="2"/>
        <v/>
      </c>
      <c r="AC27" s="133" t="str">
        <f t="shared" si="2"/>
        <v/>
      </c>
      <c r="AD27" s="133" t="str">
        <f t="shared" si="2"/>
        <v/>
      </c>
      <c r="AE27" s="133" t="str">
        <f t="shared" si="2"/>
        <v/>
      </c>
    </row>
    <row r="28" spans="1:50" s="4" customFormat="1" ht="16" customHeight="1">
      <c r="A28" s="48"/>
      <c r="B28" s="122">
        <v>1</v>
      </c>
      <c r="C28" s="209" t="s">
        <v>336</v>
      </c>
      <c r="D28" s="210"/>
      <c r="E28" s="116">
        <v>45849</v>
      </c>
      <c r="F28" s="124" t="s">
        <v>5</v>
      </c>
      <c r="G28" s="6">
        <v>1</v>
      </c>
      <c r="H28" s="5">
        <v>1000</v>
      </c>
      <c r="I28" s="96">
        <f t="shared" si="1"/>
        <v>1000</v>
      </c>
      <c r="W28" s="133">
        <f t="shared" si="2"/>
        <v>1000</v>
      </c>
      <c r="X28" s="133" t="str">
        <f t="shared" si="2"/>
        <v/>
      </c>
      <c r="Y28" s="133" t="str">
        <f t="shared" si="2"/>
        <v/>
      </c>
      <c r="Z28" s="133" t="str">
        <f t="shared" si="2"/>
        <v/>
      </c>
      <c r="AA28" s="133" t="str">
        <f t="shared" si="2"/>
        <v/>
      </c>
      <c r="AB28" s="133" t="str">
        <f t="shared" si="2"/>
        <v/>
      </c>
      <c r="AC28" s="133" t="str">
        <f t="shared" si="2"/>
        <v/>
      </c>
      <c r="AD28" s="133" t="str">
        <f t="shared" si="2"/>
        <v/>
      </c>
      <c r="AE28" s="133" t="str">
        <f t="shared" si="2"/>
        <v/>
      </c>
    </row>
    <row r="29" spans="1:50" s="4" customFormat="1" ht="16" customHeight="1">
      <c r="A29" s="48"/>
      <c r="B29" s="122">
        <v>5</v>
      </c>
      <c r="C29" s="209" t="s">
        <v>312</v>
      </c>
      <c r="D29" s="210"/>
      <c r="E29" s="116">
        <v>45849</v>
      </c>
      <c r="F29" s="124" t="s">
        <v>313</v>
      </c>
      <c r="G29" s="6">
        <v>1</v>
      </c>
      <c r="H29" s="5">
        <v>100</v>
      </c>
      <c r="I29" s="96">
        <f t="shared" si="1"/>
        <v>100</v>
      </c>
      <c r="W29" s="133" t="str">
        <f t="shared" si="2"/>
        <v/>
      </c>
      <c r="X29" s="133">
        <f t="shared" si="2"/>
        <v>100</v>
      </c>
      <c r="Y29" s="133" t="str">
        <f t="shared" si="2"/>
        <v/>
      </c>
      <c r="Z29" s="133" t="str">
        <f t="shared" si="2"/>
        <v/>
      </c>
      <c r="AA29" s="133" t="str">
        <f t="shared" si="2"/>
        <v/>
      </c>
      <c r="AB29" s="133" t="str">
        <f t="shared" si="2"/>
        <v/>
      </c>
      <c r="AC29" s="133" t="str">
        <f t="shared" si="2"/>
        <v/>
      </c>
      <c r="AD29" s="133" t="str">
        <f t="shared" si="2"/>
        <v/>
      </c>
      <c r="AE29" s="133" t="str">
        <f t="shared" si="2"/>
        <v/>
      </c>
    </row>
    <row r="30" spans="1:50" s="4" customFormat="1" ht="16" customHeight="1">
      <c r="A30" s="48"/>
      <c r="B30" s="122">
        <v>6</v>
      </c>
      <c r="C30" s="209" t="s">
        <v>312</v>
      </c>
      <c r="D30" s="210"/>
      <c r="E30" s="116">
        <v>45849</v>
      </c>
      <c r="F30" s="124" t="s">
        <v>313</v>
      </c>
      <c r="G30" s="6">
        <v>1</v>
      </c>
      <c r="H30" s="5">
        <v>100</v>
      </c>
      <c r="I30" s="96">
        <f t="shared" si="1"/>
        <v>100</v>
      </c>
      <c r="W30" s="133" t="str">
        <f t="shared" si="2"/>
        <v/>
      </c>
      <c r="X30" s="133" t="str">
        <f t="shared" si="2"/>
        <v/>
      </c>
      <c r="Y30" s="133">
        <f t="shared" si="2"/>
        <v>100</v>
      </c>
      <c r="Z30" s="133" t="str">
        <f t="shared" si="2"/>
        <v/>
      </c>
      <c r="AA30" s="133" t="str">
        <f t="shared" si="2"/>
        <v/>
      </c>
      <c r="AB30" s="133" t="str">
        <f t="shared" si="2"/>
        <v/>
      </c>
      <c r="AC30" s="133" t="str">
        <f t="shared" si="2"/>
        <v/>
      </c>
      <c r="AD30" s="133" t="str">
        <f t="shared" si="2"/>
        <v/>
      </c>
      <c r="AE30" s="133" t="str">
        <f t="shared" si="2"/>
        <v/>
      </c>
    </row>
    <row r="31" spans="1:50" s="4" customFormat="1" ht="16" customHeight="1">
      <c r="A31" s="48"/>
      <c r="B31" s="122">
        <v>204</v>
      </c>
      <c r="C31" s="209" t="s">
        <v>312</v>
      </c>
      <c r="D31" s="210"/>
      <c r="E31" s="116">
        <v>45849</v>
      </c>
      <c r="F31" s="124" t="s">
        <v>313</v>
      </c>
      <c r="G31" s="6">
        <v>1</v>
      </c>
      <c r="H31" s="5">
        <v>100</v>
      </c>
      <c r="I31" s="96">
        <f t="shared" si="1"/>
        <v>100</v>
      </c>
      <c r="W31" s="133" t="str">
        <f t="shared" si="2"/>
        <v/>
      </c>
      <c r="X31" s="133" t="str">
        <f t="shared" si="2"/>
        <v/>
      </c>
      <c r="Y31" s="133" t="str">
        <f t="shared" si="2"/>
        <v/>
      </c>
      <c r="Z31" s="133" t="str">
        <f t="shared" si="2"/>
        <v/>
      </c>
      <c r="AA31" s="133">
        <f t="shared" si="2"/>
        <v>100</v>
      </c>
      <c r="AB31" s="133" t="str">
        <f t="shared" si="2"/>
        <v/>
      </c>
      <c r="AC31" s="133" t="str">
        <f t="shared" si="2"/>
        <v/>
      </c>
      <c r="AD31" s="133" t="str">
        <f t="shared" si="2"/>
        <v/>
      </c>
      <c r="AE31" s="133" t="str">
        <f t="shared" si="2"/>
        <v/>
      </c>
    </row>
    <row r="32" spans="1:50" s="4" customFormat="1" ht="16" customHeight="1">
      <c r="A32" s="48"/>
      <c r="B32" s="122">
        <v>204</v>
      </c>
      <c r="C32" s="209" t="s">
        <v>312</v>
      </c>
      <c r="D32" s="210"/>
      <c r="E32" s="116">
        <v>45849</v>
      </c>
      <c r="F32" s="124" t="s">
        <v>313</v>
      </c>
      <c r="G32" s="6">
        <v>1</v>
      </c>
      <c r="H32" s="5">
        <v>100</v>
      </c>
      <c r="I32" s="96">
        <f t="shared" si="1"/>
        <v>100</v>
      </c>
      <c r="W32" s="133" t="str">
        <f t="shared" si="2"/>
        <v/>
      </c>
      <c r="X32" s="133" t="str">
        <f t="shared" si="2"/>
        <v/>
      </c>
      <c r="Y32" s="133" t="str">
        <f t="shared" si="2"/>
        <v/>
      </c>
      <c r="Z32" s="133" t="str">
        <f t="shared" si="2"/>
        <v/>
      </c>
      <c r="AA32" s="133">
        <f t="shared" si="2"/>
        <v>100</v>
      </c>
      <c r="AB32" s="133" t="str">
        <f t="shared" si="2"/>
        <v/>
      </c>
      <c r="AC32" s="133" t="str">
        <f t="shared" si="2"/>
        <v/>
      </c>
      <c r="AD32" s="133" t="str">
        <f t="shared" si="2"/>
        <v/>
      </c>
      <c r="AE32" s="133" t="str">
        <f t="shared" si="2"/>
        <v/>
      </c>
    </row>
    <row r="33" spans="1:31" s="4" customFormat="1" ht="16" customHeight="1">
      <c r="A33" s="48"/>
      <c r="B33" s="122">
        <v>204</v>
      </c>
      <c r="C33" s="209" t="s">
        <v>312</v>
      </c>
      <c r="D33" s="210"/>
      <c r="E33" s="116">
        <v>45849</v>
      </c>
      <c r="F33" s="124" t="s">
        <v>313</v>
      </c>
      <c r="G33" s="6">
        <v>1</v>
      </c>
      <c r="H33" s="5">
        <v>100</v>
      </c>
      <c r="I33" s="96">
        <f t="shared" si="1"/>
        <v>100</v>
      </c>
      <c r="W33" s="133" t="str">
        <f t="shared" si="2"/>
        <v/>
      </c>
      <c r="X33" s="133" t="str">
        <f t="shared" si="2"/>
        <v/>
      </c>
      <c r="Y33" s="133" t="str">
        <f t="shared" si="2"/>
        <v/>
      </c>
      <c r="Z33" s="133" t="str">
        <f t="shared" si="2"/>
        <v/>
      </c>
      <c r="AA33" s="133">
        <f t="shared" si="2"/>
        <v>100</v>
      </c>
      <c r="AB33" s="133" t="str">
        <f t="shared" si="2"/>
        <v/>
      </c>
      <c r="AC33" s="133" t="str">
        <f t="shared" si="2"/>
        <v/>
      </c>
      <c r="AD33" s="133" t="str">
        <f t="shared" si="2"/>
        <v/>
      </c>
      <c r="AE33" s="133" t="str">
        <f t="shared" si="2"/>
        <v/>
      </c>
    </row>
    <row r="34" spans="1:31" s="4" customFormat="1" ht="16" customHeight="1">
      <c r="A34" s="48"/>
      <c r="B34" s="122">
        <v>204</v>
      </c>
      <c r="C34" s="209" t="s">
        <v>312</v>
      </c>
      <c r="D34" s="210"/>
      <c r="E34" s="116">
        <v>45849</v>
      </c>
      <c r="F34" s="124" t="s">
        <v>313</v>
      </c>
      <c r="G34" s="6">
        <v>1</v>
      </c>
      <c r="H34" s="5">
        <v>100</v>
      </c>
      <c r="I34" s="96">
        <f t="shared" si="1"/>
        <v>100</v>
      </c>
      <c r="W34" s="133" t="str">
        <f t="shared" si="2"/>
        <v/>
      </c>
      <c r="X34" s="133" t="str">
        <f t="shared" si="2"/>
        <v/>
      </c>
      <c r="Y34" s="133" t="str">
        <f t="shared" si="2"/>
        <v/>
      </c>
      <c r="Z34" s="133" t="str">
        <f t="shared" si="2"/>
        <v/>
      </c>
      <c r="AA34" s="133">
        <f t="shared" si="2"/>
        <v>100</v>
      </c>
      <c r="AB34" s="133" t="str">
        <f t="shared" si="2"/>
        <v/>
      </c>
      <c r="AC34" s="133" t="str">
        <f t="shared" si="2"/>
        <v/>
      </c>
      <c r="AD34" s="133" t="str">
        <f t="shared" si="2"/>
        <v/>
      </c>
      <c r="AE34" s="133" t="str">
        <f t="shared" si="2"/>
        <v/>
      </c>
    </row>
    <row r="35" spans="1:31" s="4" customFormat="1" ht="16" customHeight="1" thickBot="1">
      <c r="A35" s="48"/>
      <c r="B35" s="123"/>
      <c r="C35" s="227"/>
      <c r="D35" s="228"/>
      <c r="E35" s="66"/>
      <c r="F35" s="125"/>
      <c r="G35" s="66"/>
      <c r="H35" s="67"/>
      <c r="I35" s="97">
        <f t="shared" si="1"/>
        <v>0</v>
      </c>
      <c r="W35" s="4" t="str">
        <f t="shared" si="2"/>
        <v/>
      </c>
      <c r="X35" s="4" t="str">
        <f t="shared" si="2"/>
        <v/>
      </c>
      <c r="Y35" s="4" t="str">
        <f t="shared" si="2"/>
        <v/>
      </c>
      <c r="Z35" s="4" t="str">
        <f t="shared" si="2"/>
        <v/>
      </c>
      <c r="AA35" s="4" t="str">
        <f t="shared" si="2"/>
        <v/>
      </c>
      <c r="AB35" s="4" t="str">
        <f t="shared" si="2"/>
        <v/>
      </c>
      <c r="AC35" s="4" t="str">
        <f t="shared" si="2"/>
        <v/>
      </c>
      <c r="AD35" s="4" t="str">
        <f t="shared" si="2"/>
        <v/>
      </c>
      <c r="AE35" s="4" t="str">
        <f t="shared" si="2"/>
        <v/>
      </c>
    </row>
    <row r="36" spans="1:31" s="4" customFormat="1" ht="16" customHeight="1" thickBot="1">
      <c r="A36" s="48"/>
      <c r="B36" s="98"/>
      <c r="C36" s="68"/>
      <c r="D36" s="68"/>
      <c r="E36" s="68"/>
      <c r="F36" s="68"/>
      <c r="G36" s="69"/>
      <c r="H36" s="69"/>
      <c r="I36" s="99"/>
      <c r="W36" s="138">
        <f>IF(SUM(W24:W35), SUM(W24:W35),"")</f>
        <v>1000</v>
      </c>
      <c r="X36" s="139">
        <f t="shared" ref="X36:AE36" si="3">IF(SUM(X24:X35), SUM(X24:X35),"")</f>
        <v>100</v>
      </c>
      <c r="Y36" s="140">
        <f t="shared" si="3"/>
        <v>100</v>
      </c>
      <c r="Z36" s="140">
        <f>IF(SUM(Z24:Z35), SUM(Z24:Z35),"")</f>
        <v>1000</v>
      </c>
      <c r="AA36" s="140">
        <f t="shared" si="3"/>
        <v>600</v>
      </c>
      <c r="AB36" s="141">
        <f t="shared" si="3"/>
        <v>50</v>
      </c>
      <c r="AC36" s="141" t="str">
        <f t="shared" si="3"/>
        <v/>
      </c>
      <c r="AD36" s="141" t="str">
        <f t="shared" si="3"/>
        <v/>
      </c>
      <c r="AE36" s="141" t="str">
        <f t="shared" si="3"/>
        <v/>
      </c>
    </row>
    <row r="37" spans="1:31" s="4" customFormat="1" ht="16" customHeight="1" thickBot="1">
      <c r="A37" s="48"/>
      <c r="B37" s="100" t="s">
        <v>263</v>
      </c>
      <c r="C37" s="2"/>
      <c r="D37" s="2"/>
      <c r="E37" s="58"/>
      <c r="F37" s="59"/>
      <c r="G37" s="107" t="s">
        <v>261</v>
      </c>
      <c r="H37" s="108"/>
      <c r="I37" s="109">
        <f>SUM(I23:I35)</f>
        <v>2850</v>
      </c>
      <c r="W37" s="129" t="s">
        <v>314</v>
      </c>
      <c r="X37" s="130" t="s">
        <v>325</v>
      </c>
      <c r="Y37" s="131" t="s">
        <v>315</v>
      </c>
      <c r="Z37" s="131" t="s">
        <v>316</v>
      </c>
      <c r="AA37" s="131" t="s">
        <v>317</v>
      </c>
      <c r="AB37" s="132" t="s">
        <v>318</v>
      </c>
      <c r="AC37" s="118" t="s">
        <v>341</v>
      </c>
      <c r="AD37" s="118" t="s">
        <v>340</v>
      </c>
      <c r="AE37" s="118" t="s">
        <v>339</v>
      </c>
    </row>
    <row r="38" spans="1:31" s="4" customFormat="1" ht="16" customHeight="1" thickBot="1">
      <c r="A38" s="48"/>
      <c r="B38" s="100"/>
      <c r="C38" s="211"/>
      <c r="D38" s="211"/>
      <c r="E38" s="61"/>
      <c r="F38" s="60"/>
      <c r="G38" s="110"/>
      <c r="H38" s="57"/>
      <c r="I38" s="101"/>
    </row>
    <row r="39" spans="1:31" s="4" customFormat="1" ht="16" customHeight="1">
      <c r="A39" s="48"/>
      <c r="B39" s="100"/>
      <c r="C39" s="1"/>
      <c r="D39" s="1"/>
      <c r="E39" s="60"/>
      <c r="F39" s="60"/>
      <c r="G39" s="110" t="s">
        <v>260</v>
      </c>
      <c r="H39" s="60" t="s">
        <v>262</v>
      </c>
      <c r="I39" s="102"/>
      <c r="W39" s="229" t="s">
        <v>331</v>
      </c>
      <c r="X39" s="230"/>
      <c r="Y39" s="230"/>
      <c r="Z39" s="230"/>
      <c r="AA39" s="230"/>
      <c r="AB39" s="230"/>
      <c r="AC39" s="231"/>
    </row>
    <row r="40" spans="1:31" ht="16" customHeight="1" thickBot="1">
      <c r="A40" s="42"/>
      <c r="B40" s="100" t="s">
        <v>264</v>
      </c>
      <c r="C40" s="2"/>
      <c r="D40" s="2"/>
      <c r="E40" s="59"/>
      <c r="F40" s="59"/>
      <c r="G40" s="110" t="s">
        <v>21</v>
      </c>
      <c r="H40" s="60"/>
      <c r="I40" s="103">
        <f>SUM(I37:I39)</f>
        <v>2850</v>
      </c>
      <c r="W40" s="169" t="s">
        <v>337</v>
      </c>
      <c r="X40" s="149" t="s">
        <v>4</v>
      </c>
      <c r="Y40" s="170" t="s">
        <v>16</v>
      </c>
      <c r="Z40" s="170" t="s">
        <v>17</v>
      </c>
      <c r="AA40" s="171" t="s">
        <v>12</v>
      </c>
      <c r="AB40" s="170" t="s">
        <v>18</v>
      </c>
      <c r="AC40" s="172" t="s">
        <v>242</v>
      </c>
      <c r="AD40" s="173" t="s">
        <v>19</v>
      </c>
    </row>
    <row r="41" spans="1:31" ht="16" customHeight="1" thickBot="1">
      <c r="B41" s="104"/>
      <c r="C41" s="105"/>
      <c r="D41" s="105"/>
      <c r="E41" s="105"/>
      <c r="F41" s="105"/>
      <c r="G41" s="104"/>
      <c r="H41" s="105"/>
      <c r="I41" s="106"/>
      <c r="W41" s="165" t="str">
        <f>IF(SUM($W$24:$W$35), "#A","")</f>
        <v>#A</v>
      </c>
      <c r="X41" s="153">
        <f>IF('2499-007'!$W41="#A", W20,"")</f>
        <v>1</v>
      </c>
      <c r="Y41" s="154" t="str">
        <f>IF('2499-007'!$W41="#A", Vendor,"")</f>
        <v>Vendor</v>
      </c>
      <c r="Z41" s="155" t="str">
        <f>IF('2499-007'!$W41="#A", Sheet_PO,"")</f>
        <v>2499-007</v>
      </c>
      <c r="AA41" s="156">
        <f>IF('2499-007'!$W41="#A", W$21,"")</f>
        <v>45849</v>
      </c>
      <c r="AB41" s="155" t="str">
        <f>IF('2499-007'!$W41="#A", W$22,"")</f>
        <v>CASH</v>
      </c>
      <c r="AC41" s="157">
        <f>IF('2499-007'!$W41="#A", W$36,"")</f>
        <v>1000</v>
      </c>
      <c r="AD41" s="155" t="str">
        <f>IF('2499-007'!$W41="#A",
      INDEX('Line No'!$B$1:$B$342, MATCH('2499-007'!$X41, 'Line No'!$A$1:$A$342, 0)),
      "")</f>
        <v>Line Producer</v>
      </c>
    </row>
    <row r="42" spans="1:31" ht="16" customHeight="1">
      <c r="W42" s="166" t="str">
        <f>IF(SUM($X$24:$X$34), "#B", "")</f>
        <v>#B</v>
      </c>
      <c r="X42" s="158">
        <f>IF('2499-007'!$W42="#B", X20,"")</f>
        <v>5</v>
      </c>
      <c r="Y42" s="158" t="str">
        <f>IF('2499-007'!$W42="#B", Vendor,"")</f>
        <v>Vendor</v>
      </c>
      <c r="Z42" s="158" t="str">
        <f>IF('2499-007'!$W42="#B", Sheet_PO,"")</f>
        <v>2499-007</v>
      </c>
      <c r="AA42" s="159">
        <f>IF('2499-007'!$W42="#B", X21,"")</f>
        <v>45849</v>
      </c>
      <c r="AB42" s="158" t="str">
        <f>IF('2499-007'!$W42="#B", X22,"")</f>
        <v>CC 2456</v>
      </c>
      <c r="AC42" s="160">
        <f>IF('2499-007'!$W42="#B", X36,"")</f>
        <v>100</v>
      </c>
      <c r="AD42" s="158" t="str">
        <f>IF('2499-007'!$W42="#B",
      INDEX('Line No'!$B$1:$B$342, MATCH('2499-007'!$X42, 'Line No'!$A$1:$A$342, 0)),
      "")</f>
        <v>1st AC</v>
      </c>
    </row>
    <row r="43" spans="1:31" ht="16" customHeight="1">
      <c r="G43" s="73"/>
      <c r="H43" s="73"/>
      <c r="I43" s="73"/>
      <c r="W43" s="167" t="str">
        <f>IF(SUM($Y$24:$Y$34), "#C", "")</f>
        <v>#C</v>
      </c>
      <c r="X43" s="155">
        <f>IF('2499-007'!$W43="#C", Y20,"")</f>
        <v>6</v>
      </c>
      <c r="Y43" s="154" t="str">
        <f>IF('2499-007'!$W43="#C", Vendor,"")</f>
        <v>Vendor</v>
      </c>
      <c r="Z43" s="155" t="str">
        <f>IF('2499-007'!$W43="#C", Sheet_PO,"")</f>
        <v>2499-007</v>
      </c>
      <c r="AA43" s="156">
        <f>IF('2499-007'!$W43="#C", Y21,"")</f>
        <v>45849</v>
      </c>
      <c r="AB43" s="155" t="str">
        <f>IF('2499-007'!$W43="#C", Y22,"")</f>
        <v>CC 2456</v>
      </c>
      <c r="AC43" s="157">
        <f>IF('2499-007'!$W43="#C", Y36,"")</f>
        <v>100</v>
      </c>
      <c r="AD43" s="155" t="str">
        <f>IF('2499-007'!$W43="#C",
      INDEX('Line No'!$B$1:$B$342, MATCH('2499-007'!$X43, 'Line No'!$A$1:$A$342, 0)),
      "")</f>
        <v>2nd AC</v>
      </c>
    </row>
    <row r="44" spans="1:31" ht="16" customHeight="1">
      <c r="G44" s="73"/>
      <c r="H44" s="128"/>
      <c r="I44" s="73"/>
      <c r="W44" s="168" t="str">
        <f>IF(SUM($Z$24:$Z$34), "#D", "")</f>
        <v>#D</v>
      </c>
      <c r="X44" s="158">
        <f>IF('2499-007'!$W44="#D", Z20,"")</f>
        <v>112</v>
      </c>
      <c r="Y44" s="158" t="str">
        <f>IF('2499-007'!$W44="#D", Vendor,"")</f>
        <v>Vendor</v>
      </c>
      <c r="Z44" s="158" t="str">
        <f>IF('2499-007'!$W44="#D", Sheet_PO,"")</f>
        <v>2499-007</v>
      </c>
      <c r="AA44" s="159">
        <f>IF('2499-007'!$W44="#D", Z21,"")</f>
        <v>45848</v>
      </c>
      <c r="AB44" s="158" t="str">
        <f>IF('2499-007'!$W44="#D", Z22,"")</f>
        <v>CHK 101</v>
      </c>
      <c r="AC44" s="160">
        <f>IF('2499-007'!$W44="#D", Z36,"")</f>
        <v>1000</v>
      </c>
      <c r="AD44" s="158" t="str">
        <f>IF('2499-007'!$W44="#D",
      INDEX('Line No'!$B$1:$B$342, MATCH('2499-007'!$X44, 'Line No'!$A$1:$A$342, 0)),
      "")</f>
        <v>Pre Pro Meals</v>
      </c>
    </row>
    <row r="45" spans="1:31" ht="16" customHeight="1">
      <c r="C45" s="142"/>
      <c r="D45" s="142"/>
      <c r="E45" s="142"/>
      <c r="F45" s="142"/>
      <c r="G45" s="74"/>
      <c r="H45" s="74"/>
      <c r="I45" s="75"/>
      <c r="W45" s="167" t="str">
        <f>IF(SUM($AA$24:$AA$34), "#E", "")</f>
        <v>#E</v>
      </c>
      <c r="X45" s="155">
        <f>IF('2499-007'!$W45="#E", AA20,"")</f>
        <v>204</v>
      </c>
      <c r="Y45" s="154" t="str">
        <f>IF('2499-007'!$W45="#E", Vendor,"")</f>
        <v>Vendor</v>
      </c>
      <c r="Z45" s="155" t="str">
        <f>IF('2499-007'!$W45="#E", Sheet_PO,"")</f>
        <v>2499-007</v>
      </c>
      <c r="AA45" s="156">
        <f>IF('2499-007'!$W45="#E", AA21,"")</f>
        <v>45849</v>
      </c>
      <c r="AB45" s="155" t="str">
        <f>IF('2499-007'!$W45="#E", AA22,"")</f>
        <v>CC 2456</v>
      </c>
      <c r="AC45" s="157">
        <f>IF('2499-007'!$W45="#E", AA36,"")</f>
        <v>600</v>
      </c>
      <c r="AD45" s="155" t="str">
        <f>IF('2499-007'!$W45="#E",
      INDEX('Line No'!$B$1:$B$342, MATCH('2499-007'!$X45, 'Line No'!$A$1:$A$342, 0)),
      "")</f>
        <v>Production Supplies</v>
      </c>
    </row>
    <row r="46" spans="1:31" ht="16" customHeight="1">
      <c r="W46" s="168" t="str">
        <f>IF(SUM($AB$24:$AB$34), "#F", "")</f>
        <v>#F</v>
      </c>
      <c r="X46" s="158">
        <f>IF('2499-007'!$W46="#F", AB20,"")</f>
        <v>205</v>
      </c>
      <c r="Y46" s="158" t="str">
        <f>IF('2499-007'!$W46="#F", Vendor,"")</f>
        <v>Vendor</v>
      </c>
      <c r="Z46" s="158" t="str">
        <f>IF('2499-007'!$W46="#F", Sheet_PO,"")</f>
        <v>2499-007</v>
      </c>
      <c r="AA46" s="159">
        <f>IF('2499-007'!$W46="#F", AB21,"")</f>
        <v>45849</v>
      </c>
      <c r="AB46" s="158" t="str">
        <f>IF('2499-007'!$W46="#F", AB22,"")</f>
        <v>CC 2456</v>
      </c>
      <c r="AC46" s="160">
        <f>IF('2499-007'!$W46="#F", AB36,"")</f>
        <v>50</v>
      </c>
      <c r="AD46" s="158" t="str">
        <f>IF('2499-007'!$W46="#F",
      INDEX('Line No'!$B$1:$B$342, MATCH('2499-007'!$X46, 'Line No'!$A$1:$A$342, 0)),
      "")</f>
        <v>Location Supplies</v>
      </c>
    </row>
    <row r="47" spans="1:31" ht="16" customHeight="1">
      <c r="W47" s="167" t="str">
        <f>IF(SUM($AC$24:$AC$34), "#G", "")</f>
        <v/>
      </c>
      <c r="X47" s="155" t="str">
        <f>IF('2499-007'!$W47="#G", AC20,"")</f>
        <v/>
      </c>
      <c r="Y47" s="154" t="str">
        <f>IF('2499-007'!$W47="#G", Vendor,"")</f>
        <v/>
      </c>
      <c r="Z47" s="155" t="str">
        <f>IF('2499-007'!$W47="#G", Sheet_PO,"")</f>
        <v/>
      </c>
      <c r="AA47" s="161" t="str">
        <f>IF('2499-007'!$W47="#G", AC21,"")</f>
        <v/>
      </c>
      <c r="AB47" s="162" t="str">
        <f>IF('2499-007'!$W47="#G", AC22,"")</f>
        <v/>
      </c>
      <c r="AC47" s="157" t="str">
        <f>IF('2499-007'!$W47="#G", AC36,"")</f>
        <v/>
      </c>
      <c r="AD47" s="155" t="str">
        <f>IF('2499-007'!$W47="#G",
      INDEX('Line No'!$B$1:$B$342, MATCH('2499-007'!$X47, 'Line No'!$A$1:$A$342, 0)),
      "")</f>
        <v/>
      </c>
    </row>
    <row r="48" spans="1:31" ht="16" customHeight="1">
      <c r="W48" s="168" t="str">
        <f>IF(SUM($AD$24:$AD$34), "#H", "")</f>
        <v/>
      </c>
      <c r="X48" s="158" t="str">
        <f>IF('2499-007'!$W48="#H", AD20,"")</f>
        <v/>
      </c>
      <c r="Y48" s="158" t="str">
        <f>IF('2499-007'!$W48="#H", Vendor,"")</f>
        <v/>
      </c>
      <c r="Z48" s="158" t="str">
        <f>IF('2499-007'!$W48="#H", Sheet_PO,"")</f>
        <v/>
      </c>
      <c r="AA48" s="163" t="str">
        <f>IF('2499-007'!$W48="#H", AE21,"")</f>
        <v/>
      </c>
      <c r="AB48" s="164" t="str">
        <f>IF('2499-007'!$W48="#H", AE22,"")</f>
        <v/>
      </c>
      <c r="AC48" s="160" t="str">
        <f>IF('2499-007'!$W48="#H", AE36,"")</f>
        <v/>
      </c>
      <c r="AD48" s="158" t="str">
        <f>IF('2499-007'!$W48="#H",
      INDEX('Line No'!$B$1:$B$342, MATCH('2499-007'!$X48, 'Line No'!$A$1:$A$342, 0)),
      "")</f>
        <v/>
      </c>
    </row>
    <row r="49" spans="22:30" ht="16" customHeight="1">
      <c r="V49" s="1" cm="1">
        <f t="array" ref="V49">SUMPRODUCT(--(W41:W49&lt;&gt;""))</f>
        <v>6</v>
      </c>
      <c r="W49" s="167" t="str">
        <f>IF(SUM($AE$24:$AE$34), "#OTHER", "")</f>
        <v/>
      </c>
      <c r="X49" s="155" t="str">
        <f>IF('2499-007'!$W49="#I", AE20,"")</f>
        <v/>
      </c>
      <c r="Y49" s="154" t="str">
        <f>IF('2499-007'!$W49="#I", Vendor,"")</f>
        <v/>
      </c>
      <c r="Z49" s="155" t="str">
        <f>IF('2499-007'!$W49="#I", Sheet_PO,"")</f>
        <v/>
      </c>
      <c r="AA49" s="161" t="str">
        <f>IF('2499-007'!$W49="#I", AF21,"")</f>
        <v/>
      </c>
      <c r="AB49" s="162" t="str">
        <f>IF('2499-007'!$W49="#I", AF22,"")</f>
        <v/>
      </c>
      <c r="AC49" s="157" t="str">
        <f>IF('2499-007'!$W49="#I", AF36,"")</f>
        <v/>
      </c>
      <c r="AD49" s="155" t="str">
        <f>IF('2499-007'!$W49="#I",
      INDEX('Line No'!$B$1:$B$342, MATCH('2499-007'!$X49, 'Line No'!$A$1:$A$342, 0)),
      "")</f>
        <v/>
      </c>
    </row>
    <row r="50" spans="22:30" ht="16" customHeight="1">
      <c r="W50" s="174"/>
      <c r="X50" s="174"/>
      <c r="Y50" s="175"/>
      <c r="Z50" s="174"/>
      <c r="AA50" s="174"/>
      <c r="AB50" s="174"/>
      <c r="AC50" s="176"/>
      <c r="AD50" s="174"/>
    </row>
  </sheetData>
  <sheetProtection formatCells="0" formatColumns="0" formatRows="0" insertColumns="0" insertRows="0" deleteRows="0" selectLockedCells="1"/>
  <mergeCells count="42">
    <mergeCell ref="C33:D33"/>
    <mergeCell ref="C34:D34"/>
    <mergeCell ref="C35:D35"/>
    <mergeCell ref="C38:D38"/>
    <mergeCell ref="W39:AC39"/>
    <mergeCell ref="C27:D27"/>
    <mergeCell ref="C28:D28"/>
    <mergeCell ref="C29:D29"/>
    <mergeCell ref="C30:D30"/>
    <mergeCell ref="C31:D31"/>
    <mergeCell ref="C32:D32"/>
    <mergeCell ref="AL20:AQ20"/>
    <mergeCell ref="B22:I22"/>
    <mergeCell ref="C23:D23"/>
    <mergeCell ref="C24:D24"/>
    <mergeCell ref="C25:D25"/>
    <mergeCell ref="C26:D26"/>
    <mergeCell ref="C14:D14"/>
    <mergeCell ref="F14:I14"/>
    <mergeCell ref="C18:E18"/>
    <mergeCell ref="F18:I18"/>
    <mergeCell ref="C19:E19"/>
    <mergeCell ref="F19:I19"/>
    <mergeCell ref="C10:D10"/>
    <mergeCell ref="F10:I10"/>
    <mergeCell ref="C11:D11"/>
    <mergeCell ref="C12:D12"/>
    <mergeCell ref="C13:D13"/>
    <mergeCell ref="F13:I13"/>
    <mergeCell ref="C5:D5"/>
    <mergeCell ref="E5:H6"/>
    <mergeCell ref="C6:D6"/>
    <mergeCell ref="B7:C7"/>
    <mergeCell ref="D7:E7"/>
    <mergeCell ref="C9:D9"/>
    <mergeCell ref="F9:I9"/>
    <mergeCell ref="G1:I1"/>
    <mergeCell ref="B2:C2"/>
    <mergeCell ref="D2:G2"/>
    <mergeCell ref="G3:I3"/>
    <mergeCell ref="J3:W3"/>
    <mergeCell ref="B4:G4"/>
  </mergeCells>
  <conditionalFormatting sqref="AD41:AD49">
    <cfRule type="containsText" dxfId="3" priority="1" operator="containsText" text="zzzz">
      <formula>NOT(ISERROR(SEARCH("zzzz",AD41)))</formula>
    </cfRule>
  </conditionalFormatting>
  <printOptions horizontalCentered="1"/>
  <pageMargins left="0.75" right="0.75" top="0.5" bottom="0.5" header="0.5" footer="0.5"/>
  <pageSetup scale="81" orientation="portrait" r:id="rId1"/>
  <headerFooter alignWithMargins="0"/>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1CAB9C-5C7D-E841-A106-847CEC6E620E}">
  <sheetPr codeName="Sheet16">
    <pageSetUpPr fitToPage="1"/>
  </sheetPr>
  <dimension ref="A1:AX50"/>
  <sheetViews>
    <sheetView zoomScale="75" zoomScaleNormal="100" workbookViewId="0">
      <selection activeCell="R16" sqref="R16"/>
    </sheetView>
    <sheetView topLeftCell="H27" workbookViewId="1"/>
  </sheetViews>
  <sheetFormatPr baseColWidth="10" defaultColWidth="8.83203125" defaultRowHeight="14"/>
  <cols>
    <col min="1" max="1" width="0.83203125" style="1" customWidth="1"/>
    <col min="2" max="2" width="10.1640625" style="1" customWidth="1"/>
    <col min="3" max="3" width="14.6640625" style="1" customWidth="1"/>
    <col min="4" max="4" width="10.1640625" style="1" customWidth="1"/>
    <col min="5" max="5" width="13.5" style="1" customWidth="1"/>
    <col min="6" max="6" width="11.6640625" style="1" bestFit="1" customWidth="1"/>
    <col min="7" max="7" width="10.1640625" style="1" customWidth="1"/>
    <col min="8" max="8" width="18.83203125" style="1" customWidth="1"/>
    <col min="9" max="9" width="13.33203125" style="1" customWidth="1"/>
    <col min="10" max="11" width="5.83203125" style="1" customWidth="1"/>
    <col min="12" max="12" width="6.33203125" style="1" customWidth="1"/>
    <col min="13" max="13" width="6.1640625" style="1" customWidth="1"/>
    <col min="14" max="14" width="5.6640625" style="1" customWidth="1"/>
    <col min="15" max="15" width="5.33203125" style="1" customWidth="1"/>
    <col min="16" max="16" width="5.6640625" style="1" customWidth="1"/>
    <col min="17" max="18" width="5" style="1" customWidth="1"/>
    <col min="19" max="21" width="5.83203125" style="1" customWidth="1"/>
    <col min="22" max="22" width="6.1640625" style="1" customWidth="1"/>
    <col min="23" max="23" width="13.6640625" style="1" customWidth="1"/>
    <col min="24" max="24" width="8" style="1" customWidth="1"/>
    <col min="25" max="25" width="10.33203125" style="1" customWidth="1"/>
    <col min="26" max="26" width="11.83203125" style="1" customWidth="1"/>
    <col min="27" max="27" width="11" style="1" customWidth="1"/>
    <col min="28" max="29" width="11.83203125" style="1" customWidth="1"/>
    <col min="30" max="30" width="23.33203125" style="1" customWidth="1"/>
    <col min="31" max="31" width="8.83203125" style="1"/>
    <col min="32" max="32" width="3.33203125" style="1" customWidth="1"/>
    <col min="33" max="33" width="5.1640625" style="1" customWidth="1"/>
    <col min="34" max="37" width="8.83203125" style="1"/>
    <col min="38" max="38" width="8.83203125" style="1" customWidth="1"/>
    <col min="39" max="16384" width="8.83203125" style="1"/>
  </cols>
  <sheetData>
    <row r="1" spans="1:47" ht="45" customHeight="1">
      <c r="A1" s="41"/>
      <c r="B1" s="143" t="s">
        <v>258</v>
      </c>
      <c r="C1" s="143"/>
      <c r="D1" s="143"/>
      <c r="E1" s="143"/>
      <c r="G1" s="234"/>
      <c r="H1" s="234"/>
      <c r="I1" s="235"/>
      <c r="J1" s="185"/>
      <c r="K1" s="185"/>
      <c r="L1" s="185"/>
      <c r="M1" s="185"/>
      <c r="N1" s="185"/>
      <c r="O1" s="185"/>
      <c r="P1" s="185"/>
      <c r="Q1" s="185"/>
      <c r="R1" s="185"/>
      <c r="S1" s="185"/>
      <c r="T1" s="185"/>
      <c r="U1" s="185"/>
      <c r="V1" s="185"/>
      <c r="W1" s="185"/>
      <c r="X1" s="185"/>
      <c r="Y1" s="185"/>
      <c r="Z1" s="185"/>
      <c r="AA1" s="185"/>
      <c r="AB1" s="185"/>
      <c r="AC1" s="185"/>
      <c r="AD1" s="185"/>
      <c r="AE1" s="185"/>
      <c r="AF1" s="185"/>
      <c r="AG1" s="185"/>
      <c r="AH1" s="185"/>
      <c r="AI1" s="186" t="s">
        <v>321</v>
      </c>
      <c r="AJ1" s="185"/>
      <c r="AK1" s="185"/>
      <c r="AL1" s="185"/>
      <c r="AM1" s="185"/>
      <c r="AN1" s="185"/>
      <c r="AO1" s="185"/>
      <c r="AP1" s="185"/>
      <c r="AQ1" s="185"/>
      <c r="AR1" s="185"/>
      <c r="AS1" s="185"/>
      <c r="AT1" s="185"/>
      <c r="AU1" s="185"/>
    </row>
    <row r="2" spans="1:47" ht="12.75" customHeight="1">
      <c r="A2" s="42"/>
      <c r="B2" s="236"/>
      <c r="C2" s="237"/>
      <c r="D2" s="238"/>
      <c r="E2" s="238"/>
      <c r="F2" s="238"/>
      <c r="G2" s="238"/>
      <c r="I2" s="76"/>
      <c r="J2" s="185"/>
      <c r="K2" s="185"/>
      <c r="L2" s="185"/>
      <c r="M2" s="185"/>
      <c r="N2" s="185"/>
      <c r="O2" s="185"/>
      <c r="P2" s="185"/>
      <c r="Q2" s="185"/>
      <c r="R2" s="185"/>
      <c r="S2" s="185"/>
      <c r="T2" s="185"/>
      <c r="U2" s="185"/>
      <c r="V2" s="185"/>
      <c r="W2" s="185"/>
      <c r="X2" s="185"/>
      <c r="Y2" s="185"/>
      <c r="Z2" s="185"/>
      <c r="AA2" s="185"/>
      <c r="AB2" s="185"/>
      <c r="AC2" s="185"/>
      <c r="AD2" s="186" t="s">
        <v>323</v>
      </c>
      <c r="AE2" s="185"/>
      <c r="AF2" s="185"/>
      <c r="AG2" s="185"/>
      <c r="AH2" s="185"/>
      <c r="AI2" s="185" t="s">
        <v>322</v>
      </c>
      <c r="AJ2" s="185"/>
      <c r="AK2" s="185"/>
      <c r="AL2" s="185"/>
      <c r="AM2" s="185"/>
      <c r="AN2" s="185"/>
      <c r="AO2" s="185"/>
      <c r="AP2" s="185"/>
      <c r="AQ2" s="185"/>
      <c r="AR2" s="185"/>
      <c r="AS2" s="185"/>
      <c r="AT2" s="185"/>
      <c r="AU2" s="185"/>
    </row>
    <row r="3" spans="1:47" ht="22">
      <c r="A3" s="42"/>
      <c r="B3" s="77" t="s">
        <v>14</v>
      </c>
      <c r="C3" s="43"/>
      <c r="D3" s="44"/>
      <c r="E3" s="44"/>
      <c r="F3" s="45" t="s">
        <v>13</v>
      </c>
      <c r="G3" s="239" t="s">
        <v>348</v>
      </c>
      <c r="H3" s="239"/>
      <c r="I3" s="240"/>
      <c r="J3" s="232"/>
      <c r="K3" s="233"/>
      <c r="L3" s="233"/>
      <c r="M3" s="233"/>
      <c r="N3" s="233"/>
      <c r="O3" s="233"/>
      <c r="P3" s="233"/>
      <c r="Q3" s="233"/>
      <c r="R3" s="233"/>
      <c r="S3" s="233"/>
      <c r="T3" s="233"/>
      <c r="U3" s="233"/>
      <c r="V3" s="233"/>
      <c r="W3" s="233"/>
      <c r="X3" s="115" t="s">
        <v>308</v>
      </c>
      <c r="Y3" s="117" t="s">
        <v>309</v>
      </c>
      <c r="Z3" s="117" t="s">
        <v>310</v>
      </c>
      <c r="AA3" s="117" t="s">
        <v>311</v>
      </c>
      <c r="AD3" s="115" t="s">
        <v>319</v>
      </c>
      <c r="AM3" s="1" t="s">
        <v>324</v>
      </c>
      <c r="AR3" s="185"/>
      <c r="AS3" s="185"/>
      <c r="AT3" s="185"/>
      <c r="AU3" s="185"/>
    </row>
    <row r="4" spans="1:47" s="3" customFormat="1" ht="29" customHeight="1">
      <c r="A4" s="46"/>
      <c r="B4" s="241"/>
      <c r="C4" s="242"/>
      <c r="D4" s="242"/>
      <c r="E4" s="242"/>
      <c r="F4" s="242"/>
      <c r="G4" s="242"/>
      <c r="H4" s="47"/>
      <c r="I4" s="78"/>
      <c r="J4" s="187"/>
      <c r="K4" s="187"/>
      <c r="L4" s="187"/>
      <c r="M4" s="187"/>
      <c r="N4" s="187"/>
      <c r="O4" s="187"/>
      <c r="P4" s="187"/>
      <c r="Q4" s="187"/>
      <c r="R4" s="187"/>
      <c r="S4" s="187"/>
      <c r="T4" s="187"/>
      <c r="U4" s="187"/>
      <c r="V4" s="187"/>
      <c r="W4" s="187"/>
      <c r="X4" s="4" cm="1">
        <f t="array" ref="X4:X9">IFERROR(
INDEX(
_xlfn._xlws.FILTER(
_xlfn.UNIQUE(
LineEntryOLD2,
),_xlfn.UNIQUE(
LineEntryOLD2,
)&lt;&gt;0
),_xlfn.SEQUENCE(6,1)
),"")</f>
        <v>204</v>
      </c>
      <c r="Y4" s="4" cm="1">
        <f t="array" ref="Y4">SUMPRODUCT(--(TRIM(X4:X12)&lt;&gt;""))</f>
        <v>6</v>
      </c>
      <c r="Z4" s="4" t="str" cm="1">
        <f t="array" ref="Z4:Z6">_xlfn._xlws.SORT(INDEX(AF7:AF16, 1):INDEX(AF7:AF9, AG7), 1, TRUE)</f>
        <v>CASH</v>
      </c>
      <c r="AA4" s="4" t="str" cm="1">
        <f t="array" ref="AA4">IF(Z4="","",IFERROR(INDEX(Description, MATCH(Z4, LINEOld, 0)), "Not Found"))</f>
        <v>Not Found</v>
      </c>
      <c r="AD4" s="120" cm="1">
        <f t="array" ref="AD4:AF9">IFERROR(
    INDEX(
        _xlfn._xlws.FILTER(
            _xlfn.UNIQUE(_xlfn.HSTACK(LineEntryOLD2, DateEntryOld, PayIDEntryOld2)),
            _xlfn.BYROW(_xlfn.UNIQUE(_xlfn.HSTACK(LineEntryOLD2, DateEntryOld, PayIDEntryOld2)), _xlfn.LAMBDA(_xlpm.row, SUM(_xlpm.row)&lt;&gt;0))
        ),
        _xlfn.SEQUENCE(6,1),
        {1,2,3}
    ),
    ""
)</f>
        <v>204</v>
      </c>
      <c r="AE4" s="126">
        <v>45849</v>
      </c>
      <c r="AF4" s="120" t="str">
        <v>CC 2456</v>
      </c>
      <c r="AM4" s="148" t="s">
        <v>335</v>
      </c>
      <c r="AO4" s="3" t="str" cm="1">
        <f t="array" ref="AO4">IFERROR(
    _xlfn.WRAPCOLS(
        INDEX(
            _xlfn._xlws.FILTER(
                _xlfn.UNIQUE(_xlfn.HSTACK(LineEntryOLD2, DateEntryOld, PayIDEntryOld2)),
                _xlfn.BYROW(_xlfn.UNIQUE(_xlfn.HSTACK(LineEntryOLD2, DateEntryOld, PayIDEntryOld2)), _xlfn.LAMBDA(_xlpm.row, SUM(_xlpm.row)&lt;&gt;0))
            ),
            _xlfn.SEQUENCE(6,1),
            {1,2,3}
        ),
        3
    ),
    ""
)</f>
        <v/>
      </c>
      <c r="AQ4" s="3" t="e" cm="1" vm="1">
        <f t="array" aca="1" ref="AQ4" ca="1">IFERROR(
    _xlfn.WRAPCOLS(
        _xlfn.TOCOL(
            INDEX(
                _xlfn._xlws.FILTER(
                    _xlfn.UNIQUE(_xlfn.HSTACK(LineEntryOLD2, DateEntryOld, PayIDEntryOld2)),
                    _xlfn.BYROW(_xlfn.UNIQUE(_xlfn.HSTACK(LineEntryOLD2, DateEntryOld, PayIDEntryOld2)), _xlfn.LAMBDA(_xlpm.row, SUM(_xlpm.row)&lt;&gt;0))
                ),
                _xlfn.SEQUENCE(6,1),
                {1,2,3}
            )
        ),
        3
    ),
    ""
)</f>
        <v>#VALUE!</v>
      </c>
      <c r="AR4" s="187">
        <v>205</v>
      </c>
      <c r="AS4" s="187">
        <v>112</v>
      </c>
      <c r="AT4" s="187">
        <v>1</v>
      </c>
      <c r="AU4" s="187"/>
    </row>
    <row r="5" spans="1:47" s="4" customFormat="1" ht="16" customHeight="1">
      <c r="A5" s="48"/>
      <c r="B5" s="79" t="s">
        <v>259</v>
      </c>
      <c r="C5" s="247"/>
      <c r="D5" s="248"/>
      <c r="E5" s="243"/>
      <c r="F5" s="243"/>
      <c r="G5" s="243"/>
      <c r="H5" s="243"/>
      <c r="I5" s="80"/>
      <c r="J5" s="188"/>
      <c r="K5" s="188"/>
      <c r="L5" s="188"/>
      <c r="M5" s="188"/>
      <c r="N5" s="188"/>
      <c r="O5" s="188"/>
      <c r="P5" s="188"/>
      <c r="Q5" s="188"/>
      <c r="R5" s="188"/>
      <c r="S5" s="188"/>
      <c r="T5" s="188"/>
      <c r="U5" s="188"/>
      <c r="V5" s="188"/>
      <c r="W5" s="188"/>
      <c r="X5" s="4">
        <v>205</v>
      </c>
      <c r="Z5" s="4" t="str">
        <v>CC 2456</v>
      </c>
      <c r="AA5" s="4" t="str" cm="1">
        <f t="array" ref="AA5">IF(Z5="","",IFERROR(INDEX(Description, MATCH(Z5, LINEOld, 0)), "Not Found"))</f>
        <v>Not Found</v>
      </c>
      <c r="AD5" s="121">
        <v>205</v>
      </c>
      <c r="AE5" s="127">
        <v>45849</v>
      </c>
      <c r="AF5" s="121" t="str">
        <v>CC 2456</v>
      </c>
      <c r="AH5" t="e" cm="1">
        <f t="array" ref="AH5">_xlfn._xlws.FILTER(_xlfn.UNIQUE(_xlfn.HSTACK(LineEntryOLD2, DateEntryOld, PayIDEntryOld2)), _xlfn.UNIQUE(_xlfn.HSTACK(LineEntryOLD2, DateEntryOld, PayIDEntryOld2))&lt;&gt;0)</f>
        <v>#VALUE!</v>
      </c>
      <c r="AR5" s="188">
        <v>45849</v>
      </c>
      <c r="AS5" s="188">
        <v>45848</v>
      </c>
      <c r="AT5" s="188">
        <v>45849</v>
      </c>
      <c r="AU5" s="188"/>
    </row>
    <row r="6" spans="1:47" s="4" customFormat="1" ht="16">
      <c r="A6" s="48"/>
      <c r="B6" s="81"/>
      <c r="C6" s="249"/>
      <c r="D6" s="250"/>
      <c r="E6" s="243"/>
      <c r="F6" s="243"/>
      <c r="G6" s="243"/>
      <c r="H6" s="243"/>
      <c r="I6" s="82"/>
      <c r="J6" s="188"/>
      <c r="K6" s="188"/>
      <c r="L6" s="188"/>
      <c r="M6" s="188"/>
      <c r="N6" s="188"/>
      <c r="O6" s="188"/>
      <c r="P6" s="188"/>
      <c r="Q6" s="188"/>
      <c r="R6" s="188"/>
      <c r="S6" s="188"/>
      <c r="T6" s="188"/>
      <c r="U6" s="188"/>
      <c r="V6" s="188"/>
      <c r="W6" s="188"/>
      <c r="X6" s="4">
        <v>112</v>
      </c>
      <c r="Z6" s="4" t="str">
        <v>CC 2456</v>
      </c>
      <c r="AA6" s="4" t="str" cm="1">
        <f t="array" ref="AA6">IF(Z6="","",IFERROR(INDEX(Description, MATCH(Z6, LINEOld, 0)), "Not Found"))</f>
        <v>Not Found</v>
      </c>
      <c r="AD6" s="121">
        <v>112</v>
      </c>
      <c r="AE6" s="127">
        <v>45848</v>
      </c>
      <c r="AF6" s="121" t="str">
        <v>CHK 101</v>
      </c>
      <c r="AR6" s="188" t="s">
        <v>313</v>
      </c>
      <c r="AS6" s="188" t="s">
        <v>327</v>
      </c>
      <c r="AT6" s="188" t="s">
        <v>5</v>
      </c>
      <c r="AU6" s="188"/>
    </row>
    <row r="7" spans="1:47" s="4" customFormat="1" ht="16">
      <c r="A7" s="48"/>
      <c r="B7" s="244"/>
      <c r="C7" s="245"/>
      <c r="D7" s="246"/>
      <c r="E7" s="246"/>
      <c r="F7" s="51"/>
      <c r="G7" s="51"/>
      <c r="H7" s="51"/>
      <c r="I7" s="84"/>
      <c r="J7" s="188"/>
      <c r="K7" s="188"/>
      <c r="L7" s="188"/>
      <c r="M7" s="188"/>
      <c r="N7" s="188"/>
      <c r="O7" s="188"/>
      <c r="P7" s="188"/>
      <c r="Q7" s="188"/>
      <c r="R7" s="188"/>
      <c r="S7" s="188"/>
      <c r="T7" s="188"/>
      <c r="U7" s="188"/>
      <c r="V7" s="188"/>
      <c r="W7" s="188"/>
      <c r="X7" s="4">
        <v>1</v>
      </c>
      <c r="AA7" s="4" t="str" cm="1">
        <f t="array" ref="AA7">IF(Z7="","",IFERROR(INDEX(Description, MATCH(Z7, LINEOld, 0)), "Not Found"))</f>
        <v/>
      </c>
      <c r="AD7" s="121">
        <v>1</v>
      </c>
      <c r="AE7" s="127">
        <v>45849</v>
      </c>
      <c r="AF7" s="121" t="str">
        <v>CASH</v>
      </c>
      <c r="AR7" s="188"/>
      <c r="AS7" s="188"/>
      <c r="AT7" s="188"/>
      <c r="AU7" s="188"/>
    </row>
    <row r="8" spans="1:47" s="4" customFormat="1" ht="16">
      <c r="A8" s="48"/>
      <c r="B8" s="83"/>
      <c r="C8" s="49"/>
      <c r="D8" s="50"/>
      <c r="E8" s="50"/>
      <c r="F8" s="51"/>
      <c r="G8" s="51"/>
      <c r="H8" s="51"/>
      <c r="I8" s="84"/>
      <c r="J8" s="188"/>
      <c r="K8" s="188"/>
      <c r="L8" s="188"/>
      <c r="M8" s="188"/>
      <c r="N8" s="188"/>
      <c r="O8" s="188"/>
      <c r="P8" s="188"/>
      <c r="Q8" s="188"/>
      <c r="R8" s="188"/>
      <c r="S8" s="188"/>
      <c r="T8" s="188"/>
      <c r="U8" s="188"/>
      <c r="V8" s="188"/>
      <c r="W8" s="188"/>
      <c r="X8" s="4">
        <v>5</v>
      </c>
      <c r="AA8" s="4" t="str" cm="1">
        <f t="array" ref="AA8">IF(Z8="","",IFERROR(INDEX(Description, MATCH(Z8, LINEOld, 0)), "Not Found"))</f>
        <v/>
      </c>
      <c r="AD8" s="121">
        <v>5</v>
      </c>
      <c r="AE8" s="127">
        <v>45849</v>
      </c>
      <c r="AF8" s="121" t="str">
        <v>CC 2456</v>
      </c>
      <c r="AR8" s="188"/>
      <c r="AS8" s="188"/>
      <c r="AT8" s="188"/>
      <c r="AU8" s="188"/>
    </row>
    <row r="9" spans="1:47" s="4" customFormat="1" ht="16">
      <c r="A9" s="48"/>
      <c r="B9" s="85" t="s">
        <v>12</v>
      </c>
      <c r="C9" s="251" t="str">
        <f>IFERROR(
    IF(ISNUMBER(MATCH(Sheet_PO,#REF!, 0)),
       IF(INDEX(#REF!, MATCH(Sheet_PO,#REF!, 0)) = "", "",
          INDEX(#REF!, MATCH(Sheet_PO,#REF!, 0))),
       ""),
    "No match found")</f>
        <v/>
      </c>
      <c r="D9" s="251"/>
      <c r="E9" s="52" t="s">
        <v>11</v>
      </c>
      <c r="F9" s="252" t="str">
        <f>IF(TRIM(Job_Number)="", "", Job_Number)</f>
        <v/>
      </c>
      <c r="G9" s="252"/>
      <c r="H9" s="252"/>
      <c r="I9" s="253"/>
      <c r="J9" s="188"/>
      <c r="K9" s="188"/>
      <c r="L9" s="188"/>
      <c r="M9" s="188"/>
      <c r="N9" s="188"/>
      <c r="O9" s="188"/>
      <c r="P9" s="188"/>
      <c r="Q9" s="188"/>
      <c r="R9" s="188"/>
      <c r="S9" s="188"/>
      <c r="T9" s="188"/>
      <c r="U9" s="188"/>
      <c r="V9" s="188"/>
      <c r="W9" s="188"/>
      <c r="X9" s="4">
        <v>6</v>
      </c>
      <c r="AA9" s="4" t="str" cm="1">
        <f t="array" ref="AA9">IF(Z9="","",IFERROR(INDEX(Description, MATCH(Z9, LINEOld, 0)), "Not Found"))</f>
        <v/>
      </c>
      <c r="AD9" s="121">
        <v>6</v>
      </c>
      <c r="AE9" s="127">
        <v>45849</v>
      </c>
      <c r="AF9" s="121" t="str">
        <v>CC 2456</v>
      </c>
      <c r="AH9" s="4" t="b" cm="1">
        <f t="array" ref="AH9:AJ15">_xlfn.UNIQUE(_xlfn.HSTACK(LineEntryOLD2,DateEntryOld,PayIDEntryOld2))&lt;&gt;0</f>
        <v>1</v>
      </c>
      <c r="AI9" s="4" t="b">
        <v>1</v>
      </c>
      <c r="AJ9" s="4" t="b">
        <v>1</v>
      </c>
      <c r="AR9" s="188"/>
      <c r="AS9" s="188"/>
      <c r="AT9" s="188"/>
      <c r="AU9" s="188"/>
    </row>
    <row r="10" spans="1:47" s="4" customFormat="1" ht="14" customHeight="1">
      <c r="A10" s="48"/>
      <c r="B10" s="85" t="s">
        <v>10</v>
      </c>
      <c r="C10" s="223" t="s">
        <v>332</v>
      </c>
      <c r="D10" s="223"/>
      <c r="E10" s="52" t="s">
        <v>9</v>
      </c>
      <c r="F10" s="224" t="str">
        <f>IF(TRIM(Job_Name)="", "", Job_Name)</f>
        <v/>
      </c>
      <c r="G10" s="224"/>
      <c r="H10" s="224"/>
      <c r="I10" s="225"/>
      <c r="J10" s="188"/>
      <c r="K10" s="188"/>
      <c r="L10" s="188"/>
      <c r="M10" s="188"/>
      <c r="N10" s="188"/>
      <c r="O10" s="188"/>
      <c r="P10" s="188"/>
      <c r="Q10" s="188"/>
      <c r="R10" s="188"/>
      <c r="S10" s="188"/>
      <c r="T10" s="188"/>
      <c r="U10" s="188"/>
      <c r="V10" s="188"/>
      <c r="W10" s="187"/>
      <c r="AA10" s="4" t="str" cm="1">
        <f t="array" ref="AA10">IF(Z10="","",IFERROR(INDEX(Description, MATCH(Z10, LINEOld, 0)), "Not Found"))</f>
        <v/>
      </c>
      <c r="AH10" s="4" t="b">
        <v>1</v>
      </c>
      <c r="AI10" s="4" t="b">
        <v>1</v>
      </c>
      <c r="AJ10" s="4" t="b">
        <v>1</v>
      </c>
      <c r="AR10" s="188"/>
      <c r="AS10" s="188"/>
      <c r="AT10" s="188"/>
      <c r="AU10" s="188"/>
    </row>
    <row r="11" spans="1:47" s="4" customFormat="1" ht="17">
      <c r="A11" s="48"/>
      <c r="B11" s="86"/>
      <c r="C11" s="223"/>
      <c r="D11" s="223"/>
      <c r="E11" s="53"/>
      <c r="I11" s="87"/>
      <c r="J11" s="188"/>
      <c r="K11" s="188"/>
      <c r="L11" s="188"/>
      <c r="M11" s="188"/>
      <c r="N11" s="188"/>
      <c r="O11" s="188"/>
      <c r="P11" s="188"/>
      <c r="Q11" s="188"/>
      <c r="R11" s="188"/>
      <c r="S11" s="188"/>
      <c r="T11" s="188"/>
      <c r="U11" s="188"/>
      <c r="V11" s="188"/>
      <c r="W11" s="188"/>
      <c r="AA11" s="4" t="str" cm="1">
        <f t="array" ref="AA11">IF(Z11="","",IFERROR(INDEX(Description, MATCH(Z11, LINEOld, 0)), "Not Found"))</f>
        <v/>
      </c>
      <c r="AD11" s="119" t="e" cm="1" vm="2">
        <f t="array" aca="1" ref="AD11" ca="1">_xlfn.UNIQUE(_xlfn.HSTACK(LineEntryOLD2, DateEntryOld, PayIDEntryOld2))&lt;&gt;0</f>
        <v>#VALUE!</v>
      </c>
      <c r="AH11" s="4" t="b">
        <v>1</v>
      </c>
      <c r="AI11" s="4" t="b">
        <v>1</v>
      </c>
      <c r="AJ11" s="4" t="b">
        <v>1</v>
      </c>
      <c r="AR11" s="188"/>
      <c r="AS11" s="188"/>
      <c r="AT11" s="188"/>
      <c r="AU11" s="188"/>
    </row>
    <row r="12" spans="1:47" s="4" customFormat="1" ht="22" customHeight="1">
      <c r="A12" s="48"/>
      <c r="B12" s="85" t="s">
        <v>8</v>
      </c>
      <c r="C12" s="223"/>
      <c r="D12" s="223"/>
      <c r="E12" s="52" t="s">
        <v>7</v>
      </c>
      <c r="F12" s="7"/>
      <c r="G12" s="7"/>
      <c r="H12" s="7"/>
      <c r="I12" s="88"/>
      <c r="J12" s="188"/>
      <c r="K12" s="188"/>
      <c r="L12" s="188"/>
      <c r="M12" s="188"/>
      <c r="N12" s="188"/>
      <c r="O12" s="188"/>
      <c r="P12" s="188"/>
      <c r="Q12" s="188"/>
      <c r="R12" s="188"/>
      <c r="S12" s="188"/>
      <c r="T12" s="188"/>
      <c r="U12" s="188"/>
      <c r="V12" s="188"/>
      <c r="W12" s="188"/>
      <c r="AA12" s="4" t="str" cm="1">
        <f t="array" ref="AA12">IF(Z12="","",IFERROR(INDEX(Description, MATCH(Z12, LINEOld, 0)), "Not Found"))</f>
        <v/>
      </c>
      <c r="AH12" s="4" t="b">
        <v>1</v>
      </c>
      <c r="AI12" s="4" t="b">
        <v>1</v>
      </c>
      <c r="AJ12" s="4" t="b">
        <v>1</v>
      </c>
      <c r="AR12" s="188"/>
      <c r="AS12" s="188"/>
      <c r="AT12" s="188"/>
      <c r="AU12" s="188"/>
    </row>
    <row r="13" spans="1:47" s="4" customFormat="1" ht="16">
      <c r="A13" s="48"/>
      <c r="B13" s="89"/>
      <c r="C13" s="223"/>
      <c r="D13" s="223"/>
      <c r="F13" s="218"/>
      <c r="G13" s="219"/>
      <c r="H13" s="219"/>
      <c r="I13" s="220"/>
      <c r="J13" s="188"/>
      <c r="K13" s="188"/>
      <c r="L13" s="188"/>
      <c r="M13" s="188"/>
      <c r="N13" s="188"/>
      <c r="O13" s="188"/>
      <c r="P13" s="188"/>
      <c r="Q13" s="188"/>
      <c r="R13" s="188"/>
      <c r="S13" s="188"/>
      <c r="T13" s="188"/>
      <c r="U13" s="188"/>
      <c r="V13" s="188"/>
      <c r="W13" s="188"/>
      <c r="AA13" s="4" t="str" cm="1">
        <f t="array" ref="AA13">IF(Z13="","",IFERROR(INDEX(Description, MATCH(Z13, LINEOld, 0)), "Not Found"))</f>
        <v/>
      </c>
      <c r="AH13" s="4" t="b">
        <v>1</v>
      </c>
      <c r="AI13" s="4" t="b">
        <v>1</v>
      </c>
      <c r="AJ13" s="4" t="b">
        <v>1</v>
      </c>
      <c r="AR13" s="188"/>
      <c r="AS13" s="188"/>
      <c r="AT13" s="188"/>
      <c r="AU13" s="188"/>
    </row>
    <row r="14" spans="1:47" s="4" customFormat="1" ht="16">
      <c r="A14" s="48"/>
      <c r="B14" s="89"/>
      <c r="C14" s="226"/>
      <c r="D14" s="226"/>
      <c r="E14" s="52" t="s">
        <v>265</v>
      </c>
      <c r="F14" s="218"/>
      <c r="G14" s="219"/>
      <c r="H14" s="219"/>
      <c r="I14" s="220"/>
      <c r="J14" s="188"/>
      <c r="K14" s="188"/>
      <c r="L14" s="188"/>
      <c r="M14" s="188"/>
      <c r="N14" s="188"/>
      <c r="O14" s="188"/>
      <c r="P14" s="188"/>
      <c r="Q14" s="188"/>
      <c r="R14" s="188"/>
      <c r="S14" s="188"/>
      <c r="T14" s="188"/>
      <c r="U14" s="188"/>
      <c r="V14" s="188"/>
      <c r="W14" s="188"/>
      <c r="X14" s="188"/>
      <c r="Y14" s="188"/>
      <c r="Z14" s="188"/>
      <c r="AA14" s="188"/>
      <c r="AB14" s="188"/>
      <c r="AC14" s="188"/>
      <c r="AD14" s="188" t="b">
        <v>1</v>
      </c>
      <c r="AE14" s="188" t="b">
        <v>1</v>
      </c>
      <c r="AF14" s="188" t="b">
        <v>1</v>
      </c>
      <c r="AG14" s="188"/>
      <c r="AH14" s="188" t="b">
        <v>1</v>
      </c>
      <c r="AI14" s="188" t="b">
        <v>1</v>
      </c>
      <c r="AJ14" s="188" t="b">
        <v>1</v>
      </c>
      <c r="AK14" s="188"/>
      <c r="AL14" s="188"/>
      <c r="AM14" s="188"/>
      <c r="AN14" s="188"/>
      <c r="AO14" s="188"/>
      <c r="AP14" s="188"/>
      <c r="AQ14" s="188"/>
      <c r="AR14" s="188"/>
      <c r="AS14" s="188"/>
      <c r="AT14" s="188"/>
      <c r="AU14" s="188"/>
    </row>
    <row r="15" spans="1:47" s="4" customFormat="1" ht="16">
      <c r="A15" s="48"/>
      <c r="B15" s="90"/>
      <c r="C15" s="54"/>
      <c r="D15" s="54"/>
      <c r="I15" s="87"/>
      <c r="J15" s="188"/>
      <c r="K15" s="188"/>
      <c r="L15" s="188"/>
      <c r="M15" s="188"/>
      <c r="N15" s="188"/>
      <c r="O15" s="188"/>
      <c r="P15" s="188"/>
      <c r="Q15" s="188"/>
      <c r="R15" s="188"/>
      <c r="S15" s="188"/>
      <c r="T15" s="188"/>
      <c r="U15" s="188"/>
      <c r="V15" s="188"/>
      <c r="W15" s="188"/>
      <c r="X15" s="188"/>
      <c r="Y15" s="188"/>
      <c r="Z15" s="188"/>
      <c r="AA15" s="188"/>
      <c r="AB15" s="188"/>
      <c r="AC15" s="188"/>
      <c r="AD15" s="188" t="b">
        <v>0</v>
      </c>
      <c r="AE15" s="188" t="b">
        <v>0</v>
      </c>
      <c r="AF15" s="188" t="b">
        <v>0</v>
      </c>
      <c r="AG15" s="188"/>
      <c r="AH15" s="188" t="b">
        <v>0</v>
      </c>
      <c r="AI15" s="188" t="b">
        <v>0</v>
      </c>
      <c r="AJ15" s="188" t="b">
        <v>0</v>
      </c>
      <c r="AK15" s="188"/>
      <c r="AL15" s="188"/>
      <c r="AM15" s="188"/>
      <c r="AN15" s="188"/>
      <c r="AO15" s="188"/>
      <c r="AP15" s="188"/>
      <c r="AQ15" s="188"/>
      <c r="AR15" s="188"/>
      <c r="AS15" s="188"/>
      <c r="AT15" s="188"/>
      <c r="AU15" s="188"/>
    </row>
    <row r="16" spans="1:47" s="3" customFormat="1" ht="23" customHeight="1">
      <c r="A16" s="46"/>
      <c r="B16" s="91" t="s">
        <v>6</v>
      </c>
      <c r="C16" s="55"/>
      <c r="D16" s="55"/>
      <c r="E16" s="55"/>
      <c r="F16" s="55"/>
      <c r="G16" s="70"/>
      <c r="H16" s="40"/>
      <c r="I16" s="92"/>
      <c r="J16" s="187"/>
      <c r="K16" s="187"/>
      <c r="L16" s="187"/>
      <c r="M16" s="187"/>
      <c r="N16" s="187"/>
      <c r="O16" s="187"/>
      <c r="P16" s="187"/>
      <c r="Q16" s="187"/>
      <c r="R16" s="187"/>
      <c r="S16" s="187"/>
      <c r="T16" s="187"/>
      <c r="U16" s="187"/>
      <c r="V16" s="187"/>
      <c r="W16" s="187"/>
      <c r="X16" s="187"/>
      <c r="Y16" s="187"/>
      <c r="Z16" s="187"/>
      <c r="AA16" s="187"/>
      <c r="AB16" s="187"/>
      <c r="AC16" s="187"/>
      <c r="AD16" s="187"/>
      <c r="AE16" s="187"/>
      <c r="AF16" s="187"/>
      <c r="AG16" s="187"/>
      <c r="AH16" s="187"/>
      <c r="AI16" s="187"/>
      <c r="AJ16" s="187"/>
      <c r="AK16" s="187"/>
      <c r="AL16" s="187"/>
      <c r="AM16" s="187"/>
      <c r="AN16" s="187"/>
      <c r="AO16" s="187"/>
      <c r="AP16" s="187"/>
      <c r="AQ16" s="187"/>
      <c r="AR16" s="187"/>
      <c r="AS16" s="187"/>
      <c r="AT16" s="187"/>
      <c r="AU16" s="187"/>
    </row>
    <row r="17" spans="1:50" s="3" customFormat="1" ht="23" customHeight="1">
      <c r="A17" s="46"/>
      <c r="B17" s="91"/>
      <c r="C17" s="71"/>
      <c r="D17" s="71"/>
      <c r="E17" s="71"/>
      <c r="F17" s="71"/>
      <c r="G17" s="72"/>
      <c r="H17" s="40"/>
      <c r="I17" s="92"/>
      <c r="J17" s="187"/>
      <c r="K17" s="187"/>
      <c r="L17" s="187"/>
      <c r="M17" s="187"/>
      <c r="N17" s="187"/>
      <c r="O17" s="187"/>
      <c r="P17" s="187"/>
      <c r="Q17" s="187"/>
      <c r="R17" s="187"/>
      <c r="S17" s="187"/>
      <c r="T17" s="187"/>
      <c r="U17" s="187"/>
      <c r="V17" s="187"/>
      <c r="W17" s="187"/>
      <c r="X17" s="187"/>
      <c r="Y17" s="187"/>
      <c r="Z17" s="187"/>
      <c r="AA17" s="187"/>
      <c r="AB17" s="187"/>
      <c r="AC17" s="187"/>
      <c r="AD17" s="187"/>
      <c r="AE17" s="189"/>
      <c r="AF17" s="189"/>
      <c r="AG17" s="189"/>
      <c r="AH17" s="189"/>
      <c r="AI17" s="189"/>
      <c r="AJ17" s="187"/>
      <c r="AK17" s="187"/>
      <c r="AS17" s="187"/>
      <c r="AT17" s="187"/>
      <c r="AU17" s="187"/>
    </row>
    <row r="18" spans="1:50" s="3" customFormat="1" ht="23" customHeight="1">
      <c r="A18" s="46"/>
      <c r="B18" s="91"/>
      <c r="C18" s="221"/>
      <c r="D18" s="221"/>
      <c r="E18" s="221"/>
      <c r="F18" s="221"/>
      <c r="G18" s="221"/>
      <c r="H18" s="221"/>
      <c r="I18" s="222"/>
      <c r="AL18" s="119" t="s">
        <v>320</v>
      </c>
    </row>
    <row r="19" spans="1:50" s="3" customFormat="1" ht="13" customHeight="1" thickBot="1">
      <c r="A19" s="46"/>
      <c r="B19" s="91"/>
      <c r="C19" s="221"/>
      <c r="D19" s="221"/>
      <c r="E19" s="221"/>
      <c r="F19" s="221"/>
      <c r="G19" s="221"/>
      <c r="H19" s="221"/>
      <c r="I19" s="222"/>
      <c r="AE19" s="4"/>
      <c r="AF19" s="4"/>
      <c r="AG19" s="4"/>
      <c r="AH19" s="4"/>
      <c r="AI19" s="4"/>
      <c r="AJ19" s="4"/>
      <c r="AK19" s="4"/>
    </row>
    <row r="20" spans="1:50" s="3" customFormat="1" ht="34" customHeight="1">
      <c r="A20" s="46"/>
      <c r="B20" s="91"/>
      <c r="C20" s="56"/>
      <c r="D20" s="56"/>
      <c r="E20" s="56"/>
      <c r="F20" s="56"/>
      <c r="G20" s="56"/>
      <c r="H20" s="56"/>
      <c r="I20" s="93"/>
      <c r="K20" s="137" t="s">
        <v>328</v>
      </c>
      <c r="L20" s="191" cm="1">
        <f t="array" ref="L20:S22">IFERROR(
    _xlfn.WRAPCOLS(
        _xlfn.TOCOL(
            INDEX(
                _xlfn._xlws.FILTER(
                    _xlfn.UNIQUE(_xlfn.HSTACK(LineEntry, DateEntry, PayIDEntry)),
                    _xlfn.BYROW(_xlfn.UNIQUE(_xlfn.HSTACK(LineEntry, DateEntry, PayIDEntry)), _xlfn.LAMBDA(_xlpm.row, SUM(_xlpm.row)&lt;&gt;0))
                ),
                _xlfn.SEQUENCE(8,1),
                {1,2,3}
            )
        ),
        3
    ),
    ""
)</f>
        <v>204</v>
      </c>
      <c r="M20" s="192">
        <v>205</v>
      </c>
      <c r="N20" s="192">
        <v>112</v>
      </c>
      <c r="O20" s="192">
        <v>1</v>
      </c>
      <c r="P20" s="192">
        <v>5</v>
      </c>
      <c r="Q20" s="192">
        <v>6</v>
      </c>
      <c r="R20" s="192" t="str">
        <v/>
      </c>
      <c r="S20" s="192" t="str">
        <v/>
      </c>
      <c r="T20" s="193"/>
      <c r="V20" s="137" t="s">
        <v>328</v>
      </c>
      <c r="W20" s="134" cm="1">
        <f t="array" ref="W20:AE22">TRANSPOSE(_xlfn._xlws.SORT(TRANSPOSE(L20:T22), 1, TRUE))</f>
        <v>1</v>
      </c>
      <c r="X20" s="134">
        <v>5</v>
      </c>
      <c r="Y20" s="134">
        <v>6</v>
      </c>
      <c r="Z20" s="134">
        <v>112</v>
      </c>
      <c r="AA20" s="134">
        <v>204</v>
      </c>
      <c r="AB20" s="134">
        <v>205</v>
      </c>
      <c r="AC20" s="134" t="str">
        <v/>
      </c>
      <c r="AD20" s="134" t="str">
        <v/>
      </c>
      <c r="AE20" s="134">
        <v>0</v>
      </c>
      <c r="AL20" s="208" t="s">
        <v>333</v>
      </c>
      <c r="AM20" s="208"/>
      <c r="AN20" s="208"/>
      <c r="AO20" s="208"/>
      <c r="AP20" s="208"/>
      <c r="AQ20" s="208"/>
      <c r="AR20" s="4" t="s">
        <v>334</v>
      </c>
    </row>
    <row r="21" spans="1:50" s="3" customFormat="1" ht="16" customHeight="1">
      <c r="A21" s="46"/>
      <c r="B21" s="91"/>
      <c r="C21" s="56"/>
      <c r="D21" s="56"/>
      <c r="E21" s="56"/>
      <c r="F21" s="56"/>
      <c r="G21" s="56"/>
      <c r="H21" s="56"/>
      <c r="I21" s="93"/>
      <c r="K21" s="137" t="s">
        <v>329</v>
      </c>
      <c r="L21" s="194">
        <v>45849</v>
      </c>
      <c r="M21" s="195">
        <v>45849</v>
      </c>
      <c r="N21" s="195">
        <v>45848</v>
      </c>
      <c r="O21" s="195">
        <v>45849</v>
      </c>
      <c r="P21" s="195">
        <v>45849</v>
      </c>
      <c r="Q21" s="195">
        <v>45849</v>
      </c>
      <c r="R21" s="195" t="str">
        <v/>
      </c>
      <c r="S21" s="195" t="str">
        <v/>
      </c>
      <c r="T21" s="196"/>
      <c r="V21" s="137" t="s">
        <v>329</v>
      </c>
      <c r="W21" s="135">
        <v>45849</v>
      </c>
      <c r="X21" s="135">
        <v>45849</v>
      </c>
      <c r="Y21" s="135">
        <v>45849</v>
      </c>
      <c r="Z21" s="135">
        <v>45848</v>
      </c>
      <c r="AA21" s="135">
        <v>45849</v>
      </c>
      <c r="AB21" s="135">
        <v>45849</v>
      </c>
      <c r="AC21" s="135" t="str">
        <v/>
      </c>
      <c r="AD21" s="135" t="str">
        <v/>
      </c>
      <c r="AE21" s="135">
        <v>0</v>
      </c>
      <c r="AL21" s="144" cm="1">
        <f t="array" ref="AL21:AQ23">IFERROR(
    _xlfn.WRAPCOLS(
        _xlfn.TOCOL(
            INDEX(
                _xlfn._xlws.FILTER(
                    _xlfn.UNIQUE(_xlfn.HSTACK(LineEntryOld3, DateEntryOld3, PayIDEntryOld3)),
                    _xlfn.BYROW(_xlfn.UNIQUE(_xlfn.HSTACK(LineEntryOld3, DateEntryOld3, PayIDEntryOld3)), _xlfn.LAMBDA(_xlpm.row, SUM(_xlpm.row)&lt;&gt;0))
                ),
                _xlfn.SEQUENCE(6,1),
                {1,2,3}
            )
        ),
        3
    ),
    ""
)</f>
        <v>204</v>
      </c>
      <c r="AM21" s="145">
        <v>205</v>
      </c>
      <c r="AN21" s="145">
        <v>112</v>
      </c>
      <c r="AO21" s="145">
        <v>1</v>
      </c>
      <c r="AP21" s="145">
        <v>5</v>
      </c>
      <c r="AQ21" s="146">
        <v>6</v>
      </c>
      <c r="AR21" s="3" cm="1">
        <f t="array" ref="AR21">SUMPRODUCT(--(TRIM(AL21:AQ21)&lt;&gt;""))</f>
        <v>6</v>
      </c>
      <c r="AS21" s="3" cm="1">
        <f t="array" ref="AS21:AX23">_xlfn._xlws.SORT(AL21:AQ23, 1, TRUE, FALSE)</f>
        <v>204</v>
      </c>
      <c r="AT21" s="3">
        <v>205</v>
      </c>
      <c r="AU21" s="3">
        <v>112</v>
      </c>
      <c r="AV21" s="3">
        <v>1</v>
      </c>
      <c r="AW21" s="3">
        <v>5</v>
      </c>
      <c r="AX21" s="3">
        <v>6</v>
      </c>
    </row>
    <row r="22" spans="1:50" ht="30" customHeight="1" thickBot="1">
      <c r="A22" s="42"/>
      <c r="B22" s="212"/>
      <c r="C22" s="213"/>
      <c r="D22" s="214"/>
      <c r="E22" s="214"/>
      <c r="F22" s="214"/>
      <c r="G22" s="214"/>
      <c r="H22" s="214"/>
      <c r="I22" s="215"/>
      <c r="K22" s="137" t="s">
        <v>330</v>
      </c>
      <c r="L22" s="197" t="str">
        <v>CC 2456</v>
      </c>
      <c r="M22" s="198" t="str">
        <v>CC 2456</v>
      </c>
      <c r="N22" s="198" t="str">
        <v>CHK 101</v>
      </c>
      <c r="O22" s="198" t="str">
        <v>CASH</v>
      </c>
      <c r="P22" s="198" t="str">
        <v>CC 2456</v>
      </c>
      <c r="Q22" s="198" t="str">
        <v>CC 2456</v>
      </c>
      <c r="R22" s="198" t="str">
        <v/>
      </c>
      <c r="S22" s="198" t="str">
        <v/>
      </c>
      <c r="T22" s="199"/>
      <c r="V22" s="137" t="s">
        <v>330</v>
      </c>
      <c r="W22" s="200" t="str">
        <v>CASH</v>
      </c>
      <c r="X22" s="200" t="str">
        <v>CC 2456</v>
      </c>
      <c r="Y22" s="200" t="str">
        <v>CC 2456</v>
      </c>
      <c r="Z22" s="200" t="str">
        <v>CHK 101</v>
      </c>
      <c r="AA22" s="200" t="str">
        <v>CC 2456</v>
      </c>
      <c r="AB22" s="200" t="str">
        <v>CC 2456</v>
      </c>
      <c r="AC22" s="200" t="str">
        <v/>
      </c>
      <c r="AD22" s="200" t="str">
        <v/>
      </c>
      <c r="AE22" s="136">
        <v>0</v>
      </c>
      <c r="AL22" s="46">
        <v>45849</v>
      </c>
      <c r="AM22" s="3">
        <v>45849</v>
      </c>
      <c r="AN22" s="3">
        <v>45848</v>
      </c>
      <c r="AO22" s="3">
        <v>45849</v>
      </c>
      <c r="AP22" s="3">
        <v>45849</v>
      </c>
      <c r="AQ22" s="147">
        <v>45849</v>
      </c>
      <c r="AR22" s="3"/>
      <c r="AS22" s="190">
        <v>45849</v>
      </c>
      <c r="AT22" s="190">
        <v>45849</v>
      </c>
      <c r="AU22" s="190">
        <v>45848</v>
      </c>
      <c r="AV22" s="190">
        <v>45849</v>
      </c>
      <c r="AW22" s="190">
        <v>45849</v>
      </c>
      <c r="AX22" s="190">
        <v>45849</v>
      </c>
    </row>
    <row r="23" spans="1:50" s="4" customFormat="1" ht="16" customHeight="1" thickBot="1">
      <c r="A23" s="48"/>
      <c r="B23" s="94" t="s">
        <v>4</v>
      </c>
      <c r="C23" s="216" t="s">
        <v>3</v>
      </c>
      <c r="D23" s="217"/>
      <c r="E23" s="65" t="s">
        <v>12</v>
      </c>
      <c r="F23" s="65" t="s">
        <v>18</v>
      </c>
      <c r="G23" s="65" t="s">
        <v>2</v>
      </c>
      <c r="H23" s="65" t="s">
        <v>1</v>
      </c>
      <c r="I23" s="95" t="s">
        <v>0</v>
      </c>
      <c r="W23" s="118" t="s">
        <v>314</v>
      </c>
      <c r="X23" s="118" t="s">
        <v>325</v>
      </c>
      <c r="Y23" s="118" t="s">
        <v>315</v>
      </c>
      <c r="Z23" s="118" t="s">
        <v>316</v>
      </c>
      <c r="AA23" s="118" t="s">
        <v>317</v>
      </c>
      <c r="AB23" s="118" t="s">
        <v>318</v>
      </c>
      <c r="AC23" s="118" t="s">
        <v>341</v>
      </c>
      <c r="AD23" s="118" t="s">
        <v>340</v>
      </c>
      <c r="AE23" s="118" t="s">
        <v>339</v>
      </c>
      <c r="AL23" s="62" t="str">
        <v>CC 2456</v>
      </c>
      <c r="AM23" s="63" t="str">
        <v>CC 2456</v>
      </c>
      <c r="AN23" s="63" t="str">
        <v>CHK 101</v>
      </c>
      <c r="AO23" s="63" t="str">
        <v>CASH</v>
      </c>
      <c r="AP23" s="63" t="str">
        <v>CC 2456</v>
      </c>
      <c r="AQ23" s="64" t="str">
        <v>CC 2456</v>
      </c>
      <c r="AR23" s="1"/>
      <c r="AS23" s="4" t="str">
        <v>CC 2456</v>
      </c>
      <c r="AT23" s="4" t="str">
        <v>CC 2456</v>
      </c>
      <c r="AU23" s="4" t="str">
        <v>CHK 101</v>
      </c>
      <c r="AV23" s="4" t="str">
        <v>CASH</v>
      </c>
      <c r="AW23" s="4" t="str">
        <v>CC 2456</v>
      </c>
      <c r="AX23" s="4" t="str">
        <v>CC 2456</v>
      </c>
    </row>
    <row r="24" spans="1:50" s="4" customFormat="1" ht="16" customHeight="1">
      <c r="A24" s="48"/>
      <c r="B24" s="122">
        <v>204</v>
      </c>
      <c r="C24" s="209" t="s">
        <v>312</v>
      </c>
      <c r="D24" s="210"/>
      <c r="E24" s="116">
        <v>45849</v>
      </c>
      <c r="F24" s="124" t="s">
        <v>313</v>
      </c>
      <c r="G24" s="6">
        <v>1</v>
      </c>
      <c r="H24" s="5">
        <v>100</v>
      </c>
      <c r="I24" s="96">
        <f>G24*H24</f>
        <v>100</v>
      </c>
      <c r="W24" s="133" t="str">
        <f>IF($B24="", "", IF(AND($I24, $B24=W$20, $E24=W$21, $F24=W$22, SUM($I$24)&gt;0), $I24, ""))</f>
        <v/>
      </c>
      <c r="X24" s="133" t="str">
        <f t="shared" ref="X24:AE24" si="0">IF($B24="", "", IF(AND($I24, $B24=X$20, $E24=X$21, $F24=X$22, SUM($I$24)&gt;0), $I24, ""))</f>
        <v/>
      </c>
      <c r="Y24" s="133" t="str">
        <f t="shared" si="0"/>
        <v/>
      </c>
      <c r="Z24" s="133" t="str">
        <f>IF($B24="", "", IF(AND($I24, $B24=Z$20, $E24=Z$21, $F24=Z$22, SUM($I$24)&gt;0), $I24, ""))</f>
        <v/>
      </c>
      <c r="AA24" s="133">
        <f t="shared" si="0"/>
        <v>100</v>
      </c>
      <c r="AB24" s="133" t="str">
        <f t="shared" si="0"/>
        <v/>
      </c>
      <c r="AC24" s="133" t="str">
        <f t="shared" si="0"/>
        <v/>
      </c>
      <c r="AD24" s="133" t="str">
        <f t="shared" si="0"/>
        <v/>
      </c>
      <c r="AE24" s="133" t="str">
        <f t="shared" si="0"/>
        <v/>
      </c>
    </row>
    <row r="25" spans="1:50" s="4" customFormat="1" ht="16" customHeight="1">
      <c r="A25" s="48"/>
      <c r="B25" s="122">
        <v>205</v>
      </c>
      <c r="C25" s="209"/>
      <c r="D25" s="210"/>
      <c r="E25" s="116">
        <v>45849</v>
      </c>
      <c r="F25" s="124" t="s">
        <v>313</v>
      </c>
      <c r="G25" s="6">
        <v>1</v>
      </c>
      <c r="H25" s="5">
        <v>50</v>
      </c>
      <c r="I25" s="96">
        <f t="shared" ref="I25:I35" si="1">G25*H25</f>
        <v>50</v>
      </c>
      <c r="W25" s="133" t="str">
        <f t="shared" ref="W25:AE35" si="2">IF($B25="", "", IF(AND($I25, $B25=W$20, $E25=W$21, $F25=W$22, SUM($I$24)&gt;0), $I25, ""))</f>
        <v/>
      </c>
      <c r="X25" s="133" t="str">
        <f t="shared" si="2"/>
        <v/>
      </c>
      <c r="Y25" s="133" t="str">
        <f t="shared" si="2"/>
        <v/>
      </c>
      <c r="Z25" s="133" t="str">
        <f t="shared" si="2"/>
        <v/>
      </c>
      <c r="AA25" s="133" t="str">
        <f t="shared" si="2"/>
        <v/>
      </c>
      <c r="AB25" s="133">
        <f t="shared" si="2"/>
        <v>50</v>
      </c>
      <c r="AC25" s="133" t="str">
        <f t="shared" si="2"/>
        <v/>
      </c>
      <c r="AD25" s="133" t="str">
        <f t="shared" si="2"/>
        <v/>
      </c>
      <c r="AE25" s="133" t="str">
        <f t="shared" si="2"/>
        <v/>
      </c>
    </row>
    <row r="26" spans="1:50" s="4" customFormat="1" ht="16" customHeight="1">
      <c r="A26" s="48"/>
      <c r="B26" s="122">
        <v>112</v>
      </c>
      <c r="C26" s="209" t="s">
        <v>326</v>
      </c>
      <c r="D26" s="210"/>
      <c r="E26" s="116">
        <v>45848</v>
      </c>
      <c r="F26" s="124" t="s">
        <v>327</v>
      </c>
      <c r="G26" s="6">
        <v>1</v>
      </c>
      <c r="H26" s="5">
        <v>1000</v>
      </c>
      <c r="I26" s="96">
        <f t="shared" si="1"/>
        <v>1000</v>
      </c>
      <c r="W26" s="133" t="str">
        <f t="shared" si="2"/>
        <v/>
      </c>
      <c r="X26" s="133" t="str">
        <f t="shared" si="2"/>
        <v/>
      </c>
      <c r="Y26" s="133" t="str">
        <f t="shared" si="2"/>
        <v/>
      </c>
      <c r="Z26" s="133">
        <f t="shared" si="2"/>
        <v>1000</v>
      </c>
      <c r="AA26" s="133" t="str">
        <f t="shared" si="2"/>
        <v/>
      </c>
      <c r="AB26" s="133" t="str">
        <f t="shared" si="2"/>
        <v/>
      </c>
      <c r="AC26" s="133" t="str">
        <f t="shared" si="2"/>
        <v/>
      </c>
      <c r="AD26" s="133" t="str">
        <f t="shared" si="2"/>
        <v/>
      </c>
      <c r="AE26" s="133" t="str">
        <f t="shared" si="2"/>
        <v/>
      </c>
    </row>
    <row r="27" spans="1:50" s="4" customFormat="1" ht="16">
      <c r="A27" s="48"/>
      <c r="B27" s="122">
        <v>204</v>
      </c>
      <c r="C27" s="209" t="s">
        <v>312</v>
      </c>
      <c r="D27" s="210"/>
      <c r="E27" s="116">
        <v>45849</v>
      </c>
      <c r="F27" s="124" t="s">
        <v>313</v>
      </c>
      <c r="G27" s="6">
        <v>1</v>
      </c>
      <c r="H27" s="5">
        <v>100</v>
      </c>
      <c r="I27" s="96">
        <f t="shared" si="1"/>
        <v>100</v>
      </c>
      <c r="W27" s="133" t="str">
        <f t="shared" si="2"/>
        <v/>
      </c>
      <c r="X27" s="133" t="str">
        <f t="shared" si="2"/>
        <v/>
      </c>
      <c r="Y27" s="133" t="str">
        <f t="shared" si="2"/>
        <v/>
      </c>
      <c r="Z27" s="133" t="str">
        <f t="shared" si="2"/>
        <v/>
      </c>
      <c r="AA27" s="133">
        <f t="shared" si="2"/>
        <v>100</v>
      </c>
      <c r="AB27" s="133" t="str">
        <f t="shared" si="2"/>
        <v/>
      </c>
      <c r="AC27" s="133" t="str">
        <f t="shared" si="2"/>
        <v/>
      </c>
      <c r="AD27" s="133" t="str">
        <f t="shared" si="2"/>
        <v/>
      </c>
      <c r="AE27" s="133" t="str">
        <f t="shared" si="2"/>
        <v/>
      </c>
    </row>
    <row r="28" spans="1:50" s="4" customFormat="1" ht="16" customHeight="1">
      <c r="A28" s="48"/>
      <c r="B28" s="122">
        <v>1</v>
      </c>
      <c r="C28" s="209" t="s">
        <v>336</v>
      </c>
      <c r="D28" s="210"/>
      <c r="E28" s="116">
        <v>45849</v>
      </c>
      <c r="F28" s="124" t="s">
        <v>5</v>
      </c>
      <c r="G28" s="6">
        <v>1</v>
      </c>
      <c r="H28" s="5">
        <v>1000</v>
      </c>
      <c r="I28" s="96">
        <f t="shared" si="1"/>
        <v>1000</v>
      </c>
      <c r="W28" s="133">
        <f t="shared" si="2"/>
        <v>1000</v>
      </c>
      <c r="X28" s="133" t="str">
        <f t="shared" si="2"/>
        <v/>
      </c>
      <c r="Y28" s="133" t="str">
        <f t="shared" si="2"/>
        <v/>
      </c>
      <c r="Z28" s="133" t="str">
        <f t="shared" si="2"/>
        <v/>
      </c>
      <c r="AA28" s="133" t="str">
        <f t="shared" si="2"/>
        <v/>
      </c>
      <c r="AB28" s="133" t="str">
        <f t="shared" si="2"/>
        <v/>
      </c>
      <c r="AC28" s="133" t="str">
        <f t="shared" si="2"/>
        <v/>
      </c>
      <c r="AD28" s="133" t="str">
        <f t="shared" si="2"/>
        <v/>
      </c>
      <c r="AE28" s="133" t="str">
        <f t="shared" si="2"/>
        <v/>
      </c>
    </row>
    <row r="29" spans="1:50" s="4" customFormat="1" ht="16" customHeight="1">
      <c r="A29" s="48"/>
      <c r="B29" s="122">
        <v>5</v>
      </c>
      <c r="C29" s="209" t="s">
        <v>312</v>
      </c>
      <c r="D29" s="210"/>
      <c r="E29" s="116">
        <v>45849</v>
      </c>
      <c r="F29" s="124" t="s">
        <v>313</v>
      </c>
      <c r="G29" s="6">
        <v>1</v>
      </c>
      <c r="H29" s="5">
        <v>100</v>
      </c>
      <c r="I29" s="96">
        <f t="shared" si="1"/>
        <v>100</v>
      </c>
      <c r="W29" s="133" t="str">
        <f t="shared" si="2"/>
        <v/>
      </c>
      <c r="X29" s="133">
        <f t="shared" si="2"/>
        <v>100</v>
      </c>
      <c r="Y29" s="133" t="str">
        <f t="shared" si="2"/>
        <v/>
      </c>
      <c r="Z29" s="133" t="str">
        <f t="shared" si="2"/>
        <v/>
      </c>
      <c r="AA29" s="133" t="str">
        <f t="shared" si="2"/>
        <v/>
      </c>
      <c r="AB29" s="133" t="str">
        <f t="shared" si="2"/>
        <v/>
      </c>
      <c r="AC29" s="133" t="str">
        <f t="shared" si="2"/>
        <v/>
      </c>
      <c r="AD29" s="133" t="str">
        <f t="shared" si="2"/>
        <v/>
      </c>
      <c r="AE29" s="133" t="str">
        <f t="shared" si="2"/>
        <v/>
      </c>
    </row>
    <row r="30" spans="1:50" s="4" customFormat="1" ht="16" customHeight="1">
      <c r="A30" s="48"/>
      <c r="B30" s="122">
        <v>6</v>
      </c>
      <c r="C30" s="209" t="s">
        <v>312</v>
      </c>
      <c r="D30" s="210"/>
      <c r="E30" s="116">
        <v>45849</v>
      </c>
      <c r="F30" s="124" t="s">
        <v>313</v>
      </c>
      <c r="G30" s="6">
        <v>1</v>
      </c>
      <c r="H30" s="5">
        <v>100</v>
      </c>
      <c r="I30" s="96">
        <f t="shared" si="1"/>
        <v>100</v>
      </c>
      <c r="W30" s="133" t="str">
        <f t="shared" si="2"/>
        <v/>
      </c>
      <c r="X30" s="133" t="str">
        <f t="shared" si="2"/>
        <v/>
      </c>
      <c r="Y30" s="133">
        <f t="shared" si="2"/>
        <v>100</v>
      </c>
      <c r="Z30" s="133" t="str">
        <f t="shared" si="2"/>
        <v/>
      </c>
      <c r="AA30" s="133" t="str">
        <f t="shared" si="2"/>
        <v/>
      </c>
      <c r="AB30" s="133" t="str">
        <f t="shared" si="2"/>
        <v/>
      </c>
      <c r="AC30" s="133" t="str">
        <f t="shared" si="2"/>
        <v/>
      </c>
      <c r="AD30" s="133" t="str">
        <f t="shared" si="2"/>
        <v/>
      </c>
      <c r="AE30" s="133" t="str">
        <f t="shared" si="2"/>
        <v/>
      </c>
    </row>
    <row r="31" spans="1:50" s="4" customFormat="1" ht="16" customHeight="1">
      <c r="A31" s="48"/>
      <c r="B31" s="122">
        <v>204</v>
      </c>
      <c r="C31" s="209" t="s">
        <v>312</v>
      </c>
      <c r="D31" s="210"/>
      <c r="E31" s="116">
        <v>45849</v>
      </c>
      <c r="F31" s="124" t="s">
        <v>313</v>
      </c>
      <c r="G31" s="6">
        <v>1</v>
      </c>
      <c r="H31" s="5">
        <v>100</v>
      </c>
      <c r="I31" s="96">
        <f t="shared" si="1"/>
        <v>100</v>
      </c>
      <c r="W31" s="133" t="str">
        <f t="shared" si="2"/>
        <v/>
      </c>
      <c r="X31" s="133" t="str">
        <f t="shared" si="2"/>
        <v/>
      </c>
      <c r="Y31" s="133" t="str">
        <f t="shared" si="2"/>
        <v/>
      </c>
      <c r="Z31" s="133" t="str">
        <f t="shared" si="2"/>
        <v/>
      </c>
      <c r="AA31" s="133">
        <f t="shared" si="2"/>
        <v>100</v>
      </c>
      <c r="AB31" s="133" t="str">
        <f t="shared" si="2"/>
        <v/>
      </c>
      <c r="AC31" s="133" t="str">
        <f t="shared" si="2"/>
        <v/>
      </c>
      <c r="AD31" s="133" t="str">
        <f t="shared" si="2"/>
        <v/>
      </c>
      <c r="AE31" s="133" t="str">
        <f t="shared" si="2"/>
        <v/>
      </c>
    </row>
    <row r="32" spans="1:50" s="4" customFormat="1" ht="16" customHeight="1">
      <c r="A32" s="48"/>
      <c r="B32" s="122">
        <v>204</v>
      </c>
      <c r="C32" s="209" t="s">
        <v>312</v>
      </c>
      <c r="D32" s="210"/>
      <c r="E32" s="116">
        <v>45849</v>
      </c>
      <c r="F32" s="124" t="s">
        <v>313</v>
      </c>
      <c r="G32" s="6">
        <v>1</v>
      </c>
      <c r="H32" s="5">
        <v>100</v>
      </c>
      <c r="I32" s="96">
        <f t="shared" si="1"/>
        <v>100</v>
      </c>
      <c r="W32" s="133" t="str">
        <f t="shared" si="2"/>
        <v/>
      </c>
      <c r="X32" s="133" t="str">
        <f t="shared" si="2"/>
        <v/>
      </c>
      <c r="Y32" s="133" t="str">
        <f t="shared" si="2"/>
        <v/>
      </c>
      <c r="Z32" s="133" t="str">
        <f t="shared" si="2"/>
        <v/>
      </c>
      <c r="AA32" s="133">
        <f t="shared" si="2"/>
        <v>100</v>
      </c>
      <c r="AB32" s="133" t="str">
        <f t="shared" si="2"/>
        <v/>
      </c>
      <c r="AC32" s="133" t="str">
        <f t="shared" si="2"/>
        <v/>
      </c>
      <c r="AD32" s="133" t="str">
        <f t="shared" si="2"/>
        <v/>
      </c>
      <c r="AE32" s="133" t="str">
        <f t="shared" si="2"/>
        <v/>
      </c>
    </row>
    <row r="33" spans="1:31" s="4" customFormat="1" ht="16" customHeight="1">
      <c r="A33" s="48"/>
      <c r="B33" s="122">
        <v>204</v>
      </c>
      <c r="C33" s="209" t="s">
        <v>312</v>
      </c>
      <c r="D33" s="210"/>
      <c r="E33" s="116">
        <v>45849</v>
      </c>
      <c r="F33" s="124" t="s">
        <v>313</v>
      </c>
      <c r="G33" s="6">
        <v>1</v>
      </c>
      <c r="H33" s="5">
        <v>100</v>
      </c>
      <c r="I33" s="96">
        <f t="shared" si="1"/>
        <v>100</v>
      </c>
      <c r="W33" s="133" t="str">
        <f t="shared" si="2"/>
        <v/>
      </c>
      <c r="X33" s="133" t="str">
        <f t="shared" si="2"/>
        <v/>
      </c>
      <c r="Y33" s="133" t="str">
        <f t="shared" si="2"/>
        <v/>
      </c>
      <c r="Z33" s="133" t="str">
        <f t="shared" si="2"/>
        <v/>
      </c>
      <c r="AA33" s="133">
        <f t="shared" si="2"/>
        <v>100</v>
      </c>
      <c r="AB33" s="133" t="str">
        <f t="shared" si="2"/>
        <v/>
      </c>
      <c r="AC33" s="133" t="str">
        <f t="shared" si="2"/>
        <v/>
      </c>
      <c r="AD33" s="133" t="str">
        <f t="shared" si="2"/>
        <v/>
      </c>
      <c r="AE33" s="133" t="str">
        <f t="shared" si="2"/>
        <v/>
      </c>
    </row>
    <row r="34" spans="1:31" s="4" customFormat="1" ht="16" customHeight="1">
      <c r="A34" s="48"/>
      <c r="B34" s="122">
        <v>204</v>
      </c>
      <c r="C34" s="209" t="s">
        <v>312</v>
      </c>
      <c r="D34" s="210"/>
      <c r="E34" s="116">
        <v>45849</v>
      </c>
      <c r="F34" s="124" t="s">
        <v>313</v>
      </c>
      <c r="G34" s="6">
        <v>1</v>
      </c>
      <c r="H34" s="5">
        <v>100</v>
      </c>
      <c r="I34" s="96">
        <f t="shared" si="1"/>
        <v>100</v>
      </c>
      <c r="W34" s="133" t="str">
        <f t="shared" si="2"/>
        <v/>
      </c>
      <c r="X34" s="133" t="str">
        <f t="shared" si="2"/>
        <v/>
      </c>
      <c r="Y34" s="133" t="str">
        <f t="shared" si="2"/>
        <v/>
      </c>
      <c r="Z34" s="133" t="str">
        <f t="shared" si="2"/>
        <v/>
      </c>
      <c r="AA34" s="133">
        <f t="shared" si="2"/>
        <v>100</v>
      </c>
      <c r="AB34" s="133" t="str">
        <f t="shared" si="2"/>
        <v/>
      </c>
      <c r="AC34" s="133" t="str">
        <f t="shared" si="2"/>
        <v/>
      </c>
      <c r="AD34" s="133" t="str">
        <f t="shared" si="2"/>
        <v/>
      </c>
      <c r="AE34" s="133" t="str">
        <f t="shared" si="2"/>
        <v/>
      </c>
    </row>
    <row r="35" spans="1:31" s="4" customFormat="1" ht="16" customHeight="1" thickBot="1">
      <c r="A35" s="48"/>
      <c r="B35" s="123"/>
      <c r="C35" s="227"/>
      <c r="D35" s="228"/>
      <c r="E35" s="66"/>
      <c r="F35" s="125"/>
      <c r="G35" s="66"/>
      <c r="H35" s="67"/>
      <c r="I35" s="97">
        <f t="shared" si="1"/>
        <v>0</v>
      </c>
      <c r="W35" s="4" t="str">
        <f t="shared" si="2"/>
        <v/>
      </c>
      <c r="X35" s="4" t="str">
        <f t="shared" si="2"/>
        <v/>
      </c>
      <c r="Y35" s="4" t="str">
        <f t="shared" si="2"/>
        <v/>
      </c>
      <c r="Z35" s="4" t="str">
        <f t="shared" si="2"/>
        <v/>
      </c>
      <c r="AA35" s="4" t="str">
        <f t="shared" si="2"/>
        <v/>
      </c>
      <c r="AB35" s="4" t="str">
        <f t="shared" si="2"/>
        <v/>
      </c>
      <c r="AC35" s="4" t="str">
        <f t="shared" si="2"/>
        <v/>
      </c>
      <c r="AD35" s="4" t="str">
        <f t="shared" si="2"/>
        <v/>
      </c>
      <c r="AE35" s="4" t="str">
        <f t="shared" si="2"/>
        <v/>
      </c>
    </row>
    <row r="36" spans="1:31" s="4" customFormat="1" ht="16" customHeight="1" thickBot="1">
      <c r="A36" s="48"/>
      <c r="B36" s="98"/>
      <c r="C36" s="68"/>
      <c r="D36" s="68"/>
      <c r="E36" s="68"/>
      <c r="F36" s="68"/>
      <c r="G36" s="69"/>
      <c r="H36" s="69"/>
      <c r="I36" s="99"/>
      <c r="W36" s="138">
        <f>IF(SUM(W24:W35), SUM(W24:W35),"")</f>
        <v>1000</v>
      </c>
      <c r="X36" s="139">
        <f t="shared" ref="X36:AE36" si="3">IF(SUM(X24:X35), SUM(X24:X35),"")</f>
        <v>100</v>
      </c>
      <c r="Y36" s="140">
        <f t="shared" si="3"/>
        <v>100</v>
      </c>
      <c r="Z36" s="140">
        <f>IF(SUM(Z24:Z35), SUM(Z24:Z35),"")</f>
        <v>1000</v>
      </c>
      <c r="AA36" s="140">
        <f t="shared" si="3"/>
        <v>600</v>
      </c>
      <c r="AB36" s="141">
        <f t="shared" si="3"/>
        <v>50</v>
      </c>
      <c r="AC36" s="141" t="str">
        <f t="shared" si="3"/>
        <v/>
      </c>
      <c r="AD36" s="141" t="str">
        <f t="shared" si="3"/>
        <v/>
      </c>
      <c r="AE36" s="141" t="str">
        <f t="shared" si="3"/>
        <v/>
      </c>
    </row>
    <row r="37" spans="1:31" s="4" customFormat="1" ht="16" customHeight="1" thickBot="1">
      <c r="A37" s="48"/>
      <c r="B37" s="100" t="s">
        <v>263</v>
      </c>
      <c r="C37" s="2"/>
      <c r="D37" s="2"/>
      <c r="E37" s="58"/>
      <c r="F37" s="59"/>
      <c r="G37" s="107" t="s">
        <v>261</v>
      </c>
      <c r="H37" s="108"/>
      <c r="I37" s="109">
        <f>SUM(I23:I35)</f>
        <v>2850</v>
      </c>
      <c r="W37" s="129" t="s">
        <v>314</v>
      </c>
      <c r="X37" s="130" t="s">
        <v>325</v>
      </c>
      <c r="Y37" s="131" t="s">
        <v>315</v>
      </c>
      <c r="Z37" s="131" t="s">
        <v>316</v>
      </c>
      <c r="AA37" s="131" t="s">
        <v>317</v>
      </c>
      <c r="AB37" s="132" t="s">
        <v>318</v>
      </c>
      <c r="AC37" s="118" t="s">
        <v>341</v>
      </c>
      <c r="AD37" s="118" t="s">
        <v>340</v>
      </c>
      <c r="AE37" s="118" t="s">
        <v>339</v>
      </c>
    </row>
    <row r="38" spans="1:31" s="4" customFormat="1" ht="16" customHeight="1" thickBot="1">
      <c r="A38" s="48"/>
      <c r="B38" s="100"/>
      <c r="C38" s="211"/>
      <c r="D38" s="211"/>
      <c r="E38" s="61"/>
      <c r="F38" s="60"/>
      <c r="G38" s="110"/>
      <c r="H38" s="57"/>
      <c r="I38" s="101"/>
    </row>
    <row r="39" spans="1:31" s="4" customFormat="1" ht="16" customHeight="1">
      <c r="A39" s="48"/>
      <c r="B39" s="100"/>
      <c r="C39" s="1"/>
      <c r="D39" s="1"/>
      <c r="E39" s="60"/>
      <c r="F39" s="60"/>
      <c r="G39" s="110" t="s">
        <v>260</v>
      </c>
      <c r="H39" s="60" t="s">
        <v>262</v>
      </c>
      <c r="I39" s="102"/>
      <c r="W39" s="229" t="s">
        <v>331</v>
      </c>
      <c r="X39" s="230"/>
      <c r="Y39" s="230"/>
      <c r="Z39" s="230"/>
      <c r="AA39" s="230"/>
      <c r="AB39" s="230"/>
      <c r="AC39" s="231"/>
    </row>
    <row r="40" spans="1:31" ht="16" customHeight="1" thickBot="1">
      <c r="A40" s="42"/>
      <c r="B40" s="100" t="s">
        <v>264</v>
      </c>
      <c r="C40" s="2"/>
      <c r="D40" s="2"/>
      <c r="E40" s="59"/>
      <c r="F40" s="59"/>
      <c r="G40" s="110" t="s">
        <v>21</v>
      </c>
      <c r="H40" s="60"/>
      <c r="I40" s="103">
        <f>SUM(I37:I39)</f>
        <v>2850</v>
      </c>
      <c r="W40" s="169" t="s">
        <v>337</v>
      </c>
      <c r="X40" s="149" t="s">
        <v>4</v>
      </c>
      <c r="Y40" s="170" t="s">
        <v>16</v>
      </c>
      <c r="Z40" s="170" t="s">
        <v>17</v>
      </c>
      <c r="AA40" s="171" t="s">
        <v>12</v>
      </c>
      <c r="AB40" s="170" t="s">
        <v>18</v>
      </c>
      <c r="AC40" s="172" t="s">
        <v>242</v>
      </c>
      <c r="AD40" s="173" t="s">
        <v>19</v>
      </c>
    </row>
    <row r="41" spans="1:31" ht="16" customHeight="1" thickBot="1">
      <c r="B41" s="104"/>
      <c r="C41" s="105"/>
      <c r="D41" s="105"/>
      <c r="E41" s="105"/>
      <c r="F41" s="105"/>
      <c r="G41" s="104"/>
      <c r="H41" s="105"/>
      <c r="I41" s="106"/>
      <c r="W41" s="165" t="str">
        <f>IF(SUM($W$24:$W$35), "#A","")</f>
        <v>#A</v>
      </c>
      <c r="X41" s="153">
        <f>IF('2499-008'!$W41="#A", W20,"")</f>
        <v>1</v>
      </c>
      <c r="Y41" s="154" t="str">
        <f>IF('2499-008'!$W41="#A", Vendor,"")</f>
        <v>Vendor</v>
      </c>
      <c r="Z41" s="155" t="str">
        <f>IF('2499-008'!$W41="#A", Sheet_PO,"")</f>
        <v>2499-008</v>
      </c>
      <c r="AA41" s="156">
        <f>IF('2499-008'!$W41="#A", W$21,"")</f>
        <v>45849</v>
      </c>
      <c r="AB41" s="155" t="str">
        <f>IF('2499-008'!$W41="#A", W$22,"")</f>
        <v>CASH</v>
      </c>
      <c r="AC41" s="157">
        <f>IF('2499-008'!$W41="#A", W$36,"")</f>
        <v>1000</v>
      </c>
      <c r="AD41" s="155" t="str">
        <f>IF('2499-008'!$W41="#A",
      INDEX('Line No'!$B$1:$B$342, MATCH('2499-008'!$X41, 'Line No'!$A$1:$A$342, 0)),
      "")</f>
        <v>Line Producer</v>
      </c>
    </row>
    <row r="42" spans="1:31" ht="16" customHeight="1">
      <c r="W42" s="166" t="str">
        <f>IF(SUM($X$24:$X$34), "#B", "")</f>
        <v>#B</v>
      </c>
      <c r="X42" s="158">
        <f>IF('2499-008'!$W42="#B", X20,"")</f>
        <v>5</v>
      </c>
      <c r="Y42" s="158" t="str">
        <f>IF('2499-008'!$W42="#B", Vendor,"")</f>
        <v>Vendor</v>
      </c>
      <c r="Z42" s="158" t="str">
        <f>IF('2499-008'!$W42="#B", Sheet_PO,"")</f>
        <v>2499-008</v>
      </c>
      <c r="AA42" s="159">
        <f>IF('2499-008'!$W42="#B", X21,"")</f>
        <v>45849</v>
      </c>
      <c r="AB42" s="158" t="str">
        <f>IF('2499-008'!$W42="#B", X22,"")</f>
        <v>CC 2456</v>
      </c>
      <c r="AC42" s="160">
        <f>IF('2499-008'!$W42="#B", X36,"")</f>
        <v>100</v>
      </c>
      <c r="AD42" s="158" t="str">
        <f>IF('2499-008'!$W42="#B",
      INDEX('Line No'!$B$1:$B$342, MATCH('2499-008'!$X42, 'Line No'!$A$1:$A$342, 0)),
      "")</f>
        <v>1st AC</v>
      </c>
    </row>
    <row r="43" spans="1:31" ht="16" customHeight="1">
      <c r="G43" s="73"/>
      <c r="H43" s="73"/>
      <c r="I43" s="73"/>
      <c r="W43" s="167" t="str">
        <f>IF(SUM($Y$24:$Y$34), "#C", "")</f>
        <v>#C</v>
      </c>
      <c r="X43" s="155">
        <f>IF('2499-008'!$W43="#C", Y20,"")</f>
        <v>6</v>
      </c>
      <c r="Y43" s="154" t="str">
        <f>IF('2499-008'!$W43="#C", Vendor,"")</f>
        <v>Vendor</v>
      </c>
      <c r="Z43" s="155" t="str">
        <f>IF('2499-008'!$W43="#C", Sheet_PO,"")</f>
        <v>2499-008</v>
      </c>
      <c r="AA43" s="156">
        <f>IF('2499-008'!$W43="#C", Y21,"")</f>
        <v>45849</v>
      </c>
      <c r="AB43" s="155" t="str">
        <f>IF('2499-008'!$W43="#C", Y22,"")</f>
        <v>CC 2456</v>
      </c>
      <c r="AC43" s="157">
        <f>IF('2499-008'!$W43="#C", Y36,"")</f>
        <v>100</v>
      </c>
      <c r="AD43" s="155" t="str">
        <f>IF('2499-008'!$W43="#C",
      INDEX('Line No'!$B$1:$B$342, MATCH('2499-008'!$X43, 'Line No'!$A$1:$A$342, 0)),
      "")</f>
        <v>2nd AC</v>
      </c>
    </row>
    <row r="44" spans="1:31" ht="16" customHeight="1">
      <c r="G44" s="73"/>
      <c r="H44" s="128"/>
      <c r="I44" s="73"/>
      <c r="W44" s="168" t="str">
        <f>IF(SUM($Z$24:$Z$34), "#D", "")</f>
        <v>#D</v>
      </c>
      <c r="X44" s="158">
        <f>IF('2499-008'!$W44="#D", Z20,"")</f>
        <v>112</v>
      </c>
      <c r="Y44" s="158" t="str">
        <f>IF('2499-008'!$W44="#D", Vendor,"")</f>
        <v>Vendor</v>
      </c>
      <c r="Z44" s="158" t="str">
        <f>IF('2499-008'!$W44="#D", Sheet_PO,"")</f>
        <v>2499-008</v>
      </c>
      <c r="AA44" s="159">
        <f>IF('2499-008'!$W44="#D", Z21,"")</f>
        <v>45848</v>
      </c>
      <c r="AB44" s="158" t="str">
        <f>IF('2499-008'!$W44="#D", Z22,"")</f>
        <v>CHK 101</v>
      </c>
      <c r="AC44" s="160">
        <f>IF('2499-008'!$W44="#D", Z36,"")</f>
        <v>1000</v>
      </c>
      <c r="AD44" s="158" t="str">
        <f>IF('2499-008'!$W44="#D",
      INDEX('Line No'!$B$1:$B$342, MATCH('2499-008'!$X44, 'Line No'!$A$1:$A$342, 0)),
      "")</f>
        <v>Pre Pro Meals</v>
      </c>
    </row>
    <row r="45" spans="1:31" ht="16" customHeight="1">
      <c r="C45" s="142"/>
      <c r="D45" s="142"/>
      <c r="E45" s="142"/>
      <c r="F45" s="142"/>
      <c r="G45" s="74"/>
      <c r="H45" s="74"/>
      <c r="I45" s="75"/>
      <c r="W45" s="167" t="str">
        <f>IF(SUM($AA$24:$AA$34), "#E", "")</f>
        <v>#E</v>
      </c>
      <c r="X45" s="155">
        <f>IF('2499-008'!$W45="#E", AA20,"")</f>
        <v>204</v>
      </c>
      <c r="Y45" s="154" t="str">
        <f>IF('2499-008'!$W45="#E", Vendor,"")</f>
        <v>Vendor</v>
      </c>
      <c r="Z45" s="155" t="str">
        <f>IF('2499-008'!$W45="#E", Sheet_PO,"")</f>
        <v>2499-008</v>
      </c>
      <c r="AA45" s="156">
        <f>IF('2499-008'!$W45="#E", AA21,"")</f>
        <v>45849</v>
      </c>
      <c r="AB45" s="155" t="str">
        <f>IF('2499-008'!$W45="#E", AA22,"")</f>
        <v>CC 2456</v>
      </c>
      <c r="AC45" s="157">
        <f>IF('2499-008'!$W45="#E", AA36,"")</f>
        <v>600</v>
      </c>
      <c r="AD45" s="155" t="str">
        <f>IF('2499-008'!$W45="#E",
      INDEX('Line No'!$B$1:$B$342, MATCH('2499-008'!$X45, 'Line No'!$A$1:$A$342, 0)),
      "")</f>
        <v>Production Supplies</v>
      </c>
    </row>
    <row r="46" spans="1:31" ht="16" customHeight="1">
      <c r="W46" s="168" t="str">
        <f>IF(SUM($AB$24:$AB$34), "#F", "")</f>
        <v>#F</v>
      </c>
      <c r="X46" s="158">
        <f>IF('2499-008'!$W46="#F", AB20,"")</f>
        <v>205</v>
      </c>
      <c r="Y46" s="158" t="str">
        <f>IF('2499-008'!$W46="#F", Vendor,"")</f>
        <v>Vendor</v>
      </c>
      <c r="Z46" s="158" t="str">
        <f>IF('2499-008'!$W46="#F", Sheet_PO,"")</f>
        <v>2499-008</v>
      </c>
      <c r="AA46" s="159">
        <f>IF('2499-008'!$W46="#F", AB21,"")</f>
        <v>45849</v>
      </c>
      <c r="AB46" s="158" t="str">
        <f>IF('2499-008'!$W46="#F", AB22,"")</f>
        <v>CC 2456</v>
      </c>
      <c r="AC46" s="160">
        <f>IF('2499-008'!$W46="#F", AB36,"")</f>
        <v>50</v>
      </c>
      <c r="AD46" s="158" t="str">
        <f>IF('2499-008'!$W46="#F",
      INDEX('Line No'!$B$1:$B$342, MATCH('2499-008'!$X46, 'Line No'!$A$1:$A$342, 0)),
      "")</f>
        <v>Location Supplies</v>
      </c>
    </row>
    <row r="47" spans="1:31" ht="16" customHeight="1">
      <c r="W47" s="167" t="str">
        <f>IF(SUM($AC$24:$AC$34), "#G", "")</f>
        <v/>
      </c>
      <c r="X47" s="155" t="str">
        <f>IF('2499-008'!$W47="#G", AC20,"")</f>
        <v/>
      </c>
      <c r="Y47" s="154" t="str">
        <f>IF('2499-008'!$W47="#G", Vendor,"")</f>
        <v/>
      </c>
      <c r="Z47" s="155" t="str">
        <f>IF('2499-008'!$W47="#G", Sheet_PO,"")</f>
        <v/>
      </c>
      <c r="AA47" s="161" t="str">
        <f>IF('2499-008'!$W47="#G", AC21,"")</f>
        <v/>
      </c>
      <c r="AB47" s="162" t="str">
        <f>IF('2499-008'!$W47="#G", AC22,"")</f>
        <v/>
      </c>
      <c r="AC47" s="157" t="str">
        <f>IF('2499-008'!$W47="#G", AC36,"")</f>
        <v/>
      </c>
      <c r="AD47" s="155" t="str">
        <f>IF('2499-008'!$W47="#G",
      INDEX('Line No'!$B$1:$B$342, MATCH('2499-008'!$X47, 'Line No'!$A$1:$A$342, 0)),
      "")</f>
        <v/>
      </c>
    </row>
    <row r="48" spans="1:31" ht="16" customHeight="1">
      <c r="W48" s="168" t="str">
        <f>IF(SUM($AD$24:$AD$34), "#H", "")</f>
        <v/>
      </c>
      <c r="X48" s="158" t="str">
        <f>IF('2499-008'!$W48="#H", AD20,"")</f>
        <v/>
      </c>
      <c r="Y48" s="158" t="str">
        <f>IF('2499-008'!$W48="#H", Vendor,"")</f>
        <v/>
      </c>
      <c r="Z48" s="158" t="str">
        <f>IF('2499-008'!$W48="#H", Sheet_PO,"")</f>
        <v/>
      </c>
      <c r="AA48" s="163" t="str">
        <f>IF('2499-008'!$W48="#H", AE21,"")</f>
        <v/>
      </c>
      <c r="AB48" s="164" t="str">
        <f>IF('2499-008'!$W48="#H", AE22,"")</f>
        <v/>
      </c>
      <c r="AC48" s="160" t="str">
        <f>IF('2499-008'!$W48="#H", AE36,"")</f>
        <v/>
      </c>
      <c r="AD48" s="158" t="str">
        <f>IF('2499-008'!$W48="#H",
      INDEX('Line No'!$B$1:$B$342, MATCH('2499-008'!$X48, 'Line No'!$A$1:$A$342, 0)),
      "")</f>
        <v/>
      </c>
    </row>
    <row r="49" spans="22:30" ht="16" customHeight="1">
      <c r="V49" s="1" cm="1">
        <f t="array" ref="V49">SUMPRODUCT(--(W41:W49&lt;&gt;""))</f>
        <v>6</v>
      </c>
      <c r="W49" s="167" t="str">
        <f>IF(SUM($AE$24:$AE$34), "#OTHER", "")</f>
        <v/>
      </c>
      <c r="X49" s="155" t="str">
        <f>IF('2499-008'!$W49="#I", AE20,"")</f>
        <v/>
      </c>
      <c r="Y49" s="154" t="str">
        <f>IF('2499-008'!$W49="#I", Vendor,"")</f>
        <v/>
      </c>
      <c r="Z49" s="155" t="str">
        <f>IF('2499-008'!$W49="#I", Sheet_PO,"")</f>
        <v/>
      </c>
      <c r="AA49" s="161" t="str">
        <f>IF('2499-008'!$W49="#I", AF21,"")</f>
        <v/>
      </c>
      <c r="AB49" s="162" t="str">
        <f>IF('2499-008'!$W49="#I", AF22,"")</f>
        <v/>
      </c>
      <c r="AC49" s="157" t="str">
        <f>IF('2499-008'!$W49="#I", AF36,"")</f>
        <v/>
      </c>
      <c r="AD49" s="155" t="str">
        <f>IF('2499-008'!$W49="#I",
      INDEX('Line No'!$B$1:$B$342, MATCH('2499-008'!$X49, 'Line No'!$A$1:$A$342, 0)),
      "")</f>
        <v/>
      </c>
    </row>
    <row r="50" spans="22:30" ht="16" customHeight="1">
      <c r="W50" s="174"/>
      <c r="X50" s="174"/>
      <c r="Y50" s="175"/>
      <c r="Z50" s="174"/>
      <c r="AA50" s="174"/>
      <c r="AB50" s="174"/>
      <c r="AC50" s="176"/>
      <c r="AD50" s="174"/>
    </row>
  </sheetData>
  <sheetProtection formatCells="0" formatColumns="0" formatRows="0" insertColumns="0" insertRows="0" deleteRows="0" selectLockedCells="1"/>
  <mergeCells count="42">
    <mergeCell ref="C33:D33"/>
    <mergeCell ref="C34:D34"/>
    <mergeCell ref="C35:D35"/>
    <mergeCell ref="C38:D38"/>
    <mergeCell ref="W39:AC39"/>
    <mergeCell ref="C27:D27"/>
    <mergeCell ref="C28:D28"/>
    <mergeCell ref="C29:D29"/>
    <mergeCell ref="C30:D30"/>
    <mergeCell ref="C31:D31"/>
    <mergeCell ref="C32:D32"/>
    <mergeCell ref="AL20:AQ20"/>
    <mergeCell ref="B22:I22"/>
    <mergeCell ref="C23:D23"/>
    <mergeCell ref="C24:D24"/>
    <mergeCell ref="C25:D25"/>
    <mergeCell ref="C26:D26"/>
    <mergeCell ref="C14:D14"/>
    <mergeCell ref="F14:I14"/>
    <mergeCell ref="C18:E18"/>
    <mergeCell ref="F18:I18"/>
    <mergeCell ref="C19:E19"/>
    <mergeCell ref="F19:I19"/>
    <mergeCell ref="C10:D10"/>
    <mergeCell ref="F10:I10"/>
    <mergeCell ref="C11:D11"/>
    <mergeCell ref="C12:D12"/>
    <mergeCell ref="C13:D13"/>
    <mergeCell ref="F13:I13"/>
    <mergeCell ref="C5:D5"/>
    <mergeCell ref="E5:H6"/>
    <mergeCell ref="C6:D6"/>
    <mergeCell ref="B7:C7"/>
    <mergeCell ref="D7:E7"/>
    <mergeCell ref="C9:D9"/>
    <mergeCell ref="F9:I9"/>
    <mergeCell ref="G1:I1"/>
    <mergeCell ref="B2:C2"/>
    <mergeCell ref="D2:G2"/>
    <mergeCell ref="G3:I3"/>
    <mergeCell ref="J3:W3"/>
    <mergeCell ref="B4:G4"/>
  </mergeCells>
  <conditionalFormatting sqref="AD41:AD49">
    <cfRule type="containsText" dxfId="2" priority="1" operator="containsText" text="zzzz">
      <formula>NOT(ISERROR(SEARCH("zzzz",AD41)))</formula>
    </cfRule>
  </conditionalFormatting>
  <printOptions horizontalCentered="1"/>
  <pageMargins left="0.75" right="0.75" top="0.5" bottom="0.5" header="0.5" footer="0.5"/>
  <pageSetup scale="81" orientation="portrait" r:id="rId1"/>
  <headerFooter alignWithMargins="0"/>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16</vt:i4>
      </vt:variant>
      <vt:variant>
        <vt:lpstr>Named Ranges</vt:lpstr>
      </vt:variant>
      <vt:variant>
        <vt:i4>180</vt:i4>
      </vt:variant>
    </vt:vector>
  </HeadingPairs>
  <TitlesOfParts>
    <vt:vector size="196" baseType="lpstr">
      <vt:lpstr>Instructions</vt:lpstr>
      <vt:lpstr>Line No</vt:lpstr>
      <vt:lpstr>PO DATA</vt:lpstr>
      <vt:lpstr>PO Log</vt:lpstr>
      <vt:lpstr>PO Log (2)</vt:lpstr>
      <vt:lpstr>TEMPLATE-SHEET</vt:lpstr>
      <vt:lpstr>TEMPLATE-SHEET_scrap</vt:lpstr>
      <vt:lpstr>Sheet_Index</vt:lpstr>
      <vt:lpstr>2499-001</vt:lpstr>
      <vt:lpstr>2499-002</vt:lpstr>
      <vt:lpstr>2499-003</vt:lpstr>
      <vt:lpstr>2499-004</vt:lpstr>
      <vt:lpstr>2499-005</vt:lpstr>
      <vt:lpstr>2499-006</vt:lpstr>
      <vt:lpstr>2499-007</vt:lpstr>
      <vt:lpstr>2499-008</vt:lpstr>
      <vt:lpstr>'2499-001'!count</vt:lpstr>
      <vt:lpstr>'2499-002'!count</vt:lpstr>
      <vt:lpstr>'2499-003'!count</vt:lpstr>
      <vt:lpstr>'2499-004'!count</vt:lpstr>
      <vt:lpstr>'2499-005'!count</vt:lpstr>
      <vt:lpstr>'2499-006'!count</vt:lpstr>
      <vt:lpstr>'2499-007'!count</vt:lpstr>
      <vt:lpstr>'2499-008'!count</vt:lpstr>
      <vt:lpstr>'TEMPLATE-SHEET'!count</vt:lpstr>
      <vt:lpstr>'TEMPLATE-SHEET_scrap'!count</vt:lpstr>
      <vt:lpstr>'2499-001'!DateEntry</vt:lpstr>
      <vt:lpstr>'2499-002'!DateEntry</vt:lpstr>
      <vt:lpstr>'2499-003'!DateEntry</vt:lpstr>
      <vt:lpstr>'2499-004'!DateEntry</vt:lpstr>
      <vt:lpstr>'2499-005'!DateEntry</vt:lpstr>
      <vt:lpstr>'2499-006'!DateEntry</vt:lpstr>
      <vt:lpstr>'2499-007'!DateEntry</vt:lpstr>
      <vt:lpstr>'2499-008'!DateEntry</vt:lpstr>
      <vt:lpstr>'TEMPLATE-SHEET_scrap'!DateEntry</vt:lpstr>
      <vt:lpstr>DateEntry</vt:lpstr>
      <vt:lpstr>'2499-001'!DateEntryOld</vt:lpstr>
      <vt:lpstr>'2499-002'!DateEntryOld</vt:lpstr>
      <vt:lpstr>'2499-003'!DateEntryOld</vt:lpstr>
      <vt:lpstr>'2499-004'!DateEntryOld</vt:lpstr>
      <vt:lpstr>'2499-005'!DateEntryOld</vt:lpstr>
      <vt:lpstr>'2499-006'!DateEntryOld</vt:lpstr>
      <vt:lpstr>'2499-007'!DateEntryOld</vt:lpstr>
      <vt:lpstr>'2499-008'!DateEntryOld</vt:lpstr>
      <vt:lpstr>'TEMPLATE-SHEET_scrap'!DateEntryOld</vt:lpstr>
      <vt:lpstr>DateEntryOld</vt:lpstr>
      <vt:lpstr>'2499-001'!DateEntryOld3</vt:lpstr>
      <vt:lpstr>'2499-002'!DateEntryOld3</vt:lpstr>
      <vt:lpstr>'2499-003'!DateEntryOld3</vt:lpstr>
      <vt:lpstr>'2499-004'!DateEntryOld3</vt:lpstr>
      <vt:lpstr>'2499-005'!DateEntryOld3</vt:lpstr>
      <vt:lpstr>'2499-006'!DateEntryOld3</vt:lpstr>
      <vt:lpstr>'2499-007'!DateEntryOld3</vt:lpstr>
      <vt:lpstr>'2499-008'!DateEntryOld3</vt:lpstr>
      <vt:lpstr>'TEMPLATE-SHEET_scrap'!DateEntryOld3</vt:lpstr>
      <vt:lpstr>DateEntryOld3</vt:lpstr>
      <vt:lpstr>End</vt:lpstr>
      <vt:lpstr>Job_Name</vt:lpstr>
      <vt:lpstr>Job_Number</vt:lpstr>
      <vt:lpstr>Line</vt:lpstr>
      <vt:lpstr>'2499-001'!LineEntry</vt:lpstr>
      <vt:lpstr>'2499-002'!LineEntry</vt:lpstr>
      <vt:lpstr>'2499-003'!LineEntry</vt:lpstr>
      <vt:lpstr>'2499-004'!LineEntry</vt:lpstr>
      <vt:lpstr>'2499-005'!LineEntry</vt:lpstr>
      <vt:lpstr>'2499-006'!LineEntry</vt:lpstr>
      <vt:lpstr>'2499-007'!LineEntry</vt:lpstr>
      <vt:lpstr>'2499-008'!LineEntry</vt:lpstr>
      <vt:lpstr>'TEMPLATE-SHEET'!LineEntry</vt:lpstr>
      <vt:lpstr>'TEMPLATE-SHEET_scrap'!LineEntry</vt:lpstr>
      <vt:lpstr>'2499-001'!LineEntryOLD</vt:lpstr>
      <vt:lpstr>'2499-002'!LineEntryOLD</vt:lpstr>
      <vt:lpstr>'2499-003'!LineEntryOLD</vt:lpstr>
      <vt:lpstr>'2499-004'!LineEntryOLD</vt:lpstr>
      <vt:lpstr>'2499-005'!LineEntryOLD</vt:lpstr>
      <vt:lpstr>'2499-006'!LineEntryOLD</vt:lpstr>
      <vt:lpstr>'2499-007'!LineEntryOLD</vt:lpstr>
      <vt:lpstr>'2499-008'!LineEntryOLD</vt:lpstr>
      <vt:lpstr>'TEMPLATE-SHEET_scrap'!LineEntryOLD</vt:lpstr>
      <vt:lpstr>LineEntryOLD</vt:lpstr>
      <vt:lpstr>'2499-001'!LineEntryOLD2</vt:lpstr>
      <vt:lpstr>'2499-002'!LineEntryOLD2</vt:lpstr>
      <vt:lpstr>'2499-003'!LineEntryOLD2</vt:lpstr>
      <vt:lpstr>'2499-004'!LineEntryOLD2</vt:lpstr>
      <vt:lpstr>'2499-005'!LineEntryOLD2</vt:lpstr>
      <vt:lpstr>'2499-006'!LineEntryOLD2</vt:lpstr>
      <vt:lpstr>'2499-007'!LineEntryOLD2</vt:lpstr>
      <vt:lpstr>'2499-008'!LineEntryOLD2</vt:lpstr>
      <vt:lpstr>'TEMPLATE-SHEET_scrap'!LineEntryOLD2</vt:lpstr>
      <vt:lpstr>LineEntryOLD2</vt:lpstr>
      <vt:lpstr>'2499-001'!LineEntryOld3</vt:lpstr>
      <vt:lpstr>'2499-002'!LineEntryOld3</vt:lpstr>
      <vt:lpstr>'2499-003'!LineEntryOld3</vt:lpstr>
      <vt:lpstr>'2499-004'!LineEntryOld3</vt:lpstr>
      <vt:lpstr>'2499-005'!LineEntryOld3</vt:lpstr>
      <vt:lpstr>'2499-006'!LineEntryOld3</vt:lpstr>
      <vt:lpstr>'2499-007'!LineEntryOld3</vt:lpstr>
      <vt:lpstr>'2499-008'!LineEntryOld3</vt:lpstr>
      <vt:lpstr>'TEMPLATE-SHEET_scrap'!LineEntryOld3</vt:lpstr>
      <vt:lpstr>LineEntryOld3</vt:lpstr>
      <vt:lpstr>'2499-001'!OLD</vt:lpstr>
      <vt:lpstr>'2499-002'!OLD</vt:lpstr>
      <vt:lpstr>'2499-003'!OLD</vt:lpstr>
      <vt:lpstr>'2499-004'!OLD</vt:lpstr>
      <vt:lpstr>'2499-005'!OLD</vt:lpstr>
      <vt:lpstr>'2499-006'!OLD</vt:lpstr>
      <vt:lpstr>'2499-007'!OLD</vt:lpstr>
      <vt:lpstr>'2499-008'!OLD</vt:lpstr>
      <vt:lpstr>'TEMPLATE-SHEET_scrap'!OLD</vt:lpstr>
      <vt:lpstr>OLD</vt:lpstr>
      <vt:lpstr>'2499-001'!PAYEE</vt:lpstr>
      <vt:lpstr>'2499-002'!PAYEE</vt:lpstr>
      <vt:lpstr>'2499-003'!PAYEE</vt:lpstr>
      <vt:lpstr>'2499-004'!PAYEE</vt:lpstr>
      <vt:lpstr>'2499-005'!PAYEE</vt:lpstr>
      <vt:lpstr>'2499-006'!PAYEE</vt:lpstr>
      <vt:lpstr>'2499-007'!PAYEE</vt:lpstr>
      <vt:lpstr>'2499-008'!PAYEE</vt:lpstr>
      <vt:lpstr>'TEMPLATE-SHEET'!PAYEE</vt:lpstr>
      <vt:lpstr>'TEMPLATE-SHEET_scrap'!PAYEE</vt:lpstr>
      <vt:lpstr>'2499-001'!PayIDEntry</vt:lpstr>
      <vt:lpstr>'2499-002'!PayIDEntry</vt:lpstr>
      <vt:lpstr>'2499-003'!PayIDEntry</vt:lpstr>
      <vt:lpstr>'2499-004'!PayIDEntry</vt:lpstr>
      <vt:lpstr>'2499-005'!PayIDEntry</vt:lpstr>
      <vt:lpstr>'2499-006'!PayIDEntry</vt:lpstr>
      <vt:lpstr>'2499-007'!PayIDEntry</vt:lpstr>
      <vt:lpstr>'2499-008'!PayIDEntry</vt:lpstr>
      <vt:lpstr>'TEMPLATE-SHEET_scrap'!PayIDEntry</vt:lpstr>
      <vt:lpstr>PayIDEntry</vt:lpstr>
      <vt:lpstr>'2499-001'!PayIDEntryOLD</vt:lpstr>
      <vt:lpstr>'2499-002'!PayIDEntryOLD</vt:lpstr>
      <vt:lpstr>'2499-003'!PayIDEntryOLD</vt:lpstr>
      <vt:lpstr>'2499-004'!PayIDEntryOLD</vt:lpstr>
      <vt:lpstr>'2499-005'!PayIDEntryOLD</vt:lpstr>
      <vt:lpstr>'2499-006'!PayIDEntryOLD</vt:lpstr>
      <vt:lpstr>'2499-007'!PayIDEntryOLD</vt:lpstr>
      <vt:lpstr>'2499-008'!PayIDEntryOLD</vt:lpstr>
      <vt:lpstr>'TEMPLATE-SHEET_scrap'!PayIDEntryOLD</vt:lpstr>
      <vt:lpstr>PayIDEntryOLD</vt:lpstr>
      <vt:lpstr>'2499-001'!PayIDEntryOld2</vt:lpstr>
      <vt:lpstr>'2499-002'!PayIDEntryOld2</vt:lpstr>
      <vt:lpstr>'2499-003'!PayIDEntryOld2</vt:lpstr>
      <vt:lpstr>'2499-004'!PayIDEntryOld2</vt:lpstr>
      <vt:lpstr>'2499-005'!PayIDEntryOld2</vt:lpstr>
      <vt:lpstr>'2499-006'!PayIDEntryOld2</vt:lpstr>
      <vt:lpstr>'2499-007'!PayIDEntryOld2</vt:lpstr>
      <vt:lpstr>'2499-008'!PayIDEntryOld2</vt:lpstr>
      <vt:lpstr>'TEMPLATE-SHEET_scrap'!PayIDEntryOld2</vt:lpstr>
      <vt:lpstr>PayIDEntryOld2</vt:lpstr>
      <vt:lpstr>'2499-001'!PayIDEntryOld3</vt:lpstr>
      <vt:lpstr>'2499-002'!PayIDEntryOld3</vt:lpstr>
      <vt:lpstr>'2499-003'!PayIDEntryOld3</vt:lpstr>
      <vt:lpstr>'2499-004'!PayIDEntryOld3</vt:lpstr>
      <vt:lpstr>'2499-005'!PayIDEntryOld3</vt:lpstr>
      <vt:lpstr>'2499-006'!PayIDEntryOld3</vt:lpstr>
      <vt:lpstr>'2499-007'!PayIDEntryOld3</vt:lpstr>
      <vt:lpstr>'2499-008'!PayIDEntryOld3</vt:lpstr>
      <vt:lpstr>'TEMPLATE-SHEET_scrap'!PayIDEntryOld3</vt:lpstr>
      <vt:lpstr>PayIDEntryOld3</vt:lpstr>
      <vt:lpstr>POtable</vt:lpstr>
      <vt:lpstr>POtable_header</vt:lpstr>
      <vt:lpstr>Prefix</vt:lpstr>
      <vt:lpstr>'2499-001'!Print_Area</vt:lpstr>
      <vt:lpstr>'2499-002'!Print_Area</vt:lpstr>
      <vt:lpstr>'2499-003'!Print_Area</vt:lpstr>
      <vt:lpstr>'2499-004'!Print_Area</vt:lpstr>
      <vt:lpstr>'2499-005'!Print_Area</vt:lpstr>
      <vt:lpstr>'2499-006'!Print_Area</vt:lpstr>
      <vt:lpstr>'2499-007'!Print_Area</vt:lpstr>
      <vt:lpstr>'2499-008'!Print_Area</vt:lpstr>
      <vt:lpstr>'PO Log'!Print_Area</vt:lpstr>
      <vt:lpstr>'PO Log (2)'!Print_Area</vt:lpstr>
      <vt:lpstr>'TEMPLATE-SHEET'!Print_Area</vt:lpstr>
      <vt:lpstr>'TEMPLATE-SHEET_scrap'!Print_Area</vt:lpstr>
      <vt:lpstr>'2499-001'!Sheet_PO</vt:lpstr>
      <vt:lpstr>'2499-002'!Sheet_PO</vt:lpstr>
      <vt:lpstr>'2499-003'!Sheet_PO</vt:lpstr>
      <vt:lpstr>'2499-004'!Sheet_PO</vt:lpstr>
      <vt:lpstr>'2499-005'!Sheet_PO</vt:lpstr>
      <vt:lpstr>'2499-006'!Sheet_PO</vt:lpstr>
      <vt:lpstr>'2499-007'!Sheet_PO</vt:lpstr>
      <vt:lpstr>'2499-008'!Sheet_PO</vt:lpstr>
      <vt:lpstr>'TEMPLATE-SHEET_scrap'!Sheet_PO</vt:lpstr>
      <vt:lpstr>Sheet_PO</vt:lpstr>
      <vt:lpstr>Start</vt:lpstr>
      <vt:lpstr>'2499-001'!Vendor</vt:lpstr>
      <vt:lpstr>'2499-002'!Vendor</vt:lpstr>
      <vt:lpstr>'2499-003'!Vendor</vt:lpstr>
      <vt:lpstr>'2499-004'!Vendor</vt:lpstr>
      <vt:lpstr>'2499-005'!Vendor</vt:lpstr>
      <vt:lpstr>'2499-006'!Vendor</vt:lpstr>
      <vt:lpstr>'2499-007'!Vendor</vt:lpstr>
      <vt:lpstr>'2499-008'!Vendor</vt:lpstr>
      <vt:lpstr>'TEMPLATE-SHEET_scrap'!Vendor</vt:lpstr>
      <vt:lpstr>Vendor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Joshua Parkhill</dc:creator>
  <cp:keywords/>
  <dc:description/>
  <cp:lastModifiedBy>Joshua Parkhill</cp:lastModifiedBy>
  <cp:lastPrinted>2024-08-21T04:15:37Z</cp:lastPrinted>
  <dcterms:created xsi:type="dcterms:W3CDTF">2024-07-31T22:19:32Z</dcterms:created>
  <dcterms:modified xsi:type="dcterms:W3CDTF">2025-02-28T21:14:12Z</dcterms:modified>
  <cp:category/>
</cp:coreProperties>
</file>