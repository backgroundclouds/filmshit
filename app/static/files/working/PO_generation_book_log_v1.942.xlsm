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F962E726-5029-EF4A-B655-B366624F5A20}" xr6:coauthVersionLast="47" xr6:coauthVersionMax="47" xr10:uidLastSave="{00000000-0000-0000-0000-000000000000}"/>
  <bookViews>
    <workbookView visibility="hidden" xWindow="760" yWindow="760" windowWidth="32780" windowHeight="21200" activeTab="3" xr2:uid="{F53C5A8A-5863-CA49-A26A-71321E44290F}"/>
    <workbookView xWindow="3140" yWindow="1180" windowWidth="22160" windowHeight="20900" activeTab="4" xr2:uid="{C8DC7964-DBBD-3948-BE63-5C542FBE1DFA}"/>
  </bookViews>
  <sheets>
    <sheet name="Instructions" sheetId="610" r:id="rId1"/>
    <sheet name="Line No" sheetId="3" r:id="rId2"/>
    <sheet name="PO DATA" sheetId="6" r:id="rId3"/>
    <sheet name="PO Log" sheetId="785" r:id="rId4"/>
    <sheet name="TEMPLATE-SHEET" sheetId="4" r:id="rId5"/>
    <sheet name="Sheet_Index" sheetId="748" r:id="rId6"/>
  </sheets>
  <externalReferences>
    <externalReference r:id="rId7"/>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ROW"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TRANSPOSE"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4">'TEMPLATE-SHEET'!$V$49</definedName>
    <definedName name="DateEntry">'TEMPLATE-SHEET'!$E$24:$E$35</definedName>
    <definedName name="DateEntryOld">'TEMPLATE-SHEET'!$E$24:$E$35</definedName>
    <definedName name="DateEntryOld3">'TEMPLATE-SHEET'!$E$24:$E$35</definedName>
    <definedName name="End">'PO DATA'!$C$17</definedName>
    <definedName name="Job_Name">'PO DATA'!$D$2</definedName>
    <definedName name="Job_Number">'PO DATA'!$D$3</definedName>
    <definedName name="Line">'Line No'!$A$1:$B$374</definedName>
    <definedName name="LineEntry" localSheetId="4">'TEMPLATE-SHEET'!$B$24:$B$35</definedName>
    <definedName name="LineEntryOLD">'TEMPLATE-SHEET'!$B$24:$B$35</definedName>
    <definedName name="LineEntryOLD2">'TEMPLATE-SHEET'!$B$24:$B$35</definedName>
    <definedName name="LineEntryOld3">'TEMPLATE-SHEET'!$B$24:$B$35</definedName>
    <definedName name="LINEOld">'[1]Line No'!$A$1:$B$360</definedName>
    <definedName name="OLD">'TEMPLATE-SHEET'!$E$24:$E$35</definedName>
    <definedName name="PAYEE" localSheetId="4">'TEMPLATE-SHEET'!$Y$40:$Y$50</definedName>
    <definedName name="PayIDEntry">'TEMPLATE-SHEET'!$F$24:$F$35</definedName>
    <definedName name="PayIDEntryOLD">'TEMPLATE-SHEET'!$F$24:$F$35</definedName>
    <definedName name="PayIDEntryOld2">'TEMPLATE-SHEET'!$F$24:$F$35</definedName>
    <definedName name="PayIDEntryOld3">'TEMPLATE-SHEET'!$F$24:$F$35</definedName>
    <definedName name="PO_Log" localSheetId="3">'PO Log'!$A$6:INDEX('PO Log'!$I:$I, COUNTA('PO Log'!$A:$A) + 4)</definedName>
    <definedName name="PO_total">INDEX('PO Log'!$G:$G, COUNTA('PO Log'!$A:$A) + 6)</definedName>
    <definedName name="POtable">'PO DATA'!$F$14:$F$124</definedName>
    <definedName name="POtable_header">'PO DATA'!$F$14</definedName>
    <definedName name="Prefix">'PO DATA'!$B$15</definedName>
    <definedName name="_xlnm.Print_Area" localSheetId="3">'PO Log'!$B$6:$F$38</definedName>
    <definedName name="_xlnm.Print_Area" localSheetId="4">'TEMPLATE-SHEET'!$B$1:$I$47</definedName>
    <definedName name="Sheet_PO">'TEMPLATE-SHEET'!$G$3</definedName>
    <definedName name="Start">'PO DATA'!$B$17</definedName>
    <definedName name="Vendor">'TEMPLATE-SHEET'!$C$10</definedName>
    <definedName name="Z_8CEFEE3B_E906_4903_9850_D32C8D742297_.wvu.PrintArea" localSheetId="4" hidden="1">'TEMPLATE-SHEET'!$B$1:$I$46</definedName>
    <definedName name="Z_C1355A62_F1E2_4388_B529_AB508DE122C3_.wvu.PrintArea" localSheetId="4" hidden="1">'TEMPLATE-SHEET'!$B$1:$I$46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0" i="4" l="1" a="1"/>
  <c r="L20" i="4" s="1"/>
  <c r="U20" i="4" l="1" a="1"/>
  <c r="U20" i="4" s="1"/>
  <c r="W20" i="4" s="1" a="1"/>
  <c r="W20" i="4" s="1"/>
  <c r="AE35" i="4" l="1"/>
  <c r="AD35" i="4"/>
  <c r="AC35" i="4"/>
  <c r="B3" i="748" a="1"/>
  <c r="B5" i="748" a="1"/>
  <c r="B6" i="748" a="1"/>
  <c r="B2" i="748" a="1"/>
  <c r="B4" i="748" a="1"/>
  <c r="B5" i="748" l="1"/>
  <c r="B2" i="748"/>
  <c r="B6" i="748"/>
  <c r="B4" i="748"/>
  <c r="B3" i="748"/>
  <c r="A7" i="785" a="1"/>
  <c r="A7" i="785" l="1"/>
  <c r="C1" i="785" l="1"/>
  <c r="X35" i="4"/>
  <c r="Y35" i="4"/>
  <c r="Z35" i="4"/>
  <c r="AA35" i="4"/>
  <c r="AB35" i="4"/>
  <c r="W35" i="4"/>
  <c r="I24" i="4"/>
  <c r="AE24" i="4" l="1"/>
  <c r="AD24" i="4"/>
  <c r="AC24" i="4"/>
  <c r="W24" i="4"/>
  <c r="Z24" i="4"/>
  <c r="Y24" i="4"/>
  <c r="AA24" i="4"/>
  <c r="AB24" i="4"/>
  <c r="X24" i="4"/>
  <c r="I35" i="4" l="1"/>
  <c r="I34" i="4"/>
  <c r="I33" i="4"/>
  <c r="I32" i="4"/>
  <c r="I31" i="4"/>
  <c r="I30" i="4"/>
  <c r="I29" i="4"/>
  <c r="I28" i="4"/>
  <c r="I27" i="4"/>
  <c r="I26" i="4"/>
  <c r="I25" i="4"/>
  <c r="AE32" i="4" l="1"/>
  <c r="AC32" i="4"/>
  <c r="AD32" i="4"/>
  <c r="AC26" i="4"/>
  <c r="AD26" i="4"/>
  <c r="AE26" i="4"/>
  <c r="AE27" i="4"/>
  <c r="AC27" i="4"/>
  <c r="AD27" i="4"/>
  <c r="AC33" i="4"/>
  <c r="AD33" i="4"/>
  <c r="AE33" i="4"/>
  <c r="AE34" i="4"/>
  <c r="AC34" i="4"/>
  <c r="AD34" i="4"/>
  <c r="AD25" i="4"/>
  <c r="AC25" i="4"/>
  <c r="AE25" i="4"/>
  <c r="AE28" i="4"/>
  <c r="AD28" i="4"/>
  <c r="AC28" i="4"/>
  <c r="AD29" i="4"/>
  <c r="AC29" i="4"/>
  <c r="AE29" i="4"/>
  <c r="AE30" i="4"/>
  <c r="AD30" i="4"/>
  <c r="AC30" i="4"/>
  <c r="AD31" i="4"/>
  <c r="AE31" i="4"/>
  <c r="AC31" i="4"/>
  <c r="AA28" i="4"/>
  <c r="AB28" i="4"/>
  <c r="W28" i="4"/>
  <c r="Y28" i="4"/>
  <c r="Z28" i="4"/>
  <c r="X28" i="4"/>
  <c r="W29" i="4"/>
  <c r="X29" i="4"/>
  <c r="Y29" i="4"/>
  <c r="Z29" i="4"/>
  <c r="AA29" i="4"/>
  <c r="AB29" i="4"/>
  <c r="AA30" i="4"/>
  <c r="AB30" i="4"/>
  <c r="W30" i="4"/>
  <c r="X30" i="4"/>
  <c r="Z30" i="4"/>
  <c r="Y30" i="4"/>
  <c r="W31" i="4"/>
  <c r="X31" i="4"/>
  <c r="Y31" i="4"/>
  <c r="Z31" i="4"/>
  <c r="AA31" i="4"/>
  <c r="AB31" i="4"/>
  <c r="W32" i="4"/>
  <c r="AB32" i="4"/>
  <c r="AA32" i="4"/>
  <c r="Y32" i="4"/>
  <c r="X32" i="4"/>
  <c r="Z32" i="4"/>
  <c r="X33" i="4"/>
  <c r="Z33" i="4"/>
  <c r="Y33" i="4"/>
  <c r="AA33" i="4"/>
  <c r="AB33" i="4"/>
  <c r="W33" i="4"/>
  <c r="AB34" i="4"/>
  <c r="AA34" i="4"/>
  <c r="X34" i="4"/>
  <c r="Z34" i="4"/>
  <c r="W34" i="4"/>
  <c r="Y34" i="4"/>
  <c r="AB25" i="4"/>
  <c r="X25" i="4"/>
  <c r="W25" i="4"/>
  <c r="Y25" i="4"/>
  <c r="Z25" i="4"/>
  <c r="AA25" i="4"/>
  <c r="AA27" i="4"/>
  <c r="AB27" i="4"/>
  <c r="W27" i="4"/>
  <c r="Z27" i="4"/>
  <c r="Y27" i="4"/>
  <c r="X27" i="4"/>
  <c r="Z26" i="4"/>
  <c r="Y26" i="4"/>
  <c r="W26" i="4"/>
  <c r="AB26" i="4"/>
  <c r="X26" i="4"/>
  <c r="AA26" i="4"/>
  <c r="I37" i="4"/>
  <c r="I40" i="4" s="1"/>
  <c r="AH49" i="4" l="1"/>
  <c r="AD36" i="4"/>
  <c r="AC36" i="4"/>
  <c r="AE36" i="4"/>
  <c r="AA36" i="4"/>
  <c r="W36" i="4"/>
  <c r="Z36" i="4"/>
  <c r="Y36" i="4"/>
  <c r="X36" i="4"/>
  <c r="AB36" i="4"/>
  <c r="AH48" i="4"/>
  <c r="AH47" i="4"/>
  <c r="AL47" i="4" s="1"/>
  <c r="AH41" i="4"/>
  <c r="AM41" i="4" s="1"/>
  <c r="AH42" i="4"/>
  <c r="AH45" i="4"/>
  <c r="AH43" i="4"/>
  <c r="AH44" i="4"/>
  <c r="AH46" i="4"/>
  <c r="C9" i="4"/>
  <c r="AN48" i="4" l="1"/>
  <c r="AM48" i="4"/>
  <c r="AM49" i="4"/>
  <c r="AN49" i="4"/>
  <c r="AK49" i="4"/>
  <c r="AJ49" i="4"/>
  <c r="AO49" i="4"/>
  <c r="AL49" i="4"/>
  <c r="AI49" i="4"/>
  <c r="AL48" i="4"/>
  <c r="AI43" i="4"/>
  <c r="AO43" i="4" s="1"/>
  <c r="AI45" i="4"/>
  <c r="AO45" i="4" s="1"/>
  <c r="AI42" i="4"/>
  <c r="AO42" i="4" s="1"/>
  <c r="AJ41" i="4"/>
  <c r="AI46" i="4"/>
  <c r="AO46" i="4" s="1"/>
  <c r="AI44" i="4"/>
  <c r="AO44" i="4" s="1"/>
  <c r="AI47" i="4"/>
  <c r="AO47" i="4" s="1"/>
  <c r="AJ47" i="4"/>
  <c r="AK47" i="4"/>
  <c r="AN47" i="4"/>
  <c r="AM47" i="4"/>
  <c r="AI48" i="4"/>
  <c r="AO48" i="4" s="1"/>
  <c r="AJ48" i="4"/>
  <c r="AK48" i="4"/>
  <c r="AJ46" i="4"/>
  <c r="AJ42" i="4"/>
  <c r="AJ43" i="4"/>
  <c r="AJ45" i="4"/>
  <c r="AJ44" i="4"/>
  <c r="V49" i="4" a="1"/>
  <c r="V49" i="4" s="1"/>
  <c r="AI41" i="4"/>
  <c r="AO41" i="4" s="1"/>
  <c r="AK41" i="4"/>
  <c r="AM46" i="4"/>
  <c r="AN46" i="4"/>
  <c r="AK46" i="4"/>
  <c r="AL46" i="4"/>
  <c r="AL43" i="4"/>
  <c r="AM43" i="4"/>
  <c r="AN43" i="4"/>
  <c r="AK43" i="4"/>
  <c r="AL41" i="4"/>
  <c r="AN41" i="4"/>
  <c r="AL42" i="4"/>
  <c r="AM42" i="4"/>
  <c r="AN42" i="4"/>
  <c r="AK42" i="4"/>
  <c r="AN45" i="4"/>
  <c r="AK45" i="4"/>
  <c r="AL45" i="4"/>
  <c r="AM45" i="4"/>
  <c r="AK44" i="4"/>
  <c r="AL44" i="4"/>
  <c r="AM44" i="4"/>
  <c r="AN44" i="4"/>
  <c r="F15" i="6" l="1" a="1"/>
  <c r="F15" i="6" s="1"/>
  <c r="F10" i="4"/>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<sst xmlns="http://schemas.openxmlformats.org/spreadsheetml/2006/main" count="494" uniqueCount="369">
  <si>
    <t>AMOUNT</t>
  </si>
  <si>
    <t>COST</t>
  </si>
  <si>
    <t>QUANTITY</t>
  </si>
  <si>
    <t>DESCRIPTION</t>
  </si>
  <si>
    <t>LINE</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</si>
  <si>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</si>
  <si>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</si>
  <si>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</si>
  <si>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</si>
  <si>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</si>
  <si>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</si>
  <si>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</si>
  <si>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</si>
  <si>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</si>
  <si>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</si>
  <si>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</si>
  <si>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</si>
  <si>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</si>
  <si>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</si>
  <si>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</si>
  <si>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</si>
  <si>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</si>
  <si>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</si>
  <si>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</si>
  <si>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</si>
  <si>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</si>
  <si>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</si>
  <si>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</si>
  <si>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</si>
  <si>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</si>
  <si>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</si>
  <si>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</si>
  <si>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</si>
  <si>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</si>
  <si>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</si>
  <si>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</si>
  <si>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</si>
  <si>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</si>
  <si>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</si>
  <si>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</si>
  <si>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</si>
  <si>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</si>
  <si>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</si>
  <si>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</si>
  <si>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</si>
  <si>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</si>
  <si>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</si>
  <si>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</si>
  <si>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</si>
  <si>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</si>
  <si>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</si>
  <si>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</si>
  <si>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</si>
  <si>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</si>
  <si>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</si>
  <si>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</si>
  <si>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</si>
  <si>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</si>
  <si>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</si>
  <si>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</si>
  <si>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</si>
  <si>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</si>
  <si>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</si>
  <si>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</si>
  <si>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</si>
  <si>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</si>
  <si>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</si>
  <si>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</si>
  <si>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</si>
  <si>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</si>
  <si>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</si>
  <si>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</si>
  <si>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</si>
  <si>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</si>
  <si>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</si>
  <si>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</si>
  <si>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</si>
  <si>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</si>
  <si>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</si>
  <si>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</si>
  <si>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</si>
  <si>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</si>
  <si>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</si>
  <si>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</si>
  <si>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</si>
  <si>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</si>
  <si>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</si>
  <si>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</si>
  <si>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</si>
  <si>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</si>
  <si>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</si>
  <si>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</si>
  <si>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</si>
  <si>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</si>
  <si>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</si>
  <si>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</si>
  <si>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</si>
  <si>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</si>
  <si>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</si>
  <si>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</si>
  <si>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</si>
  <si>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</si>
  <si>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</si>
  <si>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</si>
  <si>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</si>
  <si>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</si>
  <si>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</si>
  <si>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</si>
  <si>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</si>
  <si>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</si>
  <si>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</si>
  <si>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</si>
  <si>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</si>
  <si>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</si>
  <si>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</si>
  <si>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</si>
  <si>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</si>
  <si>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</si>
  <si>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</si>
  <si>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</si>
  <si>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</si>
  <si>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</si>
  <si>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</si>
  <si>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</si>
  <si>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</si>
  <si>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</si>
  <si>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</si>
  <si>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</si>
  <si>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</si>
  <si>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</si>
  <si>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</si>
  <si>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</si>
  <si>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</si>
  <si>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</si>
  <si>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</si>
  <si>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</si>
  <si>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</si>
  <si>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</si>
  <si>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</si>
  <si>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</si>
  <si>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</si>
  <si>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</si>
  <si>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</si>
  <si>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</si>
  <si>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</si>
  <si>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</si>
  <si>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</si>
  <si>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</si>
  <si>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</si>
  <si>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</si>
  <si>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</si>
  <si>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</si>
  <si>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</si>
  <si>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</si>
  <si>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</si>
  <si>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</si>
  <si>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</si>
  <si>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</si>
  <si>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</si>
  <si>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</si>
  <si>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</si>
  <si>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</si>
  <si>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</si>
  <si>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</si>
  <si>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</si>
  <si>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</si>
  <si>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</si>
  <si>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</si>
  <si>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</si>
  <si>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</si>
  <si>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</si>
  <si>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</si>
  <si>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</si>
  <si>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</si>
  <si>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</si>
  <si>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</si>
  <si>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</si>
  <si>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</si>
  <si>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</si>
  <si>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</si>
  <si>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</si>
  <si>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</si>
  <si>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</si>
  <si>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</si>
  <si>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</si>
  <si>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</si>
  <si>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</si>
  <si>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</si>
  <si>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</si>
  <si>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</si>
  <si>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</si>
  <si>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</si>
  <si>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</si>
  <si>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</si>
  <si>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</si>
  <si>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</si>
  <si>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</si>
  <si>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</si>
  <si>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</si>
  <si>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</si>
  <si>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</si>
  <si>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</si>
  <si>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</si>
  <si>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</si>
  <si>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</si>
  <si>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</si>
  <si>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</si>
  <si>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</si>
  <si>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</si>
  <si>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</si>
  <si>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</si>
  <si>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</si>
  <si>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</si>
  <si>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</si>
  <si>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</si>
  <si>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</si>
  <si>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</si>
  <si>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</si>
  <si>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</si>
  <si>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</si>
  <si>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</si>
  <si>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</si>
  <si>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</si>
  <si>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</si>
  <si>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</si>
  <si>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</si>
  <si>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</si>
  <si>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</si>
  <si>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</si>
  <si>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</si>
  <si>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</si>
  <si>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</si>
  <si>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</si>
  <si>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</si>
  <si>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</si>
  <si>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</si>
  <si>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</si>
  <si>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</si>
  <si>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</si>
  <si>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</si>
  <si>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</si>
  <si>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</si>
  <si>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</si>
  <si>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</si>
  <si>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</si>
  <si>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</si>
  <si>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</si>
  <si>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</si>
  <si>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</si>
  <si>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</si>
  <si>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</si>
  <si>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</si>
  <si>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</si>
  <si>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</si>
  <si>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</si>
  <si>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</si>
  <si>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</si>
  <si>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</si>
  <si>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</si>
  <si>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</si>
  <si>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</si>
  <si>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</si>
  <si>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</si>
  <si>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</si>
  <si>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</si>
  <si>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</si>
  <si>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</si>
  <si>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</si>
  <si>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</si>
  <si>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</si>
  <si>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</si>
  <si>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</si>
  <si>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</si>
  <si>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</si>
  <si>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</si>
  <si>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</si>
  <si>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</si>
  <si>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</si>
  <si>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</si>
  <si>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</si>
  <si>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</si>
  <si>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</si>
  <si>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</si>
  <si>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</si>
  <si>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</si>
  <si>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</si>
  <si>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</si>
  <si>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</si>
  <si>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</si>
  <si>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</si>
  <si>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</si>
  <si>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</si>
  <si>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</si>
  <si>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</si>
  <si>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</si>
  <si>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</si>
  <si>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</si>
  <si>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</si>
  <si>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</si>
  <si>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</si>
  <si>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</si>
  <si>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</si>
  <si>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</si>
  <si>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</si>
  <si>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</si>
  <si>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</si>
  <si>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</si>
  <si>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#A</t>
  </si>
  <si>
    <t>#C</t>
  </si>
  <si>
    <t>#D</t>
  </si>
  <si>
    <t>#E</t>
  </si>
  <si>
    <t>#F</t>
  </si>
  <si>
    <t>#B</t>
  </si>
  <si>
    <t>Line</t>
  </si>
  <si>
    <t>Date</t>
  </si>
  <si>
    <t>PayID</t>
  </si>
  <si>
    <t>PO LOG PREVIEW</t>
  </si>
  <si>
    <t>Vendor</t>
  </si>
  <si>
    <t>HHEADER</t>
  </si>
  <si>
    <t>RowCount</t>
  </si>
  <si>
    <t>#I OTHER</t>
  </si>
  <si>
    <t>#H</t>
  </si>
  <si>
    <t>#G</t>
  </si>
  <si>
    <t>PC</t>
  </si>
  <si>
    <t>Tech Scout Van/People Mover</t>
  </si>
  <si>
    <t>Client/Agency - Meals/treats</t>
  </si>
  <si>
    <t>Client/Agency - Miscellaneous</t>
  </si>
  <si>
    <t>CS1</t>
  </si>
  <si>
    <t>Pre-Production | Wrap Labor</t>
  </si>
  <si>
    <t>CS2</t>
  </si>
  <si>
    <t>Shooting Labor</t>
  </si>
  <si>
    <t>CS3</t>
  </si>
  <si>
    <t>Pre-production | Wrap Expenses</t>
  </si>
  <si>
    <t>CS4</t>
  </si>
  <si>
    <t>Location And Staging</t>
  </si>
  <si>
    <t>CS5</t>
  </si>
  <si>
    <t>Makeup, Wardrobe, And Animals</t>
  </si>
  <si>
    <t>CS6</t>
  </si>
  <si>
    <t>Studio | Stage Rental / Expenses</t>
  </si>
  <si>
    <t>CS7</t>
  </si>
  <si>
    <t>Art Department Labor</t>
  </si>
  <si>
    <t>CS8</t>
  </si>
  <si>
    <t>Art Department Expenses</t>
  </si>
  <si>
    <t>CS9</t>
  </si>
  <si>
    <t>Equipment Costs</t>
  </si>
  <si>
    <t>CS10</t>
  </si>
  <si>
    <t>Filmstock, Develop And Print</t>
  </si>
  <si>
    <t>CS11</t>
  </si>
  <si>
    <t>Miscellaneous</t>
  </si>
  <si>
    <t>CS12</t>
  </si>
  <si>
    <t>Director | Creative Fees</t>
  </si>
  <si>
    <t>CS13</t>
  </si>
  <si>
    <t>Talent Labor</t>
  </si>
  <si>
    <t>CS14</t>
  </si>
  <si>
    <t>Travel Expenses</t>
  </si>
  <si>
    <t>CS15</t>
  </si>
  <si>
    <t>Covid Labor</t>
  </si>
  <si>
    <t>CS16</t>
  </si>
  <si>
    <t>CS17</t>
  </si>
  <si>
    <t>CS18</t>
  </si>
  <si>
    <t>CS19</t>
  </si>
  <si>
    <t>Travel</t>
  </si>
  <si>
    <t>CS20</t>
  </si>
  <si>
    <t>Production Fee</t>
  </si>
  <si>
    <t>Petty Cash</t>
  </si>
  <si>
    <t>PR</t>
  </si>
  <si>
    <t>Payroll Log</t>
  </si>
  <si>
    <t>CC Visa</t>
  </si>
  <si>
    <t>Fakington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</si>
</sst>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lt;=9999999]###\-####;\(###\)\ ###\-####"/>
    <numFmt numFmtId="166" formatCode="_(#,##0.00_);[Red]\(#,##0.00\)"/>
    <numFmt numFmtId="167" formatCode="000"/>
    <numFmt numFmtId="168" formatCode="0.00;[Red]0.00"/>
  </numFmts>
  <fonts count="74">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9"/>
      <name val="Helv"/>
      <family val="2"/>
    </font>
    <font>
      <b/>
      <sz val="12"/>
      <color theme="1"/>
      <name val="Aptos Narrow"/>
      <scheme val="minor"/>
    </font>
    <font>
      <i/>
      <sz val="12"/>
      <color theme="1"/>
      <name val="Aptos Narrow"/>
      <scheme val="minor"/>
    </font>
    <font>
      <sz val="12"/>
      <color rgb="FF000000"/>
      <name val="Aptos Narrow"/>
      <family val="2"/>
      <scheme val="minor"/>
    </font>
    <font>
      <sz val="12"/>
      <color rgb="FF000000"/>
      <name val="Arial"/>
      <family val="2"/>
    </font>
    <font>
      <b/>
      <sz val="12"/>
      <color theme="0"/>
      <name val="Arial"/>
      <family val="2"/>
    </font>
    <font>
      <b/>
      <sz val="12"/>
      <color theme="1" tint="0.249977111117893"/>
      <name val="Aptos Narrow"/>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
      <sz val="12"/>
      <color theme="0"/>
      <name val="Aptos Narrow"/>
      <family val="2"/>
      <scheme val="minor"/>
    </font>
    <font>
      <b/>
      <sz val="9"/>
      <color rgb="FF0000D4"/>
      <name val="Helv"/>
    </font>
    <font>
      <sz val="10"/>
      <name val="Verdana"/>
      <family val="2"/>
    </font>
    <font>
      <b/>
      <sz val="9"/>
      <color rgb="FF006411"/>
      <name val="Helv"/>
    </font>
    <font>
      <b/>
      <sz val="9"/>
      <name val="Helv"/>
    </font>
    <font>
      <sz val="12"/>
      <color theme="1"/>
      <name val="Arial"/>
      <family val="2"/>
    </font>
    <font>
      <sz val="16"/>
      <color theme="1"/>
      <name val="Arial"/>
      <family val="2"/>
    </font>
    <font>
      <b/>
      <sz val="18"/>
      <color theme="1"/>
      <name val="Aptos Narrow"/>
      <scheme val="minor"/>
    </font>
    <font>
      <sz val="12"/>
      <color theme="0"/>
      <name val="Arial"/>
      <family val="2"/>
    </font>
    <font>
      <sz val="9"/>
      <color theme="1" tint="0.249977111117893"/>
      <name val="Arial"/>
      <family val="2"/>
    </font>
    <font>
      <b/>
      <sz val="14"/>
      <color theme="1"/>
      <name val="Aptos Narrow"/>
      <scheme val="minor"/>
    </font>
    <font>
      <b/>
      <sz val="12"/>
      <color theme="1"/>
      <name val="Arial"/>
      <family val="2"/>
    </font>
    <font>
      <b/>
      <sz val="9"/>
      <color theme="1"/>
      <name val="Arial"/>
      <family val="2"/>
    </font>
  </fonts>
  <fills count="14">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
      <patternFill patternType="solid">
        <fgColor theme="0"/>
        <bgColor theme="0" tint="-0.14999847407452621"/>
      </patternFill>
    </fill>
  </fills>
  <borders count="91">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
      <left style="thin">
        <color indexed="64"/>
      </left>
      <right style="medium">
        <color indexed="64"/>
      </right>
      <top style="thin">
        <color indexed="64"/>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style="thin">
        <color theme="0" tint="-0.14996795556505021"/>
      </bottom>
      <diagonal/>
    </border>
  </borders>
  <cellStyleXfs count="2">
    <xf numFmtId="0" fontId="0" fillId="0" borderId="0"/>
    <xf numFmtId="0" fontId="3" fillId="0" borderId="0"/>
  </cellStyleXfs>
  <cellXfs count="293">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0" borderId="0" xfId="0" applyProtection="1">
      <protection hidden="1"/>
    </xf>
    <xf numFmtId="0" fontId="32" fillId="0" borderId="13" xfId="0" applyFont="1" applyBorder="1" applyProtection="1">
      <protection locked="0"/>
    </xf>
    <xf numFmtId="0" fontId="33" fillId="0" borderId="0" xfId="0" applyFont="1"/>
    <xf numFmtId="0" fontId="0" fillId="0" borderId="16" xfId="0" applyBorder="1"/>
    <xf numFmtId="0" fontId="33" fillId="10" borderId="0" xfId="0" applyFont="1" applyFill="1"/>
    <xf numFmtId="0" fontId="0" fillId="10" borderId="0" xfId="0" applyFill="1"/>
    <xf numFmtId="0" fontId="33" fillId="10" borderId="15" xfId="0" applyFont="1" applyFill="1" applyBorder="1"/>
    <xf numFmtId="0" fontId="34" fillId="10" borderId="0" xfId="0" applyFont="1" applyFill="1"/>
    <xf numFmtId="0" fontId="33" fillId="0" borderId="17" xfId="0" applyFont="1" applyBorder="1"/>
    <xf numFmtId="0" fontId="33" fillId="10" borderId="20" xfId="0" applyFont="1" applyFill="1" applyBorder="1"/>
    <xf numFmtId="0" fontId="34" fillId="0" borderId="0" xfId="0" applyFont="1"/>
    <xf numFmtId="167" fontId="33" fillId="0" borderId="17" xfId="0" applyNumberFormat="1" applyFont="1" applyBorder="1"/>
    <xf numFmtId="167" fontId="33" fillId="10" borderId="0" xfId="0" applyNumberFormat="1" applyFont="1" applyFill="1"/>
    <xf numFmtId="0" fontId="0" fillId="0" borderId="18" xfId="0" applyBorder="1"/>
    <xf numFmtId="167" fontId="0" fillId="0" borderId="27" xfId="0" applyNumberFormat="1" applyBorder="1"/>
    <xf numFmtId="167" fontId="0" fillId="0" borderId="28" xfId="0" applyNumberFormat="1" applyBorder="1"/>
    <xf numFmtId="167" fontId="35" fillId="0" borderId="29" xfId="0" applyNumberFormat="1" applyFont="1" applyBorder="1"/>
    <xf numFmtId="0" fontId="1" fillId="9" borderId="29" xfId="0" applyFont="1" applyFill="1" applyBorder="1"/>
    <xf numFmtId="0" fontId="0" fillId="0" borderId="30" xfId="0" applyBorder="1"/>
    <xf numFmtId="0" fontId="0" fillId="0" borderId="31" xfId="0" applyBorder="1"/>
    <xf numFmtId="0" fontId="0" fillId="0" borderId="19" xfId="0" applyBorder="1"/>
    <xf numFmtId="0" fontId="15" fillId="3" borderId="6" xfId="1" applyFont="1" applyFill="1" applyBorder="1" applyAlignment="1" applyProtection="1">
      <alignment horizontal="center"/>
      <protection locked="0"/>
    </xf>
    <xf numFmtId="0" fontId="4" fillId="0" borderId="14" xfId="1" applyFont="1" applyBorder="1"/>
    <xf numFmtId="0" fontId="4" fillId="0" borderId="34" xfId="1" applyFont="1" applyBorder="1"/>
    <xf numFmtId="0" fontId="11" fillId="0" borderId="34" xfId="1" applyFont="1" applyBorder="1"/>
    <xf numFmtId="0" fontId="12" fillId="0" borderId="34" xfId="1" applyFont="1" applyBorder="1"/>
    <xf numFmtId="0" fontId="13" fillId="5" borderId="38" xfId="1" applyFont="1" applyFill="1" applyBorder="1" applyAlignment="1">
      <alignment horizontal="center" vertical="center"/>
    </xf>
    <xf numFmtId="0" fontId="12" fillId="4" borderId="41" xfId="1" applyFont="1" applyFill="1" applyBorder="1" applyAlignment="1" applyProtection="1">
      <alignment horizontal="center"/>
      <protection locked="0"/>
    </xf>
    <xf numFmtId="0" fontId="12" fillId="4" borderId="39" xfId="1" applyFont="1" applyFill="1" applyBorder="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46" xfId="1" applyFont="1" applyBorder="1"/>
    <xf numFmtId="0" fontId="25" fillId="0" borderId="45" xfId="1" applyFont="1" applyBorder="1" applyAlignment="1">
      <alignment horizontal="left"/>
    </xf>
    <xf numFmtId="0" fontId="11" fillId="0" borderId="46" xfId="1" applyFont="1" applyBorder="1" applyAlignment="1">
      <alignment horizontal="left"/>
    </xf>
    <xf numFmtId="0" fontId="42" fillId="0" borderId="48" xfId="1" applyFont="1" applyBorder="1"/>
    <xf numFmtId="0" fontId="21" fillId="0" borderId="46" xfId="1" applyFont="1" applyBorder="1" applyAlignment="1">
      <alignment horizontal="center"/>
    </xf>
    <xf numFmtId="0" fontId="42" fillId="0" borderId="49" xfId="1" applyFont="1" applyBorder="1"/>
    <xf numFmtId="0" fontId="20" fillId="0" borderId="46" xfId="1" applyFont="1" applyBorder="1" applyAlignment="1">
      <alignment horizontal="center"/>
    </xf>
    <xf numFmtId="0" fontId="16" fillId="0" borderId="45" xfId="1" applyFont="1" applyBorder="1" applyAlignment="1">
      <alignment horizontal="left" indent="1"/>
    </xf>
    <xf numFmtId="0" fontId="16" fillId="0" borderId="46" xfId="1" applyFont="1" applyBorder="1" applyAlignment="1">
      <alignment horizontal="right"/>
    </xf>
    <xf numFmtId="0" fontId="18" fillId="0" borderId="45" xfId="1" applyFont="1" applyBorder="1" applyAlignment="1">
      <alignment horizontal="right" wrapText="1"/>
    </xf>
    <xf numFmtId="0" fontId="18" fillId="0" borderId="45" xfId="1" applyFont="1" applyBorder="1" applyAlignment="1">
      <alignment horizontal="right"/>
    </xf>
    <xf numFmtId="0" fontId="12" fillId="0" borderId="46" xfId="1" applyFont="1" applyBorder="1"/>
    <xf numFmtId="0" fontId="16" fillId="3" borderId="51" xfId="1" applyFont="1" applyFill="1" applyBorder="1" applyProtection="1">
      <protection locked="0"/>
    </xf>
    <xf numFmtId="0" fontId="17" fillId="0" borderId="45" xfId="1" applyFont="1" applyBorder="1"/>
    <xf numFmtId="0" fontId="16" fillId="4" borderId="45" xfId="1" applyFont="1" applyFill="1" applyBorder="1"/>
    <xf numFmtId="0" fontId="14" fillId="0" borderId="45" xfId="1" applyFont="1" applyBorder="1" applyAlignment="1">
      <alignment horizontal="right" wrapText="1" indent="1"/>
    </xf>
    <xf numFmtId="0" fontId="15" fillId="3" borderId="47" xfId="1" applyFont="1" applyFill="1" applyBorder="1" applyAlignment="1" applyProtection="1">
      <alignment horizontal="center"/>
      <protection locked="0"/>
    </xf>
    <xf numFmtId="0" fontId="2" fillId="0" borderId="46" xfId="1" applyFont="1" applyBorder="1" applyAlignment="1" applyProtection="1">
      <alignment horizontal="center"/>
      <protection locked="0"/>
    </xf>
    <xf numFmtId="164" fontId="13" fillId="5" borderId="53" xfId="1" applyNumberFormat="1" applyFont="1" applyFill="1" applyBorder="1" applyAlignment="1">
      <alignment horizontal="center" vertical="center"/>
    </xf>
    <xf numFmtId="0" fontId="13" fillId="5" borderId="54" xfId="1" applyFont="1" applyFill="1" applyBorder="1" applyAlignment="1">
      <alignment horizontal="center" vertical="center"/>
    </xf>
    <xf numFmtId="44" fontId="12" fillId="4" borderId="56" xfId="1" applyNumberFormat="1" applyFont="1" applyFill="1" applyBorder="1" applyAlignment="1" applyProtection="1">
      <alignment horizontal="center"/>
      <protection locked="0"/>
    </xf>
    <xf numFmtId="44" fontId="12" fillId="4" borderId="58" xfId="1" applyNumberFormat="1" applyFont="1" applyFill="1" applyBorder="1" applyAlignment="1" applyProtection="1">
      <alignment horizontal="center"/>
      <protection locked="0"/>
    </xf>
    <xf numFmtId="0" fontId="12" fillId="4" borderId="45" xfId="1" applyFont="1" applyFill="1" applyBorder="1" applyProtection="1">
      <protection locked="0"/>
    </xf>
    <xf numFmtId="44" fontId="12" fillId="0" borderId="46" xfId="1" applyNumberFormat="1" applyFont="1" applyBorder="1" applyAlignment="1" applyProtection="1">
      <alignment horizontal="center"/>
      <protection locked="0"/>
    </xf>
    <xf numFmtId="0" fontId="4" fillId="0" borderId="45" xfId="1" applyFont="1" applyBorder="1"/>
    <xf numFmtId="0" fontId="10" fillId="0" borderId="46" xfId="1" applyFont="1" applyBorder="1" applyAlignment="1" applyProtection="1">
      <alignment horizontal="center"/>
      <protection locked="0"/>
    </xf>
    <xf numFmtId="44" fontId="9" fillId="3" borderId="46" xfId="1" applyNumberFormat="1" applyFont="1" applyFill="1" applyBorder="1" applyAlignment="1" applyProtection="1">
      <alignment horizontal="center"/>
      <protection locked="0"/>
    </xf>
    <xf numFmtId="44" fontId="5" fillId="2" borderId="46" xfId="1" applyNumberFormat="1" applyFont="1" applyFill="1" applyBorder="1"/>
    <xf numFmtId="0" fontId="4" fillId="0" borderId="59" xfId="1" applyFont="1" applyBorder="1"/>
    <xf numFmtId="0" fontId="4" fillId="0" borderId="60" xfId="1" applyFont="1" applyBorder="1"/>
    <xf numFmtId="0" fontId="4" fillId="0" borderId="61" xfId="1" applyFont="1" applyBorder="1"/>
    <xf numFmtId="0" fontId="10" fillId="0" borderId="62" xfId="1" applyFont="1" applyBorder="1" applyAlignment="1" applyProtection="1">
      <alignment horizontal="right"/>
      <protection locked="0"/>
    </xf>
    <xf numFmtId="0" fontId="10" fillId="0" borderId="63" xfId="1" applyFont="1" applyBorder="1" applyAlignment="1" applyProtection="1">
      <alignment horizontal="right"/>
      <protection locked="0"/>
    </xf>
    <xf numFmtId="44" fontId="12" fillId="3" borderId="64" xfId="1" applyNumberFormat="1" applyFont="1" applyFill="1" applyBorder="1" applyAlignment="1" applyProtection="1">
      <alignment horizontal="center"/>
      <protection locked="0"/>
    </xf>
    <xf numFmtId="0" fontId="10" fillId="0" borderId="45"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43" fillId="0" borderId="0" xfId="0" applyFont="1" applyAlignment="1">
      <alignment horizontal="left"/>
    </xf>
    <xf numFmtId="0" fontId="44" fillId="0" borderId="0" xfId="0" applyFont="1" applyAlignment="1">
      <alignment horizontal="left"/>
    </xf>
    <xf numFmtId="0" fontId="38" fillId="0" borderId="0" xfId="1" applyFont="1"/>
    <xf numFmtId="14" fontId="12" fillId="4" borderId="3" xfId="1" applyNumberFormat="1" applyFont="1" applyFill="1" applyBorder="1" applyAlignment="1" applyProtection="1">
      <alignment horizontal="center"/>
      <protection locked="0"/>
    </xf>
    <xf numFmtId="0" fontId="41" fillId="0" borderId="0" xfId="1" applyFont="1"/>
    <xf numFmtId="0" fontId="38" fillId="0" borderId="42" xfId="1" applyFont="1" applyBorder="1"/>
    <xf numFmtId="0" fontId="46" fillId="0" borderId="0" xfId="0" applyFont="1"/>
    <xf numFmtId="0" fontId="47" fillId="0" borderId="0" xfId="1" applyFont="1"/>
    <xf numFmtId="0" fontId="48" fillId="0" borderId="0" xfId="1" applyFont="1"/>
    <xf numFmtId="1" fontId="12" fillId="4" borderId="55" xfId="1" applyNumberFormat="1" applyFont="1" applyFill="1" applyBorder="1" applyAlignment="1" applyProtection="1">
      <alignment horizontal="center"/>
      <protection locked="0"/>
    </xf>
    <xf numFmtId="1" fontId="12" fillId="4" borderId="57"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41" xfId="1" applyNumberFormat="1" applyFont="1" applyFill="1" applyBorder="1" applyAlignment="1" applyProtection="1">
      <alignment horizontal="center"/>
      <protection locked="0"/>
    </xf>
    <xf numFmtId="14" fontId="47" fillId="0" borderId="0" xfId="1" applyNumberFormat="1" applyFont="1"/>
    <xf numFmtId="14" fontId="48" fillId="0" borderId="0" xfId="1" applyNumberFormat="1" applyFont="1"/>
    <xf numFmtId="44" fontId="49" fillId="0" borderId="0" xfId="1" applyNumberFormat="1" applyFont="1"/>
    <xf numFmtId="0" fontId="38" fillId="0" borderId="15" xfId="1" applyFont="1" applyBorder="1"/>
    <xf numFmtId="0" fontId="38" fillId="0" borderId="68" xfId="1" applyFont="1" applyBorder="1"/>
    <xf numFmtId="0" fontId="38" fillId="0" borderId="69" xfId="1" applyFont="1" applyBorder="1"/>
    <xf numFmtId="0" fontId="38" fillId="0" borderId="70" xfId="1" applyFont="1" applyBorder="1"/>
    <xf numFmtId="2" fontId="12" fillId="0" borderId="0" xfId="1" applyNumberFormat="1" applyFont="1"/>
    <xf numFmtId="0" fontId="11" fillId="0" borderId="71" xfId="1" applyFont="1" applyBorder="1" applyAlignment="1">
      <alignment horizontal="center"/>
    </xf>
    <xf numFmtId="14" fontId="11" fillId="0" borderId="72" xfId="1" applyNumberFormat="1" applyFont="1" applyBorder="1" applyAlignment="1">
      <alignment horizontal="center"/>
    </xf>
    <xf numFmtId="0" fontId="4" fillId="0" borderId="72" xfId="1" applyFont="1" applyBorder="1" applyAlignment="1">
      <alignment horizontal="center"/>
    </xf>
    <xf numFmtId="0" fontId="50" fillId="0" borderId="0" xfId="1" applyFont="1" applyAlignment="1">
      <alignment horizontal="center"/>
    </xf>
    <xf numFmtId="2" fontId="12" fillId="0" borderId="62" xfId="1" applyNumberFormat="1" applyFont="1" applyBorder="1"/>
    <xf numFmtId="2" fontId="12" fillId="0" borderId="65" xfId="1" applyNumberFormat="1" applyFont="1" applyBorder="1"/>
    <xf numFmtId="2" fontId="12" fillId="0" borderId="66" xfId="1" applyNumberFormat="1" applyFont="1" applyBorder="1"/>
    <xf numFmtId="2" fontId="12" fillId="0" borderId="67" xfId="1" applyNumberFormat="1" applyFont="1" applyBorder="1"/>
    <xf numFmtId="0" fontId="7" fillId="0" borderId="0" xfId="1" applyFont="1"/>
    <xf numFmtId="0" fontId="29" fillId="0" borderId="43" xfId="1" applyFont="1" applyBorder="1"/>
    <xf numFmtId="167" fontId="35" fillId="0" borderId="73" xfId="0" applyNumberFormat="1" applyFont="1" applyBorder="1"/>
    <xf numFmtId="0" fontId="35" fillId="0" borderId="74" xfId="0" applyFont="1" applyBorder="1"/>
    <xf numFmtId="0" fontId="35" fillId="0" borderId="75" xfId="0" applyFont="1" applyBorder="1"/>
    <xf numFmtId="0" fontId="52" fillId="11" borderId="33" xfId="0" applyFont="1" applyFill="1" applyBorder="1" applyAlignment="1">
      <alignment horizontal="left" vertical="center" shrinkToFit="1"/>
    </xf>
    <xf numFmtId="0" fontId="52" fillId="12" borderId="14" xfId="0" applyFont="1" applyFill="1" applyBorder="1" applyAlignment="1">
      <alignment horizontal="left" vertical="center" shrinkToFit="1"/>
    </xf>
    <xf numFmtId="0" fontId="52" fillId="11" borderId="14" xfId="0" applyFont="1" applyFill="1" applyBorder="1" applyAlignment="1">
      <alignment horizontal="left" vertical="center" shrinkToFit="1"/>
    </xf>
    <xf numFmtId="14" fontId="52" fillId="11" borderId="14" xfId="0" applyNumberFormat="1" applyFont="1" applyFill="1" applyBorder="1" applyAlignment="1">
      <alignment horizontal="left" vertical="center" shrinkToFit="1"/>
    </xf>
    <xf numFmtId="166" fontId="52" fillId="11" borderId="14" xfId="0" applyNumberFormat="1" applyFont="1" applyFill="1" applyBorder="1" applyAlignment="1">
      <alignment horizontal="left" vertical="center" shrinkToFit="1"/>
    </xf>
    <xf numFmtId="0" fontId="52" fillId="0" borderId="14" xfId="0" applyFont="1" applyBorder="1" applyAlignment="1">
      <alignment horizontal="left" vertical="center" shrinkToFit="1"/>
    </xf>
    <xf numFmtId="14" fontId="52" fillId="0" borderId="14" xfId="0" applyNumberFormat="1" applyFont="1" applyBorder="1" applyAlignment="1">
      <alignment horizontal="left" vertical="center" shrinkToFit="1"/>
    </xf>
    <xf numFmtId="166" fontId="52" fillId="0" borderId="14" xfId="0" applyNumberFormat="1" applyFont="1" applyBorder="1" applyAlignment="1">
      <alignment horizontal="left" vertical="center" shrinkToFit="1"/>
    </xf>
    <xf numFmtId="0" fontId="37" fillId="7" borderId="34" xfId="0" applyFont="1" applyFill="1" applyBorder="1" applyAlignment="1">
      <alignment horizontal="center"/>
    </xf>
    <xf numFmtId="164" fontId="37" fillId="7" borderId="34" xfId="0" applyNumberFormat="1" applyFont="1" applyFill="1" applyBorder="1" applyAlignment="1">
      <alignment horizontal="center"/>
    </xf>
    <xf numFmtId="40" fontId="37" fillId="7" borderId="34" xfId="0" applyNumberFormat="1" applyFont="1" applyFill="1" applyBorder="1" applyAlignment="1">
      <alignment horizontal="center"/>
    </xf>
    <xf numFmtId="0" fontId="53" fillId="0" borderId="0" xfId="1" applyFont="1"/>
    <xf numFmtId="0" fontId="55" fillId="0" borderId="0" xfId="0" applyFont="1"/>
    <xf numFmtId="166" fontId="53" fillId="0" borderId="0" xfId="1" applyNumberFormat="1" applyFont="1"/>
    <xf numFmtId="167" fontId="35" fillId="0" borderId="76" xfId="0" applyNumberFormat="1" applyFont="1" applyBorder="1"/>
    <xf numFmtId="0" fontId="56" fillId="0" borderId="0" xfId="0" applyFont="1"/>
    <xf numFmtId="0" fontId="57" fillId="0" borderId="0" xfId="0" applyFont="1"/>
    <xf numFmtId="0" fontId="58" fillId="0" borderId="0" xfId="0" applyFont="1"/>
    <xf numFmtId="0" fontId="59" fillId="0" borderId="0" xfId="0" applyFont="1"/>
    <xf numFmtId="0" fontId="60" fillId="0" borderId="0" xfId="0" applyFont="1" applyAlignment="1">
      <alignment vertical="center"/>
    </xf>
    <xf numFmtId="0" fontId="11" fillId="0" borderId="77" xfId="1" applyFont="1" applyBorder="1"/>
    <xf numFmtId="0" fontId="11" fillId="0" borderId="78" xfId="1" applyFont="1" applyBorder="1"/>
    <xf numFmtId="0" fontId="11" fillId="0" borderId="79" xfId="1" applyFont="1" applyBorder="1"/>
    <xf numFmtId="14" fontId="11" fillId="0" borderId="80" xfId="1" applyNumberFormat="1" applyFont="1" applyBorder="1"/>
    <xf numFmtId="14" fontId="11" fillId="0" borderId="0" xfId="1" applyNumberFormat="1" applyFont="1"/>
    <xf numFmtId="14" fontId="11" fillId="0" borderId="81" xfId="1" applyNumberFormat="1" applyFont="1" applyBorder="1"/>
    <xf numFmtId="0" fontId="11" fillId="0" borderId="82" xfId="1" applyFont="1" applyBorder="1"/>
    <xf numFmtId="0" fontId="11" fillId="0" borderId="83" xfId="1" applyFont="1" applyBorder="1"/>
    <xf numFmtId="0" fontId="11" fillId="0" borderId="84" xfId="1" applyFont="1" applyBorder="1"/>
    <xf numFmtId="0" fontId="11" fillId="0" borderId="72" xfId="1" applyFont="1" applyBorder="1" applyAlignment="1">
      <alignment horizontal="center"/>
    </xf>
    <xf numFmtId="0" fontId="36" fillId="0" borderId="11" xfId="0" applyFont="1" applyBorder="1" applyAlignment="1">
      <alignment horizontal="left" vertical="center" shrinkToFit="1"/>
    </xf>
    <xf numFmtId="0" fontId="62" fillId="0" borderId="10" xfId="0" applyFont="1" applyBorder="1" applyAlignment="1" applyProtection="1">
      <alignment horizontal="center"/>
      <protection locked="0"/>
    </xf>
    <xf numFmtId="0" fontId="62" fillId="0" borderId="11" xfId="0" applyFont="1" applyBorder="1" applyProtection="1">
      <protection locked="0"/>
    </xf>
    <xf numFmtId="0" fontId="63" fillId="0" borderId="0" xfId="0" applyFont="1"/>
    <xf numFmtId="0" fontId="64" fillId="0" borderId="11" xfId="0" applyFont="1" applyBorder="1" applyAlignment="1" applyProtection="1">
      <alignment horizontal="center"/>
      <protection hidden="1"/>
    </xf>
    <xf numFmtId="0" fontId="32" fillId="0" borderId="11" xfId="0" applyFont="1" applyBorder="1" applyProtection="1">
      <protection locked="0"/>
    </xf>
    <xf numFmtId="0" fontId="62" fillId="0" borderId="11" xfId="0" applyFont="1" applyBorder="1" applyAlignment="1" applyProtection="1">
      <alignment horizontal="center"/>
      <protection hidden="1"/>
    </xf>
    <xf numFmtId="0" fontId="62" fillId="0" borderId="11" xfId="0" applyFont="1" applyBorder="1" applyProtection="1">
      <protection locked="0" hidden="1"/>
    </xf>
    <xf numFmtId="2" fontId="62" fillId="0" borderId="11" xfId="0" applyNumberFormat="1" applyFont="1" applyBorder="1" applyAlignment="1" applyProtection="1">
      <alignment horizontal="center"/>
      <protection hidden="1"/>
    </xf>
    <xf numFmtId="1" fontId="64" fillId="0" borderId="11" xfId="0" applyNumberFormat="1" applyFont="1" applyBorder="1" applyAlignment="1" applyProtection="1">
      <alignment horizontal="center"/>
      <protection hidden="1"/>
    </xf>
    <xf numFmtId="4" fontId="62" fillId="0" borderId="11" xfId="0" applyNumberFormat="1" applyFont="1" applyBorder="1" applyAlignment="1" applyProtection="1">
      <alignment horizontal="center"/>
      <protection hidden="1"/>
    </xf>
    <xf numFmtId="0" fontId="32" fillId="0" borderId="11" xfId="0" applyFont="1" applyBorder="1" applyProtection="1">
      <protection locked="0" hidden="1"/>
    </xf>
    <xf numFmtId="0" fontId="64" fillId="0" borderId="0" xfId="0" applyFont="1" applyAlignment="1" applyProtection="1">
      <alignment horizontal="center"/>
      <protection hidden="1"/>
    </xf>
    <xf numFmtId="4" fontId="65" fillId="0" borderId="11" xfId="0" applyNumberFormat="1" applyFont="1" applyBorder="1" applyAlignment="1" applyProtection="1">
      <alignment horizontal="center"/>
      <protection hidden="1"/>
    </xf>
    <xf numFmtId="0" fontId="65" fillId="0" borderId="11" xfId="0" applyFont="1" applyBorder="1" applyProtection="1">
      <protection locked="0" hidden="1"/>
    </xf>
    <xf numFmtId="0" fontId="64" fillId="0" borderId="12" xfId="0" applyFont="1" applyBorder="1" applyAlignment="1" applyProtection="1">
      <alignment horizontal="center"/>
      <protection hidden="1"/>
    </xf>
    <xf numFmtId="0" fontId="32" fillId="0" borderId="35" xfId="0" applyFont="1" applyBorder="1" applyProtection="1">
      <protection locked="0"/>
    </xf>
    <xf numFmtId="0" fontId="63" fillId="0" borderId="0" xfId="0" applyFont="1" applyProtection="1">
      <protection locked="0"/>
    </xf>
    <xf numFmtId="168" fontId="67" fillId="0" borderId="0" xfId="0" applyNumberFormat="1" applyFont="1" applyProtection="1">
      <protection hidden="1"/>
    </xf>
    <xf numFmtId="0" fontId="68" fillId="0" borderId="0" xfId="0" applyFont="1"/>
    <xf numFmtId="0" fontId="68" fillId="0" borderId="42" xfId="0" applyFont="1" applyBorder="1"/>
    <xf numFmtId="168" fontId="67" fillId="0" borderId="42" xfId="0" applyNumberFormat="1" applyFont="1" applyBorder="1" applyProtection="1">
      <protection hidden="1"/>
    </xf>
    <xf numFmtId="168" fontId="36" fillId="0" borderId="11" xfId="0" applyNumberFormat="1" applyFont="1" applyBorder="1" applyAlignment="1">
      <alignment horizontal="left" vertical="center" shrinkToFit="1"/>
    </xf>
    <xf numFmtId="168" fontId="66" fillId="0" borderId="11" xfId="0" applyNumberFormat="1" applyFont="1" applyBorder="1" applyAlignment="1">
      <alignment horizontal="left"/>
    </xf>
    <xf numFmtId="168" fontId="66" fillId="0" borderId="0" xfId="0" applyNumberFormat="1" applyFont="1" applyAlignment="1">
      <alignment horizontal="left"/>
    </xf>
    <xf numFmtId="0" fontId="66" fillId="0" borderId="11" xfId="0" applyFont="1" applyBorder="1" applyAlignment="1">
      <alignment horizontal="left"/>
    </xf>
    <xf numFmtId="0" fontId="66" fillId="0" borderId="0" xfId="0" applyFont="1" applyAlignment="1">
      <alignment horizontal="left"/>
    </xf>
    <xf numFmtId="0" fontId="66" fillId="6" borderId="0" xfId="0" applyFont="1" applyFill="1" applyAlignment="1" applyProtection="1">
      <alignment horizontal="left"/>
      <protection hidden="1"/>
    </xf>
    <xf numFmtId="0" fontId="30" fillId="0" borderId="0" xfId="0" applyFont="1" applyAlignment="1" applyProtection="1">
      <alignment horizontal="left"/>
      <protection hidden="1"/>
    </xf>
    <xf numFmtId="164" fontId="30" fillId="0" borderId="0" xfId="0" applyNumberFormat="1" applyFont="1" applyAlignment="1" applyProtection="1">
      <alignment horizontal="left"/>
      <protection hidden="1"/>
    </xf>
    <xf numFmtId="40" fontId="30" fillId="0" borderId="0" xfId="0" applyNumberFormat="1" applyFont="1" applyAlignment="1" applyProtection="1">
      <alignment horizontal="left"/>
      <protection hidden="1"/>
    </xf>
    <xf numFmtId="0" fontId="66" fillId="0" borderId="0" xfId="0" applyFont="1" applyAlignment="1" applyProtection="1">
      <alignment horizontal="left"/>
      <protection hidden="1"/>
    </xf>
    <xf numFmtId="0" fontId="30" fillId="0" borderId="0" xfId="0" applyFont="1" applyProtection="1">
      <protection hidden="1"/>
    </xf>
    <xf numFmtId="0" fontId="36" fillId="0" borderId="65" xfId="0" applyFont="1" applyBorder="1" applyAlignment="1">
      <alignment horizontal="left" vertical="center" shrinkToFit="1"/>
    </xf>
    <xf numFmtId="0" fontId="36" fillId="0" borderId="66" xfId="0" applyFont="1" applyBorder="1" applyAlignment="1">
      <alignment horizontal="left" vertical="center" shrinkToFit="1"/>
    </xf>
    <xf numFmtId="168" fontId="36" fillId="0" borderId="66" xfId="0" applyNumberFormat="1" applyFont="1" applyBorder="1" applyAlignment="1">
      <alignment horizontal="left" vertical="center" shrinkToFit="1"/>
    </xf>
    <xf numFmtId="0" fontId="36" fillId="0" borderId="67" xfId="0" applyFont="1" applyBorder="1" applyAlignment="1">
      <alignment horizontal="left" vertical="center" shrinkToFit="1"/>
    </xf>
    <xf numFmtId="0" fontId="36" fillId="0" borderId="86" xfId="0" applyFont="1" applyBorder="1" applyAlignment="1">
      <alignment horizontal="left" vertical="center" shrinkToFit="1"/>
    </xf>
    <xf numFmtId="0" fontId="36" fillId="0" borderId="85" xfId="0" applyFont="1" applyBorder="1" applyAlignment="1">
      <alignment horizontal="left" vertical="center" shrinkToFit="1"/>
    </xf>
    <xf numFmtId="0" fontId="66" fillId="0" borderId="86" xfId="0" applyFont="1" applyBorder="1" applyAlignment="1">
      <alignment horizontal="left"/>
    </xf>
    <xf numFmtId="0" fontId="66" fillId="0" borderId="85" xfId="0" applyFont="1" applyBorder="1" applyAlignment="1">
      <alignment horizontal="left"/>
    </xf>
    <xf numFmtId="0" fontId="37" fillId="7" borderId="42" xfId="0" applyFont="1" applyFill="1" applyBorder="1" applyAlignment="1">
      <alignment horizontal="left"/>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7" fillId="7" borderId="15" xfId="0" applyFont="1" applyFill="1" applyBorder="1" applyAlignment="1">
      <alignment horizontal="center"/>
    </xf>
    <xf numFmtId="0" fontId="37" fillId="7" borderId="42" xfId="0" applyFont="1" applyFill="1" applyBorder="1" applyAlignment="1">
      <alignment horizontal="center"/>
    </xf>
    <xf numFmtId="164" fontId="37" fillId="7" borderId="42" xfId="0" applyNumberFormat="1" applyFont="1" applyFill="1" applyBorder="1" applyAlignment="1">
      <alignment horizontal="center"/>
    </xf>
    <xf numFmtId="40" fontId="37" fillId="7" borderId="42" xfId="0" applyNumberFormat="1" applyFont="1" applyFill="1" applyBorder="1" applyAlignment="1">
      <alignment horizontal="center"/>
    </xf>
    <xf numFmtId="0" fontId="37" fillId="8" borderId="42" xfId="0" applyFont="1" applyFill="1" applyBorder="1" applyAlignment="1">
      <alignment horizontal="center"/>
    </xf>
    <xf numFmtId="0" fontId="37" fillId="8" borderId="42" xfId="0" applyFont="1" applyFill="1" applyBorder="1" applyAlignment="1">
      <alignment horizontal="left"/>
    </xf>
    <xf numFmtId="0" fontId="61" fillId="0" borderId="0" xfId="0" applyFont="1"/>
    <xf numFmtId="0" fontId="69" fillId="0" borderId="14" xfId="0" applyFont="1" applyBorder="1" applyAlignment="1">
      <alignment horizontal="left" vertical="center" shrinkToFit="1"/>
    </xf>
    <xf numFmtId="0" fontId="11" fillId="0" borderId="0" xfId="1" applyFont="1" applyAlignment="1">
      <alignment wrapText="1"/>
    </xf>
    <xf numFmtId="0" fontId="11" fillId="0" borderId="0" xfId="1" applyFont="1" applyAlignment="1">
      <alignment horizontal="center"/>
    </xf>
    <xf numFmtId="14" fontId="4" fillId="0" borderId="0" xfId="1" applyNumberFormat="1" applyFont="1"/>
    <xf numFmtId="0" fontId="22" fillId="0" borderId="45" xfId="0" applyFont="1" applyBorder="1"/>
    <xf numFmtId="0" fontId="22" fillId="0" borderId="0" xfId="0" applyFont="1"/>
    <xf numFmtId="0" fontId="37" fillId="7" borderId="0" xfId="0" applyFont="1" applyFill="1" applyAlignment="1">
      <alignment horizontal="center"/>
    </xf>
    <xf numFmtId="0" fontId="37" fillId="8" borderId="87" xfId="0" applyFont="1" applyFill="1" applyBorder="1" applyAlignment="1">
      <alignment horizontal="center"/>
    </xf>
    <xf numFmtId="0" fontId="52" fillId="11" borderId="88" xfId="0" applyFont="1" applyFill="1" applyBorder="1" applyAlignment="1">
      <alignment horizontal="left" vertical="center" shrinkToFit="1"/>
    </xf>
    <xf numFmtId="0" fontId="52" fillId="0" borderId="88" xfId="0" applyFont="1" applyBorder="1" applyAlignment="1">
      <alignment horizontal="left" vertical="center" shrinkToFit="1"/>
    </xf>
    <xf numFmtId="0" fontId="52" fillId="12" borderId="89" xfId="0" applyFont="1" applyFill="1" applyBorder="1" applyAlignment="1">
      <alignment horizontal="left" vertical="center" shrinkToFit="1"/>
    </xf>
    <xf numFmtId="166" fontId="52" fillId="11" borderId="89" xfId="0" applyNumberFormat="1" applyFont="1" applyFill="1" applyBorder="1" applyAlignment="1">
      <alignment horizontal="left" vertical="center" shrinkToFit="1"/>
    </xf>
    <xf numFmtId="0" fontId="52" fillId="11" borderId="70" xfId="0" applyFont="1" applyFill="1" applyBorder="1" applyAlignment="1">
      <alignment horizontal="left" vertical="center" shrinkToFit="1"/>
    </xf>
    <xf numFmtId="0" fontId="52" fillId="0" borderId="33" xfId="0" applyFont="1" applyBorder="1" applyAlignment="1">
      <alignment horizontal="left" vertical="center" shrinkToFit="1"/>
    </xf>
    <xf numFmtId="0" fontId="54" fillId="11" borderId="59" xfId="0" applyFont="1" applyFill="1" applyBorder="1" applyAlignment="1">
      <alignment horizontal="left" vertical="center" shrinkToFit="1"/>
    </xf>
    <xf numFmtId="0" fontId="29" fillId="0" borderId="90" xfId="1" applyFont="1" applyBorder="1"/>
    <xf numFmtId="0" fontId="4" fillId="0" borderId="63"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0" xfId="1" applyFont="1" applyAlignment="1">
      <alignment horizontal="left"/>
    </xf>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15" fillId="3" borderId="0" xfId="1" applyFont="1" applyFill="1" applyAlignment="1" applyProtection="1">
      <alignment horizontal="center"/>
      <protection locked="0"/>
    </xf>
    <xf numFmtId="0" fontId="2" fillId="0" borderId="0" xfId="1" applyFont="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6" fillId="2" borderId="0" xfId="1" applyNumberFormat="1" applyFont="1" applyFill="1" applyAlignment="1">
      <alignment horizontal="left" vertical="center"/>
    </xf>
    <xf numFmtId="44" fontId="8" fillId="2" borderId="0" xfId="1" applyNumberFormat="1" applyFont="1" applyFill="1"/>
    <xf numFmtId="0" fontId="10" fillId="0" borderId="0" xfId="1" applyFont="1" applyAlignment="1" applyProtection="1">
      <alignment horizontal="right"/>
      <protection locked="0"/>
    </xf>
    <xf numFmtId="0" fontId="33" fillId="0" borderId="24" xfId="0" applyFont="1" applyBorder="1" applyAlignment="1">
      <alignment horizontal="left"/>
    </xf>
    <xf numFmtId="0" fontId="33" fillId="0" borderId="21" xfId="0" applyFont="1" applyBorder="1" applyAlignment="1">
      <alignment horizontal="left"/>
    </xf>
    <xf numFmtId="0" fontId="33" fillId="0" borderId="22" xfId="0" applyFont="1" applyBorder="1" applyAlignment="1">
      <alignment horizontal="left"/>
    </xf>
    <xf numFmtId="0" fontId="33" fillId="0" borderId="25" xfId="0" applyFont="1" applyBorder="1" applyAlignment="1">
      <alignment horizontal="left"/>
    </xf>
    <xf numFmtId="0" fontId="33" fillId="0" borderId="23" xfId="0" applyFont="1" applyBorder="1" applyAlignment="1">
      <alignment horizontal="left"/>
    </xf>
    <xf numFmtId="0" fontId="33" fillId="0" borderId="26" xfId="0" applyFont="1" applyBorder="1" applyAlignment="1">
      <alignment horizontal="left"/>
    </xf>
    <xf numFmtId="168" fontId="31" fillId="0" borderId="0" xfId="0" applyNumberFormat="1" applyFont="1" applyAlignment="1" applyProtection="1">
      <alignment horizontal="left"/>
      <protection hidden="1"/>
    </xf>
    <xf numFmtId="0" fontId="28" fillId="0" borderId="43" xfId="1" applyFont="1" applyBorder="1" applyAlignment="1">
      <alignment horizontal="center"/>
    </xf>
    <xf numFmtId="0" fontId="28" fillId="0" borderId="44" xfId="1" applyFont="1" applyBorder="1" applyAlignment="1">
      <alignment horizontal="center"/>
    </xf>
    <xf numFmtId="0" fontId="27" fillId="0" borderId="45"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47" xfId="1" applyFont="1" applyFill="1" applyBorder="1" applyAlignment="1">
      <alignment horizontal="center"/>
    </xf>
    <xf numFmtId="0" fontId="11" fillId="0" borderId="45"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45"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33" xfId="1" applyFont="1" applyBorder="1" applyAlignment="1">
      <alignment horizontal="center"/>
    </xf>
    <xf numFmtId="0" fontId="16" fillId="0" borderId="32" xfId="1" applyFont="1" applyBorder="1" applyAlignment="1">
      <alignment horizontal="center"/>
    </xf>
    <xf numFmtId="0" fontId="16" fillId="0" borderId="6" xfId="1" applyFont="1" applyBorder="1" applyAlignment="1">
      <alignment horizontal="center"/>
    </xf>
    <xf numFmtId="0" fontId="16" fillId="0" borderId="35"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47" xfId="1" applyFont="1" applyFill="1" applyBorder="1" applyAlignment="1">
      <alignment horizontal="center"/>
    </xf>
    <xf numFmtId="0" fontId="51" fillId="0" borderId="20" xfId="1" applyFont="1" applyBorder="1" applyAlignment="1">
      <alignment horizontal="center"/>
    </xf>
    <xf numFmtId="0" fontId="51" fillId="0" borderId="16" xfId="1" applyFont="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50"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52"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50" xfId="1" applyFont="1" applyFill="1" applyBorder="1" applyAlignment="1" applyProtection="1">
      <alignment horizontal="center"/>
      <protection locked="0"/>
    </xf>
    <xf numFmtId="0" fontId="7" fillId="0" borderId="0" xfId="1" applyFont="1" applyAlignment="1">
      <alignment horizontal="left" indent="1"/>
    </xf>
    <xf numFmtId="164" fontId="11" fillId="0" borderId="45" xfId="1" applyNumberFormat="1" applyFont="1" applyBorder="1"/>
    <xf numFmtId="164" fontId="11" fillId="0" borderId="0" xfId="1" applyNumberFormat="1" applyFont="1"/>
    <xf numFmtId="0" fontId="11" fillId="0" borderId="0" xfId="1" applyFont="1"/>
    <xf numFmtId="0" fontId="11" fillId="0" borderId="46" xfId="1" applyFont="1" applyBorder="1"/>
    <xf numFmtId="164" fontId="13" fillId="5" borderId="36" xfId="1" applyNumberFormat="1" applyFont="1" applyFill="1" applyBorder="1" applyAlignment="1">
      <alignment horizontal="center" vertical="center"/>
    </xf>
    <xf numFmtId="164" fontId="13" fillId="5" borderId="37" xfId="1" applyNumberFormat="1" applyFont="1" applyFill="1" applyBorder="1" applyAlignment="1">
      <alignment horizontal="center" vertical="center"/>
    </xf>
    <xf numFmtId="0" fontId="4" fillId="4" borderId="39" xfId="1" applyFont="1" applyFill="1" applyBorder="1" applyAlignment="1" applyProtection="1">
      <alignment horizontal="left"/>
      <protection locked="0"/>
    </xf>
    <xf numFmtId="0" fontId="4" fillId="4" borderId="40" xfId="1" applyFont="1" applyFill="1" applyBorder="1" applyAlignment="1" applyProtection="1">
      <alignment horizontal="left"/>
      <protection locked="0"/>
    </xf>
    <xf numFmtId="0" fontId="52" fillId="11" borderId="14" xfId="0" applyNumberFormat="1" applyFont="1" applyFill="1" applyBorder="1" applyAlignment="1">
      <alignment horizontal="left" vertical="center" shrinkToFit="1"/>
    </xf>
    <xf numFmtId="0" fontId="52" fillId="0" borderId="14" xfId="0" applyNumberFormat="1" applyFont="1" applyBorder="1" applyAlignment="1">
      <alignment horizontal="left" vertical="center" shrinkToFit="1"/>
    </xf>
    <xf numFmtId="0" fontId="70" fillId="0" borderId="14" xfId="1" applyNumberFormat="1" applyFont="1" applyBorder="1"/>
    <xf numFmtId="0" fontId="71" fillId="4" borderId="0" xfId="1" applyFont="1" applyFill="1"/>
    <xf numFmtId="0" fontId="72" fillId="4" borderId="0" xfId="0" applyFont="1" applyFill="1" applyAlignment="1">
      <alignment horizontal="center"/>
    </xf>
    <xf numFmtId="0" fontId="33" fillId="13" borderId="0" xfId="1" applyFont="1" applyFill="1"/>
    <xf numFmtId="0" fontId="73" fillId="4" borderId="0" xfId="0" applyFont="1" applyFill="1" applyAlignment="1">
      <alignment horizontal="left" vertical="center" shrinkToFit="1"/>
    </xf>
    <xf numFmtId="0" fontId="73" fillId="13" borderId="0" xfId="0" applyFont="1" applyFill="1" applyAlignment="1">
      <alignment horizontal="left" vertical="center" shrinkToFit="1"/>
    </xf>
    <xf numFmtId="0" fontId="70" fillId="11" borderId="14" xfId="1" applyNumberFormat="1" applyFont="1" applyFill="1" applyBorder="1"/>
    <xf numFmtId="0" fontId="70" fillId="11" borderId="89" xfId="1" applyNumberFormat="1" applyFont="1" applyFill="1" applyBorder="1"/>
    <xf numFmtId="14" fontId="70" fillId="11" borderId="14" xfId="1" applyNumberFormat="1" applyFont="1" applyFill="1" applyBorder="1" applyAlignment="1">
      <alignment horizontal="left"/>
    </xf>
    <xf numFmtId="14" fontId="70" fillId="0" borderId="14" xfId="1" applyNumberFormat="1" applyFont="1" applyBorder="1" applyAlignment="1">
      <alignment horizontal="left"/>
    </xf>
  </cellXfs>
  <cellStyles count="2">
    <cellStyle name="Normal" xfId="0" builtinId="0"/>
    <cellStyle name="Normal 2" xfId="1" xr:uid="{F1FDC4A7-59B1-674E-9761-EE3200EEA20F}"/>
  </cellStyles>
  <dxfs count="13">
    <dxf>
      <font>
        <strike val="0"/>
        <outline val="0"/>
        <shadow val="0"/>
        <u val="none"/>
        <vertAlign val="baseline"/>
        <sz val="9"/>
        <name val="Arial"/>
        <family val="2"/>
        <scheme val="none"/>
      </font>
      <alignment horizontal="left" textRotation="0" wrapText="0" indent="0" justifyLastLine="0" readingOrder="0"/>
      <border outline="0">
        <right style="thin">
          <color indexed="64"/>
        </right>
      </border>
    </dxf>
    <dxf>
      <font>
        <strike val="0"/>
        <outline val="0"/>
        <shadow val="0"/>
        <u val="none"/>
        <vertAlign val="baseline"/>
        <sz val="9"/>
        <name val="Arial"/>
        <family val="2"/>
        <scheme val="none"/>
      </font>
      <numFmt numFmtId="0" formatCode="General"/>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right/>
        <top style="thin">
          <color indexed="64"/>
        </top>
        <bottom/>
      </border>
    </dxf>
    <dxf>
      <font>
        <b val="0"/>
        <i val="0"/>
        <strike val="0"/>
        <condense val="0"/>
        <extend val="0"/>
        <outline val="0"/>
        <shadow val="0"/>
        <u val="none"/>
        <vertAlign val="baseline"/>
        <sz val="12"/>
        <color rgb="FF000000"/>
        <name val="Aptos Narrow"/>
        <family val="2"/>
        <scheme val="minor"/>
      </font>
      <numFmt numFmtId="167"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
      <numFmt numFmtId="169" formatCode=";;;"/>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cell r="B51"/>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cell r="B154"/>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cell r="B168"/>
        </row>
        <row r="169">
          <cell r="A169">
            <v>164</v>
          </cell>
          <cell r="B169"/>
        </row>
        <row r="170">
          <cell r="A170">
            <v>165</v>
          </cell>
          <cell r="B170"/>
        </row>
        <row r="171">
          <cell r="A171">
            <v>166</v>
          </cell>
          <cell r="B171"/>
        </row>
        <row r="172">
          <cell r="A172">
            <v>167</v>
          </cell>
          <cell r="B172"/>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cell r="B236"/>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cell r="B244"/>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cell r="B256"/>
        </row>
        <row r="257">
          <cell r="A257">
            <v>247</v>
          </cell>
          <cell r="B257"/>
        </row>
        <row r="258">
          <cell r="A258">
            <v>248</v>
          </cell>
          <cell r="B258"/>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cell r="B265"/>
        </row>
        <row r="266">
          <cell r="A266">
            <v>256</v>
          </cell>
          <cell r="B266"/>
        </row>
        <row r="267">
          <cell r="A267">
            <v>257</v>
          </cell>
          <cell r="B267"/>
        </row>
        <row r="268">
          <cell r="A268">
            <v>258</v>
          </cell>
          <cell r="B268" t="str">
            <v>Hand Models</v>
          </cell>
        </row>
        <row r="269">
          <cell r="A269">
            <v>259</v>
          </cell>
          <cell r="B269"/>
        </row>
        <row r="270">
          <cell r="A270">
            <v>260</v>
          </cell>
          <cell r="B270"/>
        </row>
        <row r="271">
          <cell r="A271">
            <v>261</v>
          </cell>
          <cell r="B271" t="str">
            <v>Voice Over</v>
          </cell>
        </row>
        <row r="272">
          <cell r="A272">
            <v>262</v>
          </cell>
          <cell r="B272" t="str">
            <v>Fitting Fees</v>
          </cell>
        </row>
        <row r="273">
          <cell r="A273">
            <v>263</v>
          </cell>
          <cell r="B273" t="str">
            <v>Fitting Fees</v>
          </cell>
        </row>
        <row r="274">
          <cell r="A274">
            <v>264</v>
          </cell>
          <cell r="B274"/>
        </row>
        <row r="275">
          <cell r="A275">
            <v>265</v>
          </cell>
          <cell r="B275" t="str">
            <v>Audition Fees</v>
          </cell>
        </row>
        <row r="276">
          <cell r="A276">
            <v>266</v>
          </cell>
          <cell r="B276" t="str">
            <v>Audition Fees</v>
          </cell>
        </row>
        <row r="277">
          <cell r="A277">
            <v>267</v>
          </cell>
          <cell r="B277"/>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cell r="B287"/>
        </row>
        <row r="288">
          <cell r="A288" t="str">
            <v>O</v>
          </cell>
          <cell r="B288"/>
        </row>
        <row r="289">
          <cell r="A289">
            <v>277</v>
          </cell>
          <cell r="B289"/>
        </row>
        <row r="290">
          <cell r="A290">
            <v>278</v>
          </cell>
          <cell r="B290"/>
        </row>
        <row r="291">
          <cell r="A291">
            <v>279</v>
          </cell>
          <cell r="B291"/>
        </row>
        <row r="292">
          <cell r="A292">
            <v>280</v>
          </cell>
          <cell r="B292"/>
        </row>
        <row r="293">
          <cell r="A293">
            <v>281</v>
          </cell>
          <cell r="B293"/>
        </row>
        <row r="294">
          <cell r="A294" t="str">
            <v>P</v>
          </cell>
          <cell r="B294"/>
        </row>
        <row r="295">
          <cell r="A295">
            <v>282</v>
          </cell>
          <cell r="B295"/>
        </row>
        <row r="296">
          <cell r="A296">
            <v>283</v>
          </cell>
          <cell r="B296"/>
        </row>
        <row r="297">
          <cell r="A297">
            <v>284</v>
          </cell>
          <cell r="B297"/>
        </row>
        <row r="298">
          <cell r="A298">
            <v>285</v>
          </cell>
          <cell r="B298"/>
        </row>
        <row r="299">
          <cell r="A299">
            <v>286</v>
          </cell>
          <cell r="B299"/>
        </row>
        <row r="300">
          <cell r="A300">
            <v>287</v>
          </cell>
          <cell r="B300"/>
        </row>
        <row r="301">
          <cell r="A301">
            <v>288</v>
          </cell>
          <cell r="B301"/>
        </row>
        <row r="302">
          <cell r="A302">
            <v>289</v>
          </cell>
          <cell r="B302"/>
        </row>
        <row r="303">
          <cell r="A303">
            <v>290</v>
          </cell>
          <cell r="B303"/>
        </row>
        <row r="304">
          <cell r="A304">
            <v>291</v>
          </cell>
          <cell r="B304"/>
        </row>
        <row r="305">
          <cell r="A305">
            <v>292</v>
          </cell>
          <cell r="B305"/>
        </row>
        <row r="306">
          <cell r="A306">
            <v>293</v>
          </cell>
          <cell r="B306"/>
        </row>
        <row r="307">
          <cell r="A307">
            <v>294</v>
          </cell>
          <cell r="B307"/>
        </row>
        <row r="308">
          <cell r="A308">
            <v>295</v>
          </cell>
          <cell r="B308"/>
        </row>
        <row r="309">
          <cell r="A309">
            <v>296</v>
          </cell>
          <cell r="B309"/>
        </row>
        <row r="310">
          <cell r="A310">
            <v>297</v>
          </cell>
          <cell r="B310"/>
        </row>
        <row r="311">
          <cell r="A311">
            <v>298</v>
          </cell>
          <cell r="B311"/>
        </row>
        <row r="312">
          <cell r="A312">
            <v>299</v>
          </cell>
          <cell r="B312"/>
        </row>
        <row r="313">
          <cell r="A313">
            <v>300</v>
          </cell>
          <cell r="B313"/>
        </row>
        <row r="314">
          <cell r="A314">
            <v>301</v>
          </cell>
          <cell r="B314"/>
        </row>
        <row r="315">
          <cell r="A315">
            <v>302</v>
          </cell>
          <cell r="B315"/>
        </row>
        <row r="316">
          <cell r="A316">
            <v>303</v>
          </cell>
          <cell r="B316"/>
        </row>
        <row r="317">
          <cell r="A317">
            <v>304</v>
          </cell>
          <cell r="B317"/>
        </row>
        <row r="318">
          <cell r="A318">
            <v>305</v>
          </cell>
          <cell r="B318"/>
        </row>
        <row r="319">
          <cell r="A319">
            <v>306</v>
          </cell>
          <cell r="B319"/>
        </row>
        <row r="320">
          <cell r="A320">
            <v>307</v>
          </cell>
          <cell r="B320"/>
        </row>
        <row r="321">
          <cell r="A321">
            <v>308</v>
          </cell>
          <cell r="B321"/>
        </row>
        <row r="322">
          <cell r="A322">
            <v>309</v>
          </cell>
          <cell r="B322"/>
        </row>
        <row r="323">
          <cell r="A323">
            <v>310</v>
          </cell>
          <cell r="B323" t="str">
            <v>Covid Expenses</v>
          </cell>
        </row>
        <row r="324">
          <cell r="A324">
            <v>311</v>
          </cell>
          <cell r="B324"/>
        </row>
        <row r="325">
          <cell r="A325">
            <v>312</v>
          </cell>
          <cell r="B325"/>
        </row>
        <row r="326">
          <cell r="A326">
            <v>313</v>
          </cell>
          <cell r="B326"/>
        </row>
        <row r="327">
          <cell r="A327">
            <v>314</v>
          </cell>
          <cell r="B327"/>
        </row>
        <row r="328">
          <cell r="A328">
            <v>315</v>
          </cell>
          <cell r="B328"/>
        </row>
        <row r="329">
          <cell r="A329">
            <v>316</v>
          </cell>
          <cell r="B329"/>
        </row>
        <row r="330">
          <cell r="A330">
            <v>317</v>
          </cell>
          <cell r="B330"/>
        </row>
        <row r="331">
          <cell r="A331">
            <v>318</v>
          </cell>
          <cell r="B331" t="str">
            <v>Covid Testing Stipend</v>
          </cell>
        </row>
        <row r="332">
          <cell r="A332">
            <v>319</v>
          </cell>
          <cell r="B332"/>
        </row>
        <row r="333">
          <cell r="A333">
            <v>320</v>
          </cell>
          <cell r="B333"/>
        </row>
        <row r="334">
          <cell r="A334">
            <v>321</v>
          </cell>
          <cell r="B334"/>
        </row>
        <row r="335">
          <cell r="A335">
            <v>322</v>
          </cell>
          <cell r="B335"/>
        </row>
        <row r="336">
          <cell r="A336">
            <v>323</v>
          </cell>
          <cell r="B336"/>
        </row>
        <row r="337">
          <cell r="A337">
            <v>324</v>
          </cell>
          <cell r="B337"/>
        </row>
        <row r="338">
          <cell r="A338">
            <v>325</v>
          </cell>
          <cell r="B338"/>
        </row>
        <row r="339">
          <cell r="A339">
            <v>326</v>
          </cell>
          <cell r="B339"/>
        </row>
        <row r="340">
          <cell r="A340">
            <v>327</v>
          </cell>
          <cell r="B340"/>
        </row>
        <row r="341">
          <cell r="A341">
            <v>328</v>
          </cell>
          <cell r="B341"/>
        </row>
        <row r="342">
          <cell r="A342">
            <v>329</v>
          </cell>
          <cell r="B342"/>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AH40:AO49" totalsRowShown="0" tableBorderDxfId="11">
  <autoFilter ref="AH40:AO49" xr:uid="{4D6D6425-C385-6E43-AE33-4189C7CA529D}"/>
  <tableColumns count="8">
    <tableColumn id="1" xr3:uid="{5C2ADD1E-C256-024C-9733-C704D834A26C}" name="HHEADER" dataDxfId="10"/>
    <tableColumn id="2" xr3:uid="{192B304B-F713-8949-BB64-E457E96C367A}" name="LINE" dataDxfId="9"/>
    <tableColumn id="3" xr3:uid="{0255337F-F403-5247-99EF-BA78C2ADE147}" name="PAYEE" dataDxfId="8"/>
    <tableColumn id="4" xr3:uid="{5A53409B-B76D-F54F-847E-045DA41D5593}" name="PO" dataDxfId="2"/>
    <tableColumn id="5" xr3:uid="{1AF16A3B-6C13-5B47-9FE6-437F5BFF9145}" name="DATE" dataDxfId="0"/>
    <tableColumn id="6" xr3:uid="{03D58825-9679-EF4B-A299-BB735896609E}" name="PAY ID" dataDxfId="1"/>
    <tableColumn id="7" xr3:uid="{5523D66A-7B72-BC46-B4E7-107048CF5B70}" name="ACTUAL" dataDxfId="3"/>
    <tableColumn id="8" xr3:uid="{65621292-A5A4-E64F-ADC8-B5483F6779D4}" name="LINE DESCRIPTION"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B6" totalsRowShown="0" dataDxfId="6">
  <autoFilter ref="A1:B6" xr:uid="{EF457DCB-8490-FD46-ADA1-9529D7839E04}"/>
  <tableColumns count="2">
    <tableColumn id="1" xr3:uid="{0EAF6A37-D265-C145-9E97-323F27DEB41B}" name="PO" dataDxfId="5"/>
    <tableColumn id="2" xr3:uid="{8BBB3114-E2A5-5A4E-8176-6B40DF66B0A7}" name="RowCount" dataDxfId="4">
      <calculatedColumnFormula array="1">INDIRECT("'" &amp; A2 &amp; "'!count")</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 workbookViewId="1"/>
  </sheetViews>
  <sheetFormatPr baseColWidth="10" defaultRowHeight="16"/>
  <cols>
    <col min="1" max="1" width="3.83203125" style="77" customWidth="1"/>
    <col min="2" max="2" width="10.83203125" style="78"/>
  </cols>
  <sheetData>
    <row r="2" spans="1:2" ht="24">
      <c r="B2" s="79" t="s">
        <v>267</v>
      </c>
    </row>
    <row r="3" spans="1:2">
      <c r="A3" s="77" t="s">
        <v>269</v>
      </c>
      <c r="B3" s="78" t="s">
        <v>266</v>
      </c>
    </row>
    <row r="5" spans="1:2" ht="24">
      <c r="B5" s="79" t="s">
        <v>268</v>
      </c>
    </row>
    <row r="6" spans="1:2">
      <c r="A6" s="77" t="s">
        <v>269</v>
      </c>
      <c r="B6" s="78" t="s">
        <v>270</v>
      </c>
    </row>
    <row r="7" spans="1:2">
      <c r="A7" s="77" t="s">
        <v>269</v>
      </c>
      <c r="B7" s="78" t="s">
        <v>271</v>
      </c>
    </row>
    <row r="11" spans="1:2" ht="24">
      <c r="B11" s="79" t="s">
        <v>265</v>
      </c>
    </row>
    <row r="12" spans="1:2">
      <c r="A12" s="77" t="s">
        <v>269</v>
      </c>
      <c r="B12" s="78" t="s">
        <v>272</v>
      </c>
    </row>
    <row r="13" spans="1:2">
      <c r="A13" s="77" t="s">
        <v>269</v>
      </c>
      <c r="B13" s="78" t="s">
        <v>280</v>
      </c>
    </row>
    <row r="14" spans="1:2">
      <c r="A14" s="77" t="s">
        <v>269</v>
      </c>
      <c r="B14" s="78" t="s">
        <v>273</v>
      </c>
    </row>
    <row r="15" spans="1:2">
      <c r="A15" s="77" t="s">
        <v>269</v>
      </c>
      <c r="B15" s="78" t="s">
        <v>274</v>
      </c>
    </row>
    <row r="16" spans="1:2">
      <c r="A16" s="77" t="s">
        <v>269</v>
      </c>
      <c r="B16" s="78" t="s">
        <v>279</v>
      </c>
    </row>
    <row r="17" spans="1:3">
      <c r="A17" s="77" t="s">
        <v>269</v>
      </c>
      <c r="B17" s="78" t="s">
        <v>275</v>
      </c>
    </row>
    <row r="18" spans="1:3" ht="20">
      <c r="B18" s="80" t="s">
        <v>276</v>
      </c>
      <c r="C18" s="80"/>
    </row>
    <row r="19" spans="1:3">
      <c r="A19" s="77" t="s">
        <v>269</v>
      </c>
      <c r="B19" s="78" t="s">
        <v>277</v>
      </c>
    </row>
    <row r="20" spans="1:3">
      <c r="A20" s="77" t="s">
        <v>269</v>
      </c>
      <c r="B20" s="78" t="s">
        <v>278</v>
      </c>
    </row>
    <row r="21" spans="1:3">
      <c r="A21" s="77" t="s">
        <v>269</v>
      </c>
      <c r="B21" s="78" t="s">
        <v>281</v>
      </c>
    </row>
    <row r="22" spans="1:3">
      <c r="A22" s="77" t="s">
        <v>269</v>
      </c>
      <c r="B22" s="78" t="s">
        <v>282</v>
      </c>
    </row>
    <row r="23" spans="1:3">
      <c r="A23" s="77" t="s">
        <v>269</v>
      </c>
      <c r="B23" s="78" t="s">
        <v>283</v>
      </c>
    </row>
    <row r="25" spans="1:3" ht="24">
      <c r="B25" s="79" t="s">
        <v>284</v>
      </c>
    </row>
    <row r="26" spans="1:3">
      <c r="A26" s="77" t="s">
        <v>269</v>
      </c>
      <c r="B26" s="78" t="s">
        <v>285</v>
      </c>
    </row>
    <row r="27" spans="1:3">
      <c r="A27" s="77" t="s">
        <v>269</v>
      </c>
      <c r="B27" s="78" t="s">
        <v>286</v>
      </c>
    </row>
    <row r="28" spans="1:3">
      <c r="A28" s="77" t="s">
        <v>269</v>
      </c>
      <c r="B28" s="78" t="s">
        <v>287</v>
      </c>
    </row>
    <row r="29" spans="1:3">
      <c r="A29" s="77" t="s">
        <v>269</v>
      </c>
      <c r="B29" s="78" t="s">
        <v>288</v>
      </c>
    </row>
    <row r="30" spans="1:3">
      <c r="A30" s="77" t="s">
        <v>269</v>
      </c>
      <c r="B30" s="78" t="s">
        <v>290</v>
      </c>
    </row>
    <row r="31" spans="1:3">
      <c r="A31" s="77" t="s">
        <v>269</v>
      </c>
      <c r="B31" s="78" t="s">
        <v>291</v>
      </c>
    </row>
    <row r="32" spans="1:3">
      <c r="A32" s="77" t="s">
        <v>269</v>
      </c>
      <c r="B32" s="78" t="s">
        <v>289</v>
      </c>
    </row>
    <row r="34" spans="1:2" ht="24">
      <c r="B34" s="79" t="s">
        <v>292</v>
      </c>
    </row>
    <row r="35" spans="1:2">
      <c r="A35" s="77" t="s">
        <v>269</v>
      </c>
      <c r="B35" s="78" t="s">
        <v>293</v>
      </c>
    </row>
    <row r="36" spans="1:2">
      <c r="A36" s="77" t="s">
        <v>269</v>
      </c>
      <c r="B36" s="78" t="s">
        <v>294</v>
      </c>
    </row>
    <row r="37" spans="1:2">
      <c r="A37" s="77" t="s">
        <v>269</v>
      </c>
      <c r="B37" s="78" t="s">
        <v>295</v>
      </c>
    </row>
    <row r="38" spans="1:2">
      <c r="A38" s="77" t="s">
        <v>269</v>
      </c>
      <c r="B38" s="78" t="s">
        <v>296</v>
      </c>
    </row>
    <row r="39" spans="1:2">
      <c r="A39" s="77" t="s">
        <v>269</v>
      </c>
      <c r="B39" s="78" t="s">
        <v>297</v>
      </c>
    </row>
    <row r="40" spans="1:2">
      <c r="A40" s="77" t="s">
        <v>269</v>
      </c>
      <c r="B40" s="78" t="s">
        <v>298</v>
      </c>
    </row>
    <row r="41" spans="1:2">
      <c r="A41" s="77" t="s">
        <v>269</v>
      </c>
      <c r="B41" s="78" t="s">
        <v>299</v>
      </c>
    </row>
    <row r="43" spans="1:2">
      <c r="A43" s="77" t="s">
        <v>269</v>
      </c>
      <c r="B43" s="78" t="s">
        <v>300</v>
      </c>
    </row>
    <row r="44" spans="1:2">
      <c r="A44" s="77" t="s">
        <v>269</v>
      </c>
      <c r="B44" s="78" t="s">
        <v>301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75"/>
  <sheetViews>
    <sheetView topLeftCell="A343" zoomScale="110" zoomScaleNormal="110" workbookViewId="0">
      <selection activeCell="A364" sqref="A364"/>
    </sheetView>
    <sheetView topLeftCell="A328" workbookViewId="1">
      <selection activeCell="A363" sqref="A363"/>
    </sheetView>
  </sheetViews>
  <sheetFormatPr baseColWidth="10" defaultRowHeight="16"/>
  <cols>
    <col min="2" max="2" width="36.33203125" customWidth="1"/>
  </cols>
  <sheetData>
    <row r="1" spans="1:3">
      <c r="A1" s="144" t="s">
        <v>21</v>
      </c>
      <c r="B1" s="145" t="s">
        <v>22</v>
      </c>
      <c r="C1" s="146"/>
    </row>
    <row r="2" spans="1:3">
      <c r="A2" s="147">
        <v>1</v>
      </c>
      <c r="B2" s="148" t="s">
        <v>23</v>
      </c>
      <c r="C2" s="146"/>
    </row>
    <row r="3" spans="1:3">
      <c r="A3" s="147">
        <v>2</v>
      </c>
      <c r="B3" s="148" t="s">
        <v>24</v>
      </c>
      <c r="C3" s="146"/>
    </row>
    <row r="4" spans="1:3">
      <c r="A4" s="147">
        <v>3</v>
      </c>
      <c r="B4" s="148" t="s">
        <v>25</v>
      </c>
      <c r="C4" s="146"/>
    </row>
    <row r="5" spans="1:3">
      <c r="A5" s="147">
        <v>4</v>
      </c>
      <c r="B5" s="148" t="s">
        <v>26</v>
      </c>
      <c r="C5" s="146"/>
    </row>
    <row r="6" spans="1:3">
      <c r="A6" s="147">
        <v>5</v>
      </c>
      <c r="B6" s="148" t="s">
        <v>27</v>
      </c>
      <c r="C6" s="146"/>
    </row>
    <row r="7" spans="1:3">
      <c r="A7" s="147">
        <v>6</v>
      </c>
      <c r="B7" s="148" t="s">
        <v>28</v>
      </c>
      <c r="C7" s="146"/>
    </row>
    <row r="8" spans="1:3">
      <c r="A8" s="147">
        <v>7</v>
      </c>
      <c r="B8" s="148" t="s">
        <v>29</v>
      </c>
      <c r="C8" s="146"/>
    </row>
    <row r="9" spans="1:3">
      <c r="A9" s="147">
        <v>8</v>
      </c>
      <c r="B9" s="148" t="s">
        <v>30</v>
      </c>
      <c r="C9" s="146"/>
    </row>
    <row r="10" spans="1:3">
      <c r="A10" s="147">
        <v>9</v>
      </c>
      <c r="B10" s="148" t="s">
        <v>31</v>
      </c>
      <c r="C10" s="146"/>
    </row>
    <row r="11" spans="1:3">
      <c r="A11" s="147">
        <v>10</v>
      </c>
      <c r="B11" s="148" t="s">
        <v>32</v>
      </c>
      <c r="C11" s="146"/>
    </row>
    <row r="12" spans="1:3">
      <c r="A12" s="147">
        <v>11</v>
      </c>
      <c r="B12" s="148" t="s">
        <v>33</v>
      </c>
      <c r="C12" s="146"/>
    </row>
    <row r="13" spans="1:3">
      <c r="A13" s="147">
        <v>12</v>
      </c>
      <c r="B13" s="148" t="s">
        <v>34</v>
      </c>
      <c r="C13" s="146"/>
    </row>
    <row r="14" spans="1:3">
      <c r="A14" s="147">
        <v>13</v>
      </c>
      <c r="B14" s="148" t="s">
        <v>35</v>
      </c>
      <c r="C14" s="146"/>
    </row>
    <row r="15" spans="1:3">
      <c r="A15" s="147">
        <v>14</v>
      </c>
      <c r="B15" s="148" t="s">
        <v>36</v>
      </c>
      <c r="C15" s="146"/>
    </row>
    <row r="16" spans="1:3">
      <c r="A16" s="147">
        <v>15</v>
      </c>
      <c r="B16" s="148" t="s">
        <v>37</v>
      </c>
      <c r="C16" s="146"/>
    </row>
    <row r="17" spans="1:3">
      <c r="A17" s="147">
        <v>16</v>
      </c>
      <c r="B17" s="148" t="s">
        <v>38</v>
      </c>
      <c r="C17" s="146"/>
    </row>
    <row r="18" spans="1:3">
      <c r="A18" s="147">
        <v>17</v>
      </c>
      <c r="B18" s="148" t="s">
        <v>39</v>
      </c>
      <c r="C18" s="146"/>
    </row>
    <row r="19" spans="1:3">
      <c r="A19" s="147">
        <v>18</v>
      </c>
      <c r="B19" s="148" t="s">
        <v>40</v>
      </c>
      <c r="C19" s="146"/>
    </row>
    <row r="20" spans="1:3">
      <c r="A20" s="147">
        <v>19</v>
      </c>
      <c r="B20" s="148" t="s">
        <v>41</v>
      </c>
      <c r="C20" s="146"/>
    </row>
    <row r="21" spans="1:3">
      <c r="A21" s="147">
        <v>20</v>
      </c>
      <c r="B21" s="148" t="s">
        <v>42</v>
      </c>
      <c r="C21" s="146"/>
    </row>
    <row r="22" spans="1:3">
      <c r="A22" s="147">
        <v>21</v>
      </c>
      <c r="B22" s="148" t="s">
        <v>43</v>
      </c>
      <c r="C22" s="146"/>
    </row>
    <row r="23" spans="1:3">
      <c r="A23" s="147">
        <v>22</v>
      </c>
      <c r="B23" s="148" t="s">
        <v>44</v>
      </c>
      <c r="C23" s="146"/>
    </row>
    <row r="24" spans="1:3">
      <c r="A24" s="147">
        <v>23</v>
      </c>
      <c r="B24" s="148" t="s">
        <v>45</v>
      </c>
      <c r="C24" s="146"/>
    </row>
    <row r="25" spans="1:3">
      <c r="A25" s="147">
        <v>24</v>
      </c>
      <c r="B25" s="148" t="s">
        <v>46</v>
      </c>
      <c r="C25" s="146"/>
    </row>
    <row r="26" spans="1:3">
      <c r="A26" s="147">
        <v>25</v>
      </c>
      <c r="B26" s="148" t="s">
        <v>47</v>
      </c>
      <c r="C26" s="146"/>
    </row>
    <row r="27" spans="1:3">
      <c r="A27" s="147">
        <v>26</v>
      </c>
      <c r="B27" s="148" t="s">
        <v>48</v>
      </c>
      <c r="C27" s="146"/>
    </row>
    <row r="28" spans="1:3">
      <c r="A28" s="147">
        <v>27</v>
      </c>
      <c r="B28" s="148" t="s">
        <v>49</v>
      </c>
      <c r="C28" s="146"/>
    </row>
    <row r="29" spans="1:3">
      <c r="A29" s="147">
        <v>28</v>
      </c>
      <c r="B29" s="148" t="s">
        <v>50</v>
      </c>
      <c r="C29" s="146"/>
    </row>
    <row r="30" spans="1:3">
      <c r="A30" s="147">
        <v>29</v>
      </c>
      <c r="B30" s="148" t="s">
        <v>51</v>
      </c>
      <c r="C30" s="146"/>
    </row>
    <row r="31" spans="1:3">
      <c r="A31" s="147">
        <v>30</v>
      </c>
      <c r="B31" s="148" t="s">
        <v>52</v>
      </c>
      <c r="C31" s="146"/>
    </row>
    <row r="32" spans="1:3">
      <c r="A32" s="147">
        <v>31</v>
      </c>
      <c r="B32" s="148" t="s">
        <v>53</v>
      </c>
      <c r="C32" s="146"/>
    </row>
    <row r="33" spans="1:3">
      <c r="A33" s="147">
        <v>32</v>
      </c>
      <c r="B33" s="148" t="s">
        <v>54</v>
      </c>
      <c r="C33" s="146"/>
    </row>
    <row r="34" spans="1:3">
      <c r="A34" s="147">
        <v>33</v>
      </c>
      <c r="B34" s="148" t="s">
        <v>55</v>
      </c>
      <c r="C34" s="146"/>
    </row>
    <row r="35" spans="1:3">
      <c r="A35" s="147">
        <v>34</v>
      </c>
      <c r="B35" s="148" t="s">
        <v>56</v>
      </c>
      <c r="C35" s="146"/>
    </row>
    <row r="36" spans="1:3">
      <c r="A36" s="147">
        <v>35</v>
      </c>
      <c r="B36" s="148" t="s">
        <v>57</v>
      </c>
      <c r="C36" s="146"/>
    </row>
    <row r="37" spans="1:3">
      <c r="A37" s="147">
        <v>36</v>
      </c>
      <c r="B37" s="148" t="s">
        <v>58</v>
      </c>
      <c r="C37" s="146"/>
    </row>
    <row r="38" spans="1:3">
      <c r="A38" s="147">
        <v>37</v>
      </c>
      <c r="B38" s="148" t="s">
        <v>59</v>
      </c>
      <c r="C38" s="146"/>
    </row>
    <row r="39" spans="1:3">
      <c r="A39" s="147">
        <v>38</v>
      </c>
      <c r="B39" s="148" t="s">
        <v>60</v>
      </c>
      <c r="C39" s="146"/>
    </row>
    <row r="40" spans="1:3">
      <c r="A40" s="147">
        <v>39</v>
      </c>
      <c r="B40" s="148" t="s">
        <v>61</v>
      </c>
      <c r="C40" s="146"/>
    </row>
    <row r="41" spans="1:3">
      <c r="A41" s="147">
        <v>40</v>
      </c>
      <c r="B41" s="148" t="s">
        <v>62</v>
      </c>
      <c r="C41" s="146"/>
    </row>
    <row r="42" spans="1:3">
      <c r="A42" s="147">
        <v>41</v>
      </c>
      <c r="B42" s="148" t="s">
        <v>63</v>
      </c>
      <c r="C42" s="146"/>
    </row>
    <row r="43" spans="1:3">
      <c r="A43" s="147">
        <v>42</v>
      </c>
      <c r="B43" s="148" t="s">
        <v>64</v>
      </c>
      <c r="C43" s="146"/>
    </row>
    <row r="44" spans="1:3">
      <c r="A44" s="147">
        <v>43</v>
      </c>
      <c r="B44" s="148" t="s">
        <v>65</v>
      </c>
      <c r="C44" s="146"/>
    </row>
    <row r="45" spans="1:3">
      <c r="A45" s="147">
        <v>44</v>
      </c>
      <c r="B45" s="148" t="s">
        <v>66</v>
      </c>
      <c r="C45" s="146"/>
    </row>
    <row r="46" spans="1:3">
      <c r="A46" s="147">
        <v>45</v>
      </c>
      <c r="B46" s="148" t="s">
        <v>67</v>
      </c>
      <c r="C46" s="146"/>
    </row>
    <row r="47" spans="1:3">
      <c r="A47" s="147">
        <v>46</v>
      </c>
      <c r="B47" s="148" t="s">
        <v>67</v>
      </c>
      <c r="C47" s="146"/>
    </row>
    <row r="48" spans="1:3">
      <c r="A48" s="147">
        <v>47</v>
      </c>
      <c r="B48" s="148" t="s">
        <v>68</v>
      </c>
      <c r="C48" s="146"/>
    </row>
    <row r="49" spans="1:3">
      <c r="A49" s="147">
        <v>48</v>
      </c>
      <c r="B49" s="148" t="s">
        <v>69</v>
      </c>
      <c r="C49" s="146"/>
    </row>
    <row r="50" spans="1:3">
      <c r="A50" s="147">
        <v>49</v>
      </c>
      <c r="B50" s="148" t="s">
        <v>69</v>
      </c>
      <c r="C50" s="146"/>
    </row>
    <row r="51" spans="1:3">
      <c r="A51" s="147">
        <v>50</v>
      </c>
      <c r="B51" s="148"/>
      <c r="C51" s="146"/>
    </row>
    <row r="52" spans="1:3">
      <c r="A52" s="147">
        <v>51</v>
      </c>
      <c r="B52" s="148" t="s">
        <v>23</v>
      </c>
      <c r="C52" s="146"/>
    </row>
    <row r="53" spans="1:3">
      <c r="A53" s="147">
        <v>52</v>
      </c>
      <c r="B53" s="148" t="s">
        <v>24</v>
      </c>
      <c r="C53" s="146"/>
    </row>
    <row r="54" spans="1:3">
      <c r="A54" s="147">
        <v>53</v>
      </c>
      <c r="B54" s="148" t="s">
        <v>25</v>
      </c>
      <c r="C54" s="146"/>
    </row>
    <row r="55" spans="1:3">
      <c r="A55" s="147">
        <v>54</v>
      </c>
      <c r="B55" s="148" t="s">
        <v>26</v>
      </c>
      <c r="C55" s="146"/>
    </row>
    <row r="56" spans="1:3">
      <c r="A56" s="147">
        <v>55</v>
      </c>
      <c r="B56" s="148" t="s">
        <v>27</v>
      </c>
      <c r="C56" s="146"/>
    </row>
    <row r="57" spans="1:3">
      <c r="A57" s="147">
        <v>56</v>
      </c>
      <c r="B57" s="148" t="s">
        <v>28</v>
      </c>
      <c r="C57" s="146"/>
    </row>
    <row r="58" spans="1:3">
      <c r="A58" s="147">
        <v>57</v>
      </c>
      <c r="B58" s="148" t="s">
        <v>29</v>
      </c>
      <c r="C58" s="146"/>
    </row>
    <row r="59" spans="1:3">
      <c r="A59" s="147">
        <v>58</v>
      </c>
      <c r="B59" s="148" t="s">
        <v>30</v>
      </c>
      <c r="C59" s="146"/>
    </row>
    <row r="60" spans="1:3">
      <c r="A60" s="147">
        <v>59</v>
      </c>
      <c r="B60" s="148" t="s">
        <v>70</v>
      </c>
      <c r="C60" s="146"/>
    </row>
    <row r="61" spans="1:3">
      <c r="A61" s="147">
        <v>60</v>
      </c>
      <c r="B61" s="148" t="s">
        <v>32</v>
      </c>
      <c r="C61" s="146"/>
    </row>
    <row r="62" spans="1:3">
      <c r="A62" s="147">
        <v>61</v>
      </c>
      <c r="B62" s="148" t="s">
        <v>33</v>
      </c>
      <c r="C62" s="146"/>
    </row>
    <row r="63" spans="1:3">
      <c r="A63" s="147">
        <v>62</v>
      </c>
      <c r="B63" s="148" t="s">
        <v>34</v>
      </c>
      <c r="C63" s="146"/>
    </row>
    <row r="64" spans="1:3">
      <c r="A64" s="147">
        <v>63</v>
      </c>
      <c r="B64" s="148" t="s">
        <v>35</v>
      </c>
      <c r="C64" s="146"/>
    </row>
    <row r="65" spans="1:3">
      <c r="A65" s="147">
        <v>64</v>
      </c>
      <c r="B65" s="148" t="s">
        <v>71</v>
      </c>
      <c r="C65" s="146"/>
    </row>
    <row r="66" spans="1:3">
      <c r="A66" s="147">
        <v>65</v>
      </c>
      <c r="B66" s="148" t="s">
        <v>37</v>
      </c>
      <c r="C66" s="146"/>
    </row>
    <row r="67" spans="1:3">
      <c r="A67" s="147">
        <v>66</v>
      </c>
      <c r="B67" s="148" t="s">
        <v>38</v>
      </c>
      <c r="C67" s="146"/>
    </row>
    <row r="68" spans="1:3">
      <c r="A68" s="147">
        <v>67</v>
      </c>
      <c r="B68" s="148" t="s">
        <v>39</v>
      </c>
      <c r="C68" s="146"/>
    </row>
    <row r="69" spans="1:3">
      <c r="A69" s="147">
        <v>68</v>
      </c>
      <c r="B69" s="148" t="s">
        <v>40</v>
      </c>
      <c r="C69" s="146"/>
    </row>
    <row r="70" spans="1:3">
      <c r="A70" s="147">
        <v>69</v>
      </c>
      <c r="B70" s="148" t="s">
        <v>72</v>
      </c>
      <c r="C70" s="146"/>
    </row>
    <row r="71" spans="1:3">
      <c r="A71" s="147">
        <v>70</v>
      </c>
      <c r="B71" s="148" t="s">
        <v>73</v>
      </c>
      <c r="C71" s="146"/>
    </row>
    <row r="72" spans="1:3">
      <c r="A72" s="147">
        <v>71</v>
      </c>
      <c r="B72" s="148" t="s">
        <v>43</v>
      </c>
      <c r="C72" s="146"/>
    </row>
    <row r="73" spans="1:3">
      <c r="A73" s="147">
        <v>72</v>
      </c>
      <c r="B73" s="148" t="s">
        <v>44</v>
      </c>
      <c r="C73" s="146"/>
    </row>
    <row r="74" spans="1:3">
      <c r="A74" s="147">
        <v>73</v>
      </c>
      <c r="B74" s="148" t="s">
        <v>74</v>
      </c>
      <c r="C74" s="146"/>
    </row>
    <row r="75" spans="1:3">
      <c r="A75" s="147">
        <v>74</v>
      </c>
      <c r="B75" s="148" t="s">
        <v>75</v>
      </c>
      <c r="C75" s="146"/>
    </row>
    <row r="76" spans="1:3">
      <c r="A76" s="147">
        <v>75</v>
      </c>
      <c r="B76" s="148" t="s">
        <v>47</v>
      </c>
      <c r="C76" s="146"/>
    </row>
    <row r="77" spans="1:3">
      <c r="A77" s="147">
        <v>76</v>
      </c>
      <c r="B77" s="148" t="s">
        <v>48</v>
      </c>
      <c r="C77" s="146"/>
    </row>
    <row r="78" spans="1:3">
      <c r="A78" s="147">
        <v>77</v>
      </c>
      <c r="B78" s="148" t="s">
        <v>49</v>
      </c>
      <c r="C78" s="146"/>
    </row>
    <row r="79" spans="1:3">
      <c r="A79" s="147">
        <v>78</v>
      </c>
      <c r="B79" s="148" t="s">
        <v>50</v>
      </c>
      <c r="C79" s="146"/>
    </row>
    <row r="80" spans="1:3">
      <c r="A80" s="147">
        <v>79</v>
      </c>
      <c r="B80" s="148" t="s">
        <v>76</v>
      </c>
      <c r="C80" s="146"/>
    </row>
    <row r="81" spans="1:3">
      <c r="A81" s="147">
        <v>80</v>
      </c>
      <c r="B81" s="148" t="s">
        <v>52</v>
      </c>
      <c r="C81" s="146"/>
    </row>
    <row r="82" spans="1:3">
      <c r="A82" s="147">
        <v>81</v>
      </c>
      <c r="B82" s="148" t="s">
        <v>53</v>
      </c>
      <c r="C82" s="146"/>
    </row>
    <row r="83" spans="1:3">
      <c r="A83" s="147">
        <v>82</v>
      </c>
      <c r="B83" s="148" t="s">
        <v>77</v>
      </c>
      <c r="C83" s="146"/>
    </row>
    <row r="84" spans="1:3">
      <c r="A84" s="147">
        <v>83</v>
      </c>
      <c r="B84" s="148" t="s">
        <v>55</v>
      </c>
      <c r="C84" s="146"/>
    </row>
    <row r="85" spans="1:3">
      <c r="A85" s="147">
        <v>84</v>
      </c>
      <c r="B85" s="148" t="s">
        <v>51</v>
      </c>
      <c r="C85" s="146"/>
    </row>
    <row r="86" spans="1:3">
      <c r="A86" s="147">
        <v>85</v>
      </c>
      <c r="B86" s="148" t="s">
        <v>57</v>
      </c>
      <c r="C86" s="146"/>
    </row>
    <row r="87" spans="1:3">
      <c r="A87" s="147">
        <v>86</v>
      </c>
      <c r="B87" s="148" t="s">
        <v>58</v>
      </c>
      <c r="C87" s="146"/>
    </row>
    <row r="88" spans="1:3">
      <c r="A88" s="147">
        <v>87</v>
      </c>
      <c r="B88" s="148" t="s">
        <v>59</v>
      </c>
      <c r="C88" s="146"/>
    </row>
    <row r="89" spans="1:3">
      <c r="A89" s="147">
        <v>88</v>
      </c>
      <c r="B89" s="148" t="s">
        <v>60</v>
      </c>
      <c r="C89" s="146"/>
    </row>
    <row r="90" spans="1:3">
      <c r="A90" s="147">
        <v>89</v>
      </c>
      <c r="B90" s="148" t="s">
        <v>61</v>
      </c>
      <c r="C90" s="146"/>
    </row>
    <row r="91" spans="1:3">
      <c r="A91" s="147">
        <v>90</v>
      </c>
      <c r="B91" s="148" t="s">
        <v>62</v>
      </c>
      <c r="C91" s="146"/>
    </row>
    <row r="92" spans="1:3">
      <c r="A92" s="147">
        <v>91</v>
      </c>
      <c r="B92" s="148" t="s">
        <v>78</v>
      </c>
      <c r="C92" s="146"/>
    </row>
    <row r="93" spans="1:3">
      <c r="A93" s="147">
        <v>92</v>
      </c>
      <c r="B93" s="148" t="s">
        <v>63</v>
      </c>
      <c r="C93" s="146"/>
    </row>
    <row r="94" spans="1:3">
      <c r="A94" s="147">
        <v>93</v>
      </c>
      <c r="B94" s="148" t="s">
        <v>64</v>
      </c>
      <c r="C94" s="146"/>
    </row>
    <row r="95" spans="1:3">
      <c r="A95" s="147">
        <v>94</v>
      </c>
      <c r="B95" s="148" t="s">
        <v>79</v>
      </c>
      <c r="C95" s="146"/>
    </row>
    <row r="96" spans="1:3">
      <c r="A96" s="147">
        <v>95</v>
      </c>
      <c r="B96" s="148" t="s">
        <v>67</v>
      </c>
      <c r="C96" s="146"/>
    </row>
    <row r="97" spans="1:3">
      <c r="A97" s="147">
        <v>96</v>
      </c>
      <c r="B97" s="148" t="s">
        <v>67</v>
      </c>
      <c r="C97" s="146"/>
    </row>
    <row r="98" spans="1:3">
      <c r="A98" s="147">
        <v>97</v>
      </c>
      <c r="B98" s="148" t="s">
        <v>68</v>
      </c>
      <c r="C98" s="146"/>
    </row>
    <row r="99" spans="1:3">
      <c r="A99" s="147">
        <v>98</v>
      </c>
      <c r="B99" s="148" t="s">
        <v>69</v>
      </c>
      <c r="C99" s="146"/>
    </row>
    <row r="100" spans="1:3">
      <c r="A100" s="147">
        <v>99</v>
      </c>
      <c r="B100" s="148" t="s">
        <v>69</v>
      </c>
      <c r="C100" s="146"/>
    </row>
    <row r="101" spans="1:3">
      <c r="A101" s="147">
        <v>100</v>
      </c>
      <c r="B101" s="148" t="s">
        <v>80</v>
      </c>
      <c r="C101" s="146"/>
    </row>
    <row r="102" spans="1:3">
      <c r="A102" s="149" t="s">
        <v>81</v>
      </c>
      <c r="B102" s="150" t="s">
        <v>82</v>
      </c>
      <c r="C102" s="146"/>
    </row>
    <row r="103" spans="1:3">
      <c r="A103" s="147">
        <v>101</v>
      </c>
      <c r="B103" s="148" t="s">
        <v>83</v>
      </c>
      <c r="C103" s="146"/>
    </row>
    <row r="104" spans="1:3">
      <c r="A104" s="147">
        <v>102</v>
      </c>
      <c r="B104" s="148" t="s">
        <v>324</v>
      </c>
      <c r="C104" s="146"/>
    </row>
    <row r="105" spans="1:3">
      <c r="A105" s="147">
        <v>103</v>
      </c>
      <c r="B105" s="148" t="s">
        <v>84</v>
      </c>
      <c r="C105" s="146"/>
    </row>
    <row r="106" spans="1:3">
      <c r="A106" s="147">
        <v>104</v>
      </c>
      <c r="B106" s="148" t="s">
        <v>85</v>
      </c>
      <c r="C106" s="146"/>
    </row>
    <row r="107" spans="1:3">
      <c r="A107" s="147">
        <v>105</v>
      </c>
      <c r="B107" s="148" t="s">
        <v>86</v>
      </c>
      <c r="C107" s="146"/>
    </row>
    <row r="108" spans="1:3">
      <c r="A108" s="147">
        <v>106</v>
      </c>
      <c r="B108" s="148" t="s">
        <v>87</v>
      </c>
      <c r="C108" s="146"/>
    </row>
    <row r="109" spans="1:3">
      <c r="A109" s="147">
        <v>107</v>
      </c>
      <c r="B109" s="148" t="s">
        <v>88</v>
      </c>
      <c r="C109" s="146"/>
    </row>
    <row r="110" spans="1:3">
      <c r="A110" s="147">
        <v>108</v>
      </c>
      <c r="B110" s="148" t="s">
        <v>89</v>
      </c>
      <c r="C110" s="146"/>
    </row>
    <row r="111" spans="1:3">
      <c r="A111" s="147">
        <v>109</v>
      </c>
      <c r="B111" s="148" t="s">
        <v>90</v>
      </c>
      <c r="C111" s="146"/>
    </row>
    <row r="112" spans="1:3">
      <c r="A112" s="147">
        <v>110</v>
      </c>
      <c r="B112" s="148" t="s">
        <v>91</v>
      </c>
      <c r="C112" s="146"/>
    </row>
    <row r="113" spans="1:3">
      <c r="A113" s="147">
        <v>111</v>
      </c>
      <c r="B113" s="148" t="s">
        <v>92</v>
      </c>
      <c r="C113" s="146"/>
    </row>
    <row r="114" spans="1:3">
      <c r="A114" s="147">
        <v>112</v>
      </c>
      <c r="B114" s="148" t="s">
        <v>93</v>
      </c>
      <c r="C114" s="146"/>
    </row>
    <row r="115" spans="1:3">
      <c r="A115" s="147">
        <v>113</v>
      </c>
      <c r="B115" s="148" t="s">
        <v>94</v>
      </c>
      <c r="C115" s="146"/>
    </row>
    <row r="116" spans="1:3">
      <c r="A116" s="149" t="s">
        <v>95</v>
      </c>
      <c r="B116" s="145" t="s">
        <v>96</v>
      </c>
      <c r="C116" s="146"/>
    </row>
    <row r="117" spans="1:3">
      <c r="A117" s="147">
        <v>114</v>
      </c>
      <c r="B117" s="148" t="s">
        <v>97</v>
      </c>
      <c r="C117" s="146"/>
    </row>
    <row r="118" spans="1:3">
      <c r="A118" s="147">
        <v>115</v>
      </c>
      <c r="B118" s="148" t="s">
        <v>98</v>
      </c>
      <c r="C118" s="146"/>
    </row>
    <row r="119" spans="1:3">
      <c r="A119" s="147">
        <v>116</v>
      </c>
      <c r="B119" s="148" t="s">
        <v>99</v>
      </c>
      <c r="C119" s="146"/>
    </row>
    <row r="120" spans="1:3">
      <c r="A120" s="147">
        <v>117</v>
      </c>
      <c r="B120" s="148" t="s">
        <v>100</v>
      </c>
      <c r="C120" s="146"/>
    </row>
    <row r="121" spans="1:3">
      <c r="A121" s="147">
        <v>118</v>
      </c>
      <c r="B121" s="148" t="s">
        <v>101</v>
      </c>
      <c r="C121" s="146"/>
    </row>
    <row r="122" spans="1:3">
      <c r="A122" s="147">
        <v>119</v>
      </c>
      <c r="B122" s="148" t="s">
        <v>102</v>
      </c>
      <c r="C122" s="146"/>
    </row>
    <row r="123" spans="1:3">
      <c r="A123" s="147">
        <v>120</v>
      </c>
      <c r="B123" s="148" t="s">
        <v>103</v>
      </c>
      <c r="C123" s="146"/>
    </row>
    <row r="124" spans="1:3">
      <c r="A124" s="147">
        <v>121</v>
      </c>
      <c r="B124" s="148" t="s">
        <v>104</v>
      </c>
      <c r="C124" s="146"/>
    </row>
    <row r="125" spans="1:3">
      <c r="A125" s="147">
        <v>122</v>
      </c>
      <c r="B125" s="148" t="s">
        <v>105</v>
      </c>
      <c r="C125" s="146"/>
    </row>
    <row r="126" spans="1:3">
      <c r="A126" s="147">
        <v>123</v>
      </c>
      <c r="B126" s="148" t="s">
        <v>106</v>
      </c>
      <c r="C126" s="146"/>
    </row>
    <row r="127" spans="1:3">
      <c r="A127" s="147">
        <v>124</v>
      </c>
      <c r="B127" s="148" t="s">
        <v>107</v>
      </c>
      <c r="C127" s="146"/>
    </row>
    <row r="128" spans="1:3">
      <c r="A128" s="147">
        <v>125</v>
      </c>
      <c r="B128" s="148" t="s">
        <v>108</v>
      </c>
      <c r="C128" s="146"/>
    </row>
    <row r="129" spans="1:3">
      <c r="A129" s="147">
        <v>126</v>
      </c>
      <c r="B129" s="148" t="s">
        <v>109</v>
      </c>
      <c r="C129" s="146"/>
    </row>
    <row r="130" spans="1:3">
      <c r="A130" s="147">
        <v>127</v>
      </c>
      <c r="B130" s="148" t="s">
        <v>110</v>
      </c>
      <c r="C130" s="146"/>
    </row>
    <row r="131" spans="1:3">
      <c r="A131" s="147">
        <v>128</v>
      </c>
      <c r="B131" s="148" t="s">
        <v>325</v>
      </c>
      <c r="C131" s="146"/>
    </row>
    <row r="132" spans="1:3">
      <c r="A132" s="147">
        <v>129</v>
      </c>
      <c r="B132" s="148" t="s">
        <v>111</v>
      </c>
      <c r="C132" s="146"/>
    </row>
    <row r="133" spans="1:3">
      <c r="A133" s="147">
        <v>130</v>
      </c>
      <c r="B133" s="148" t="s">
        <v>112</v>
      </c>
      <c r="C133" s="146"/>
    </row>
    <row r="134" spans="1:3">
      <c r="A134" s="147">
        <v>131</v>
      </c>
      <c r="B134" s="148" t="s">
        <v>113</v>
      </c>
      <c r="C134" s="146"/>
    </row>
    <row r="135" spans="1:3">
      <c r="A135" s="147">
        <v>132</v>
      </c>
      <c r="B135" s="148" t="s">
        <v>114</v>
      </c>
      <c r="C135" s="146"/>
    </row>
    <row r="136" spans="1:3">
      <c r="A136" s="147">
        <v>133</v>
      </c>
      <c r="B136" s="148" t="s">
        <v>326</v>
      </c>
      <c r="C136" s="146"/>
    </row>
    <row r="137" spans="1:3">
      <c r="A137" s="147">
        <v>134</v>
      </c>
      <c r="B137" s="148" t="s">
        <v>115</v>
      </c>
      <c r="C137" s="146"/>
    </row>
    <row r="138" spans="1:3">
      <c r="A138" s="147">
        <v>135</v>
      </c>
      <c r="B138" s="148" t="s">
        <v>116</v>
      </c>
      <c r="C138" s="146"/>
    </row>
    <row r="139" spans="1:3">
      <c r="A139" s="147">
        <v>136</v>
      </c>
      <c r="B139" s="148" t="s">
        <v>117</v>
      </c>
      <c r="C139" s="146"/>
    </row>
    <row r="140" spans="1:3">
      <c r="A140" s="147">
        <v>137</v>
      </c>
      <c r="B140" s="148" t="s">
        <v>118</v>
      </c>
      <c r="C140" s="146"/>
    </row>
    <row r="141" spans="1:3">
      <c r="A141" s="147">
        <v>138</v>
      </c>
      <c r="B141" s="148" t="s">
        <v>119</v>
      </c>
      <c r="C141" s="146"/>
    </row>
    <row r="142" spans="1:3">
      <c r="A142" s="147">
        <v>139</v>
      </c>
      <c r="B142" s="148" t="s">
        <v>64</v>
      </c>
      <c r="C142" s="146"/>
    </row>
    <row r="143" spans="1:3">
      <c r="A143" s="149" t="s">
        <v>120</v>
      </c>
      <c r="B143" s="145" t="s">
        <v>121</v>
      </c>
      <c r="C143" s="146"/>
    </row>
    <row r="144" spans="1:3">
      <c r="A144" s="147">
        <v>140</v>
      </c>
      <c r="B144" s="148" t="s">
        <v>122</v>
      </c>
      <c r="C144" s="146"/>
    </row>
    <row r="145" spans="1:3">
      <c r="A145" s="147">
        <v>141</v>
      </c>
      <c r="B145" s="148" t="s">
        <v>123</v>
      </c>
      <c r="C145" s="146"/>
    </row>
    <row r="146" spans="1:3">
      <c r="A146" s="147">
        <v>142</v>
      </c>
      <c r="B146" s="148" t="s">
        <v>124</v>
      </c>
      <c r="C146" s="146"/>
    </row>
    <row r="147" spans="1:3">
      <c r="A147" s="147">
        <v>143</v>
      </c>
      <c r="B147" s="148" t="s">
        <v>124</v>
      </c>
      <c r="C147" s="146"/>
    </row>
    <row r="148" spans="1:3">
      <c r="A148" s="147">
        <v>144</v>
      </c>
      <c r="B148" s="148" t="s">
        <v>124</v>
      </c>
      <c r="C148" s="146"/>
    </row>
    <row r="149" spans="1:3">
      <c r="A149" s="147">
        <v>145</v>
      </c>
      <c r="B149" s="148" t="s">
        <v>125</v>
      </c>
      <c r="C149" s="146"/>
    </row>
    <row r="150" spans="1:3">
      <c r="A150" s="147">
        <v>146</v>
      </c>
      <c r="B150" s="148" t="s">
        <v>125</v>
      </c>
      <c r="C150" s="146"/>
    </row>
    <row r="151" spans="1:3">
      <c r="A151" s="147">
        <v>147</v>
      </c>
      <c r="B151" s="148" t="s">
        <v>126</v>
      </c>
      <c r="C151" s="146"/>
    </row>
    <row r="152" spans="1:3">
      <c r="A152" s="147">
        <v>148</v>
      </c>
      <c r="B152" s="148" t="s">
        <v>127</v>
      </c>
      <c r="C152" s="146"/>
    </row>
    <row r="153" spans="1:3">
      <c r="A153" s="147">
        <v>149</v>
      </c>
      <c r="B153" s="148" t="s">
        <v>128</v>
      </c>
      <c r="C153" s="146"/>
    </row>
    <row r="154" spans="1:3">
      <c r="A154" s="147">
        <v>150</v>
      </c>
      <c r="B154" s="148"/>
      <c r="C154" s="146"/>
    </row>
    <row r="155" spans="1:3">
      <c r="A155" s="149" t="s">
        <v>129</v>
      </c>
      <c r="B155" s="150" t="s">
        <v>130</v>
      </c>
      <c r="C155" s="146"/>
    </row>
    <row r="156" spans="1:3">
      <c r="A156" s="147">
        <v>151</v>
      </c>
      <c r="B156" s="148" t="s">
        <v>131</v>
      </c>
      <c r="C156" s="146"/>
    </row>
    <row r="157" spans="1:3">
      <c r="A157" s="147">
        <v>152</v>
      </c>
      <c r="B157" s="148" t="s">
        <v>132</v>
      </c>
      <c r="C157" s="146"/>
    </row>
    <row r="158" spans="1:3">
      <c r="A158" s="147">
        <v>153</v>
      </c>
      <c r="B158" s="148" t="s">
        <v>133</v>
      </c>
      <c r="C158" s="146"/>
    </row>
    <row r="159" spans="1:3">
      <c r="A159" s="147">
        <v>154</v>
      </c>
      <c r="B159" s="148" t="s">
        <v>134</v>
      </c>
      <c r="C159" s="146"/>
    </row>
    <row r="160" spans="1:3">
      <c r="A160" s="147">
        <v>155</v>
      </c>
      <c r="B160" s="148" t="s">
        <v>135</v>
      </c>
      <c r="C160" s="146"/>
    </row>
    <row r="161" spans="1:3">
      <c r="A161" s="147">
        <v>156</v>
      </c>
      <c r="B161" s="148" t="s">
        <v>136</v>
      </c>
      <c r="C161" s="146"/>
    </row>
    <row r="162" spans="1:3">
      <c r="A162" s="147">
        <v>157</v>
      </c>
      <c r="B162" s="148" t="s">
        <v>137</v>
      </c>
      <c r="C162" s="146"/>
    </row>
    <row r="163" spans="1:3">
      <c r="A163" s="147">
        <v>158</v>
      </c>
      <c r="B163" s="148" t="s">
        <v>138</v>
      </c>
      <c r="C163" s="146"/>
    </row>
    <row r="164" spans="1:3">
      <c r="A164" s="147">
        <v>159</v>
      </c>
      <c r="B164" s="148" t="s">
        <v>139</v>
      </c>
      <c r="C164" s="146"/>
    </row>
    <row r="165" spans="1:3">
      <c r="A165" s="147">
        <v>160</v>
      </c>
      <c r="B165" s="148" t="s">
        <v>140</v>
      </c>
      <c r="C165" s="146"/>
    </row>
    <row r="166" spans="1:3">
      <c r="A166" s="147">
        <v>161</v>
      </c>
      <c r="B166" s="148" t="s">
        <v>141</v>
      </c>
      <c r="C166" s="146"/>
    </row>
    <row r="167" spans="1:3">
      <c r="A167" s="147">
        <v>162</v>
      </c>
      <c r="B167" s="148" t="s">
        <v>142</v>
      </c>
      <c r="C167" s="146"/>
    </row>
    <row r="168" spans="1:3">
      <c r="A168" s="147">
        <v>163</v>
      </c>
      <c r="B168" s="148"/>
      <c r="C168" s="146"/>
    </row>
    <row r="169" spans="1:3">
      <c r="A169" s="147">
        <v>164</v>
      </c>
      <c r="B169" s="148"/>
      <c r="C169" s="146"/>
    </row>
    <row r="170" spans="1:3">
      <c r="A170" s="147">
        <v>165</v>
      </c>
      <c r="B170" s="148"/>
      <c r="C170" s="146"/>
    </row>
    <row r="171" spans="1:3">
      <c r="A171" s="147">
        <v>166</v>
      </c>
      <c r="B171" s="148"/>
      <c r="C171" s="146"/>
    </row>
    <row r="172" spans="1:3">
      <c r="A172" s="147">
        <v>167</v>
      </c>
      <c r="B172" s="148"/>
      <c r="C172" s="146"/>
    </row>
    <row r="173" spans="1:3">
      <c r="A173" s="149" t="s">
        <v>143</v>
      </c>
      <c r="B173" s="150" t="s">
        <v>144</v>
      </c>
      <c r="C173" s="146"/>
    </row>
    <row r="174" spans="1:3">
      <c r="A174" s="147">
        <v>168</v>
      </c>
      <c r="B174" s="148" t="s">
        <v>145</v>
      </c>
      <c r="C174" s="146"/>
    </row>
    <row r="175" spans="1:3">
      <c r="A175" s="147">
        <v>169</v>
      </c>
      <c r="B175" s="148" t="s">
        <v>146</v>
      </c>
      <c r="C175" s="146"/>
    </row>
    <row r="176" spans="1:3">
      <c r="A176" s="147">
        <v>170</v>
      </c>
      <c r="B176" s="148" t="s">
        <v>147</v>
      </c>
      <c r="C176" s="146"/>
    </row>
    <row r="177" spans="1:3">
      <c r="A177" s="147">
        <v>171</v>
      </c>
      <c r="B177" s="148" t="s">
        <v>148</v>
      </c>
      <c r="C177" s="146"/>
    </row>
    <row r="178" spans="1:3">
      <c r="A178" s="147">
        <v>172</v>
      </c>
      <c r="B178" s="148" t="s">
        <v>149</v>
      </c>
      <c r="C178" s="146"/>
    </row>
    <row r="179" spans="1:3">
      <c r="A179" s="147">
        <v>173</v>
      </c>
      <c r="B179" s="148" t="s">
        <v>150</v>
      </c>
      <c r="C179" s="146"/>
    </row>
    <row r="180" spans="1:3">
      <c r="A180" s="147">
        <v>174</v>
      </c>
      <c r="B180" s="148" t="s">
        <v>150</v>
      </c>
      <c r="C180" s="146"/>
    </row>
    <row r="181" spans="1:3">
      <c r="A181" s="147">
        <v>175</v>
      </c>
      <c r="B181" s="148" t="s">
        <v>151</v>
      </c>
      <c r="C181" s="146"/>
    </row>
    <row r="182" spans="1:3">
      <c r="A182" s="147">
        <v>176</v>
      </c>
      <c r="B182" s="148" t="s">
        <v>152</v>
      </c>
      <c r="C182" s="146"/>
    </row>
    <row r="183" spans="1:3">
      <c r="A183" s="147">
        <v>177</v>
      </c>
      <c r="B183" s="148" t="s">
        <v>153</v>
      </c>
      <c r="C183" s="146"/>
    </row>
    <row r="184" spans="1:3">
      <c r="A184" s="147">
        <v>178</v>
      </c>
      <c r="B184" s="148" t="s">
        <v>154</v>
      </c>
      <c r="C184" s="146"/>
    </row>
    <row r="185" spans="1:3">
      <c r="A185" s="147">
        <v>179</v>
      </c>
      <c r="B185" s="148" t="s">
        <v>155</v>
      </c>
      <c r="C185" s="146"/>
    </row>
    <row r="186" spans="1:3">
      <c r="A186" s="147">
        <v>180</v>
      </c>
      <c r="B186" s="148" t="s">
        <v>156</v>
      </c>
      <c r="C186" s="146"/>
    </row>
    <row r="187" spans="1:3">
      <c r="A187" s="149" t="s">
        <v>157</v>
      </c>
      <c r="B187" s="145" t="s">
        <v>158</v>
      </c>
      <c r="C187" s="146"/>
    </row>
    <row r="188" spans="1:3">
      <c r="A188" s="147">
        <v>181</v>
      </c>
      <c r="B188" s="148" t="s">
        <v>159</v>
      </c>
      <c r="C188" s="146"/>
    </row>
    <row r="189" spans="1:3">
      <c r="A189" s="147">
        <v>182</v>
      </c>
      <c r="B189" s="148" t="s">
        <v>160</v>
      </c>
      <c r="C189" s="146"/>
    </row>
    <row r="190" spans="1:3">
      <c r="A190" s="147">
        <v>183</v>
      </c>
      <c r="B190" s="148" t="s">
        <v>161</v>
      </c>
      <c r="C190" s="146"/>
    </row>
    <row r="191" spans="1:3">
      <c r="A191" s="147">
        <v>184</v>
      </c>
      <c r="B191" s="148" t="s">
        <v>162</v>
      </c>
      <c r="C191" s="146"/>
    </row>
    <row r="192" spans="1:3">
      <c r="A192" s="147">
        <v>185</v>
      </c>
      <c r="B192" s="148" t="s">
        <v>163</v>
      </c>
      <c r="C192" s="146"/>
    </row>
    <row r="193" spans="1:3">
      <c r="A193" s="147">
        <v>186</v>
      </c>
      <c r="B193" s="148" t="s">
        <v>164</v>
      </c>
      <c r="C193" s="146"/>
    </row>
    <row r="194" spans="1:3">
      <c r="A194" s="147">
        <v>187</v>
      </c>
      <c r="B194" s="148" t="s">
        <v>165</v>
      </c>
      <c r="C194" s="146"/>
    </row>
    <row r="195" spans="1:3">
      <c r="A195" s="147">
        <v>188</v>
      </c>
      <c r="B195" s="148" t="s">
        <v>166</v>
      </c>
      <c r="C195" s="146"/>
    </row>
    <row r="196" spans="1:3">
      <c r="A196" s="147">
        <v>189</v>
      </c>
      <c r="B196" s="148" t="s">
        <v>167</v>
      </c>
      <c r="C196" s="146"/>
    </row>
    <row r="197" spans="1:3">
      <c r="A197" s="147">
        <v>190</v>
      </c>
      <c r="B197" s="148" t="s">
        <v>168</v>
      </c>
      <c r="C197" s="146"/>
    </row>
    <row r="198" spans="1:3">
      <c r="A198" s="147">
        <v>191</v>
      </c>
      <c r="B198" s="148" t="s">
        <v>169</v>
      </c>
      <c r="C198" s="146"/>
    </row>
    <row r="199" spans="1:3">
      <c r="A199" s="147">
        <v>192</v>
      </c>
      <c r="B199" s="148" t="s">
        <v>170</v>
      </c>
      <c r="C199" s="146"/>
    </row>
    <row r="200" spans="1:3">
      <c r="A200" s="149" t="s">
        <v>171</v>
      </c>
      <c r="B200" s="150" t="s">
        <v>172</v>
      </c>
      <c r="C200" s="146"/>
    </row>
    <row r="201" spans="1:3">
      <c r="A201" s="147">
        <v>193</v>
      </c>
      <c r="B201" s="148" t="s">
        <v>173</v>
      </c>
      <c r="C201" s="146"/>
    </row>
    <row r="202" spans="1:3">
      <c r="A202" s="147">
        <v>194</v>
      </c>
      <c r="B202" s="148" t="s">
        <v>174</v>
      </c>
      <c r="C202" s="146"/>
    </row>
    <row r="203" spans="1:3">
      <c r="A203" s="147">
        <v>195</v>
      </c>
      <c r="B203" s="148" t="s">
        <v>175</v>
      </c>
      <c r="C203" s="146"/>
    </row>
    <row r="204" spans="1:3">
      <c r="A204" s="147">
        <v>196</v>
      </c>
      <c r="B204" s="148" t="s">
        <v>176</v>
      </c>
      <c r="C204" s="146"/>
    </row>
    <row r="205" spans="1:3">
      <c r="A205" s="147">
        <v>197</v>
      </c>
      <c r="B205" s="148" t="s">
        <v>177</v>
      </c>
      <c r="C205" s="146"/>
    </row>
    <row r="206" spans="1:3">
      <c r="A206" s="147">
        <v>198</v>
      </c>
      <c r="B206" s="148" t="s">
        <v>178</v>
      </c>
      <c r="C206" s="146"/>
    </row>
    <row r="207" spans="1:3">
      <c r="A207" s="147">
        <v>199</v>
      </c>
      <c r="B207" s="148" t="s">
        <v>179</v>
      </c>
      <c r="C207" s="146"/>
    </row>
    <row r="208" spans="1:3">
      <c r="A208" s="147">
        <v>200</v>
      </c>
      <c r="B208" s="148" t="s">
        <v>180</v>
      </c>
      <c r="C208" s="146"/>
    </row>
    <row r="209" spans="1:3">
      <c r="A209" s="147">
        <v>201</v>
      </c>
      <c r="B209" s="148" t="s">
        <v>181</v>
      </c>
      <c r="C209" s="146"/>
    </row>
    <row r="210" spans="1:3">
      <c r="A210" s="147">
        <v>202</v>
      </c>
      <c r="B210" s="148" t="s">
        <v>182</v>
      </c>
      <c r="C210" s="146"/>
    </row>
    <row r="211" spans="1:3">
      <c r="A211" s="147">
        <v>203</v>
      </c>
      <c r="B211" s="148" t="s">
        <v>183</v>
      </c>
      <c r="C211" s="146"/>
    </row>
    <row r="212" spans="1:3">
      <c r="A212" s="147">
        <v>204</v>
      </c>
      <c r="B212" s="148" t="s">
        <v>184</v>
      </c>
      <c r="C212" s="146"/>
    </row>
    <row r="213" spans="1:3">
      <c r="A213" s="147">
        <v>205</v>
      </c>
      <c r="B213" s="148" t="s">
        <v>185</v>
      </c>
      <c r="C213" s="146"/>
    </row>
    <row r="214" spans="1:3">
      <c r="A214" s="147">
        <v>206</v>
      </c>
      <c r="B214" s="148" t="s">
        <v>186</v>
      </c>
      <c r="C214" s="146"/>
    </row>
    <row r="215" spans="1:3">
      <c r="A215" s="147">
        <v>207</v>
      </c>
      <c r="B215" s="148" t="s">
        <v>187</v>
      </c>
      <c r="C215" s="146"/>
    </row>
    <row r="216" spans="1:3">
      <c r="A216" s="147">
        <v>208</v>
      </c>
      <c r="B216" s="148" t="s">
        <v>188</v>
      </c>
      <c r="C216" s="146"/>
    </row>
    <row r="217" spans="1:3">
      <c r="A217" s="147">
        <v>209</v>
      </c>
      <c r="B217" s="148" t="s">
        <v>189</v>
      </c>
      <c r="C217" s="146"/>
    </row>
    <row r="218" spans="1:3">
      <c r="A218" s="147">
        <v>210</v>
      </c>
      <c r="B218" s="148" t="s">
        <v>190</v>
      </c>
      <c r="C218" s="146"/>
    </row>
    <row r="219" spans="1:3">
      <c r="A219" s="151" t="s">
        <v>191</v>
      </c>
      <c r="B219" s="150" t="s">
        <v>192</v>
      </c>
      <c r="C219" s="146"/>
    </row>
    <row r="220" spans="1:3">
      <c r="A220" s="152">
        <v>211</v>
      </c>
      <c r="B220" s="148" t="s">
        <v>193</v>
      </c>
      <c r="C220" s="146"/>
    </row>
    <row r="221" spans="1:3">
      <c r="A221" s="152">
        <v>212</v>
      </c>
      <c r="B221" s="148" t="s">
        <v>194</v>
      </c>
      <c r="C221" s="146"/>
    </row>
    <row r="222" spans="1:3">
      <c r="A222" s="152">
        <v>213</v>
      </c>
      <c r="B222" s="148" t="s">
        <v>195</v>
      </c>
      <c r="C222" s="146"/>
    </row>
    <row r="223" spans="1:3">
      <c r="A223" s="152">
        <v>214</v>
      </c>
      <c r="B223" s="148" t="s">
        <v>196</v>
      </c>
      <c r="C223" s="146"/>
    </row>
    <row r="224" spans="1:3">
      <c r="A224" s="152">
        <v>215</v>
      </c>
      <c r="B224" s="148" t="s">
        <v>197</v>
      </c>
      <c r="C224" s="146"/>
    </row>
    <row r="225" spans="1:3">
      <c r="A225" s="152">
        <v>216</v>
      </c>
      <c r="B225" s="148" t="s">
        <v>198</v>
      </c>
      <c r="C225" s="146"/>
    </row>
    <row r="226" spans="1:3">
      <c r="A226" s="153" t="s">
        <v>199</v>
      </c>
      <c r="B226" s="150" t="s">
        <v>200</v>
      </c>
      <c r="C226" s="146"/>
    </row>
    <row r="227" spans="1:3">
      <c r="A227" s="152">
        <v>217</v>
      </c>
      <c r="B227" s="148" t="s">
        <v>201</v>
      </c>
      <c r="C227" s="146"/>
    </row>
    <row r="228" spans="1:3">
      <c r="A228" s="152">
        <v>218</v>
      </c>
      <c r="B228" s="148" t="s">
        <v>202</v>
      </c>
      <c r="C228" s="146"/>
    </row>
    <row r="229" spans="1:3">
      <c r="A229" s="152">
        <v>219</v>
      </c>
      <c r="B229" s="148" t="s">
        <v>203</v>
      </c>
      <c r="C229" s="146"/>
    </row>
    <row r="230" spans="1:3">
      <c r="A230" s="152">
        <v>220</v>
      </c>
      <c r="B230" s="148" t="s">
        <v>204</v>
      </c>
      <c r="C230" s="146"/>
    </row>
    <row r="231" spans="1:3">
      <c r="A231" s="152">
        <v>221</v>
      </c>
      <c r="B231" s="148" t="s">
        <v>205</v>
      </c>
      <c r="C231" s="146"/>
    </row>
    <row r="232" spans="1:3">
      <c r="A232" s="152">
        <v>222</v>
      </c>
      <c r="B232" s="148" t="s">
        <v>206</v>
      </c>
      <c r="C232" s="146"/>
    </row>
    <row r="233" spans="1:3">
      <c r="A233" s="152">
        <v>223</v>
      </c>
      <c r="B233" s="148" t="s">
        <v>207</v>
      </c>
      <c r="C233" s="146"/>
    </row>
    <row r="234" spans="1:3">
      <c r="A234" s="152">
        <v>224</v>
      </c>
      <c r="B234" s="148" t="s">
        <v>208</v>
      </c>
      <c r="C234" s="146"/>
    </row>
    <row r="235" spans="1:3">
      <c r="A235" s="152">
        <v>225</v>
      </c>
      <c r="B235" s="148" t="s">
        <v>209</v>
      </c>
      <c r="C235" s="146"/>
    </row>
    <row r="236" spans="1:3">
      <c r="A236" s="152">
        <v>226</v>
      </c>
      <c r="B236" s="148"/>
      <c r="C236" s="146"/>
    </row>
    <row r="237" spans="1:3">
      <c r="A237" s="153" t="s">
        <v>210</v>
      </c>
      <c r="B237" s="150" t="s">
        <v>211</v>
      </c>
      <c r="C237" s="146"/>
    </row>
    <row r="238" spans="1:3">
      <c r="A238" s="152">
        <v>227</v>
      </c>
      <c r="B238" s="148" t="s">
        <v>212</v>
      </c>
      <c r="C238" s="146"/>
    </row>
    <row r="239" spans="1:3">
      <c r="A239" s="152">
        <v>228</v>
      </c>
      <c r="B239" s="148" t="s">
        <v>213</v>
      </c>
      <c r="C239" s="146"/>
    </row>
    <row r="240" spans="1:3">
      <c r="A240" s="152">
        <v>229</v>
      </c>
      <c r="B240" s="148" t="s">
        <v>214</v>
      </c>
      <c r="C240" s="146"/>
    </row>
    <row r="241" spans="1:3">
      <c r="A241" s="152">
        <v>230</v>
      </c>
      <c r="B241" s="148" t="s">
        <v>215</v>
      </c>
      <c r="C241" s="146"/>
    </row>
    <row r="242" spans="1:3">
      <c r="A242" s="152">
        <v>231</v>
      </c>
      <c r="B242" s="148" t="s">
        <v>216</v>
      </c>
      <c r="C242" s="146"/>
    </row>
    <row r="243" spans="1:3">
      <c r="A243" s="152">
        <v>232</v>
      </c>
      <c r="B243" s="148" t="s">
        <v>66</v>
      </c>
      <c r="C243" s="146"/>
    </row>
    <row r="244" spans="1:3">
      <c r="A244" s="152">
        <v>233</v>
      </c>
      <c r="B244" s="148"/>
      <c r="C244" s="146"/>
    </row>
    <row r="245" spans="1:3">
      <c r="A245" s="153" t="s">
        <v>217</v>
      </c>
      <c r="B245" s="150" t="s">
        <v>218</v>
      </c>
      <c r="C245" s="146"/>
    </row>
    <row r="246" spans="1:3">
      <c r="A246" s="147">
        <v>236</v>
      </c>
      <c r="B246" s="148" t="s">
        <v>219</v>
      </c>
      <c r="C246" s="146"/>
    </row>
    <row r="247" spans="1:3">
      <c r="A247" s="147">
        <v>237</v>
      </c>
      <c r="B247" s="148" t="s">
        <v>219</v>
      </c>
      <c r="C247" s="146"/>
    </row>
    <row r="248" spans="1:3">
      <c r="A248" s="147">
        <v>238</v>
      </c>
      <c r="B248" s="148" t="s">
        <v>219</v>
      </c>
      <c r="C248" s="146"/>
    </row>
    <row r="249" spans="1:3">
      <c r="A249" s="147">
        <v>239</v>
      </c>
      <c r="B249" s="148" t="s">
        <v>219</v>
      </c>
      <c r="C249" s="146"/>
    </row>
    <row r="250" spans="1:3">
      <c r="A250" s="147">
        <v>240</v>
      </c>
      <c r="B250" s="148" t="s">
        <v>219</v>
      </c>
      <c r="C250" s="146"/>
    </row>
    <row r="251" spans="1:3">
      <c r="A251" s="147">
        <v>241</v>
      </c>
      <c r="B251" s="148" t="s">
        <v>219</v>
      </c>
      <c r="C251" s="146"/>
    </row>
    <row r="252" spans="1:3">
      <c r="A252" s="147">
        <v>242</v>
      </c>
      <c r="B252" s="148" t="s">
        <v>219</v>
      </c>
      <c r="C252" s="146"/>
    </row>
    <row r="253" spans="1:3">
      <c r="A253" s="147">
        <v>243</v>
      </c>
      <c r="B253" s="148" t="s">
        <v>219</v>
      </c>
      <c r="C253" s="146"/>
    </row>
    <row r="254" spans="1:3">
      <c r="A254" s="147">
        <v>244</v>
      </c>
      <c r="B254" s="148" t="s">
        <v>219</v>
      </c>
      <c r="C254" s="146"/>
    </row>
    <row r="255" spans="1:3">
      <c r="A255" s="147">
        <v>245</v>
      </c>
      <c r="B255" s="148" t="s">
        <v>219</v>
      </c>
      <c r="C255" s="146"/>
    </row>
    <row r="256" spans="1:3">
      <c r="A256" s="147">
        <v>246</v>
      </c>
      <c r="B256" s="148"/>
      <c r="C256" s="146"/>
    </row>
    <row r="257" spans="1:3">
      <c r="A257" s="147">
        <v>247</v>
      </c>
      <c r="B257" s="148"/>
      <c r="C257" s="146"/>
    </row>
    <row r="258" spans="1:3">
      <c r="A258" s="147">
        <v>248</v>
      </c>
      <c r="B258" s="148"/>
      <c r="C258" s="146"/>
    </row>
    <row r="259" spans="1:3">
      <c r="A259" s="147">
        <v>249</v>
      </c>
      <c r="B259" s="148" t="s">
        <v>220</v>
      </c>
      <c r="C259" s="146"/>
    </row>
    <row r="260" spans="1:3">
      <c r="A260" s="147">
        <v>250</v>
      </c>
      <c r="B260" s="148" t="s">
        <v>221</v>
      </c>
      <c r="C260" s="146"/>
    </row>
    <row r="261" spans="1:3">
      <c r="A261" s="147">
        <v>251</v>
      </c>
      <c r="B261" s="148" t="s">
        <v>222</v>
      </c>
      <c r="C261" s="146"/>
    </row>
    <row r="262" spans="1:3">
      <c r="A262" s="147">
        <v>252</v>
      </c>
      <c r="B262" s="148" t="s">
        <v>223</v>
      </c>
      <c r="C262" s="146"/>
    </row>
    <row r="263" spans="1:3">
      <c r="A263" s="147">
        <v>253</v>
      </c>
      <c r="B263" s="148" t="s">
        <v>224</v>
      </c>
      <c r="C263" s="146"/>
    </row>
    <row r="264" spans="1:3">
      <c r="A264" s="147">
        <v>254</v>
      </c>
      <c r="B264" s="148" t="s">
        <v>220</v>
      </c>
      <c r="C264" s="146"/>
    </row>
    <row r="265" spans="1:3">
      <c r="A265" s="147">
        <v>255</v>
      </c>
      <c r="B265" s="148"/>
      <c r="C265" s="146"/>
    </row>
    <row r="266" spans="1:3">
      <c r="A266" s="147">
        <v>256</v>
      </c>
      <c r="B266" s="148"/>
      <c r="C266" s="146"/>
    </row>
    <row r="267" spans="1:3">
      <c r="A267" s="147">
        <v>257</v>
      </c>
      <c r="B267" s="148"/>
      <c r="C267" s="146"/>
    </row>
    <row r="268" spans="1:3">
      <c r="A268" s="147">
        <v>258</v>
      </c>
      <c r="B268" s="148" t="s">
        <v>225</v>
      </c>
      <c r="C268" s="146"/>
    </row>
    <row r="269" spans="1:3">
      <c r="A269" s="147">
        <v>259</v>
      </c>
      <c r="B269" s="148"/>
      <c r="C269" s="146"/>
    </row>
    <row r="270" spans="1:3">
      <c r="A270" s="147">
        <v>260</v>
      </c>
      <c r="B270" s="148"/>
      <c r="C270" s="146"/>
    </row>
    <row r="271" spans="1:3">
      <c r="A271" s="147">
        <v>261</v>
      </c>
      <c r="B271" s="148" t="s">
        <v>226</v>
      </c>
      <c r="C271" s="146"/>
    </row>
    <row r="272" spans="1:3">
      <c r="A272" s="147">
        <v>262</v>
      </c>
      <c r="B272" s="148" t="s">
        <v>227</v>
      </c>
      <c r="C272" s="146"/>
    </row>
    <row r="273" spans="1:3">
      <c r="A273" s="147">
        <v>263</v>
      </c>
      <c r="B273" s="148" t="s">
        <v>227</v>
      </c>
      <c r="C273" s="146"/>
    </row>
    <row r="274" spans="1:3">
      <c r="A274" s="147">
        <v>264</v>
      </c>
      <c r="B274" s="148"/>
      <c r="C274" s="146"/>
    </row>
    <row r="275" spans="1:3">
      <c r="A275" s="147">
        <v>265</v>
      </c>
      <c r="B275" s="148" t="s">
        <v>228</v>
      </c>
      <c r="C275" s="146"/>
    </row>
    <row r="276" spans="1:3">
      <c r="A276" s="147">
        <v>266</v>
      </c>
      <c r="B276" s="148" t="s">
        <v>228</v>
      </c>
      <c r="C276" s="146"/>
    </row>
    <row r="277" spans="1:3">
      <c r="A277" s="147">
        <v>267</v>
      </c>
      <c r="B277" s="148"/>
      <c r="C277" s="146"/>
    </row>
    <row r="278" spans="1:3">
      <c r="A278" s="147">
        <v>268</v>
      </c>
      <c r="B278" s="148" t="s">
        <v>229</v>
      </c>
      <c r="C278" s="146"/>
    </row>
    <row r="279" spans="1:3">
      <c r="A279" s="147">
        <v>269</v>
      </c>
      <c r="B279" s="148" t="s">
        <v>230</v>
      </c>
      <c r="C279" s="146"/>
    </row>
    <row r="280" spans="1:3">
      <c r="A280" s="147">
        <v>270</v>
      </c>
      <c r="B280" s="148" t="s">
        <v>231</v>
      </c>
      <c r="C280" s="146"/>
    </row>
    <row r="281" spans="1:3">
      <c r="A281" s="153" t="s">
        <v>232</v>
      </c>
      <c r="B281" s="150" t="s">
        <v>233</v>
      </c>
      <c r="C281" s="146"/>
    </row>
    <row r="282" spans="1:3">
      <c r="A282" s="147">
        <v>271</v>
      </c>
      <c r="B282" s="148" t="s">
        <v>234</v>
      </c>
      <c r="C282" s="146"/>
    </row>
    <row r="283" spans="1:3">
      <c r="A283" s="147">
        <v>272</v>
      </c>
      <c r="B283" s="148" t="s">
        <v>235</v>
      </c>
      <c r="C283" s="146"/>
    </row>
    <row r="284" spans="1:3">
      <c r="A284" s="147">
        <v>273</v>
      </c>
      <c r="B284" s="148" t="s">
        <v>236</v>
      </c>
      <c r="C284" s="146"/>
    </row>
    <row r="285" spans="1:3">
      <c r="A285" s="147">
        <v>274</v>
      </c>
      <c r="B285" s="148" t="s">
        <v>233</v>
      </c>
      <c r="C285" s="146"/>
    </row>
    <row r="286" spans="1:3">
      <c r="A286" s="147">
        <v>275</v>
      </c>
      <c r="B286" s="148" t="s">
        <v>233</v>
      </c>
      <c r="C286" s="146"/>
    </row>
    <row r="287" spans="1:3">
      <c r="A287" s="147">
        <v>276</v>
      </c>
      <c r="B287" s="154"/>
      <c r="C287" s="146"/>
    </row>
    <row r="288" spans="1:3">
      <c r="A288" s="153" t="s">
        <v>237</v>
      </c>
      <c r="B288" s="150"/>
      <c r="C288" s="146"/>
    </row>
    <row r="289" spans="1:3">
      <c r="A289" s="147">
        <v>277</v>
      </c>
      <c r="B289" s="148"/>
      <c r="C289" s="155"/>
    </row>
    <row r="290" spans="1:3">
      <c r="A290" s="147">
        <v>278</v>
      </c>
      <c r="B290" s="148"/>
      <c r="C290" s="155"/>
    </row>
    <row r="291" spans="1:3">
      <c r="A291" s="147">
        <v>279</v>
      </c>
      <c r="B291" s="148"/>
      <c r="C291" s="155"/>
    </row>
    <row r="292" spans="1:3">
      <c r="A292" s="147">
        <v>280</v>
      </c>
      <c r="B292" s="148"/>
      <c r="C292" s="155"/>
    </row>
    <row r="293" spans="1:3">
      <c r="A293" s="147">
        <v>281</v>
      </c>
      <c r="B293" s="148"/>
      <c r="C293" s="155"/>
    </row>
    <row r="294" spans="1:3">
      <c r="A294" s="149" t="s">
        <v>238</v>
      </c>
      <c r="B294" s="150"/>
      <c r="C294" s="146"/>
    </row>
    <row r="295" spans="1:3">
      <c r="A295" s="147">
        <v>282</v>
      </c>
      <c r="B295" s="148"/>
      <c r="C295" s="146"/>
    </row>
    <row r="296" spans="1:3">
      <c r="A296" s="147">
        <v>283</v>
      </c>
      <c r="B296" s="148"/>
      <c r="C296" s="146"/>
    </row>
    <row r="297" spans="1:3">
      <c r="A297" s="147">
        <v>284</v>
      </c>
      <c r="B297" s="148"/>
      <c r="C297" s="146"/>
    </row>
    <row r="298" spans="1:3">
      <c r="A298" s="147">
        <v>285</v>
      </c>
      <c r="B298" s="148"/>
      <c r="C298" s="146"/>
    </row>
    <row r="299" spans="1:3">
      <c r="A299" s="147">
        <v>286</v>
      </c>
      <c r="B299" s="148"/>
      <c r="C299" s="146"/>
    </row>
    <row r="300" spans="1:3">
      <c r="A300" s="147">
        <v>287</v>
      </c>
      <c r="B300" s="148"/>
      <c r="C300" s="146"/>
    </row>
    <row r="301" spans="1:3">
      <c r="A301" s="147">
        <v>288</v>
      </c>
      <c r="B301" s="148"/>
      <c r="C301" s="146"/>
    </row>
    <row r="302" spans="1:3">
      <c r="A302" s="147">
        <v>289</v>
      </c>
      <c r="B302" s="148"/>
      <c r="C302" s="146"/>
    </row>
    <row r="303" spans="1:3">
      <c r="A303" s="147">
        <v>290</v>
      </c>
      <c r="B303" s="148"/>
      <c r="C303" s="146"/>
    </row>
    <row r="304" spans="1:3">
      <c r="A304" s="147">
        <v>291</v>
      </c>
      <c r="B304" s="148"/>
      <c r="C304" s="146"/>
    </row>
    <row r="305" spans="1:3">
      <c r="A305" s="147">
        <v>292</v>
      </c>
      <c r="B305" s="148"/>
      <c r="C305" s="146"/>
    </row>
    <row r="306" spans="1:3">
      <c r="A306" s="147">
        <v>293</v>
      </c>
      <c r="B306" s="148"/>
      <c r="C306" s="146"/>
    </row>
    <row r="307" spans="1:3">
      <c r="A307" s="147">
        <v>294</v>
      </c>
      <c r="B307" s="148"/>
      <c r="C307" s="146"/>
    </row>
    <row r="308" spans="1:3">
      <c r="A308" s="147">
        <v>295</v>
      </c>
      <c r="B308" s="148"/>
      <c r="C308" s="146"/>
    </row>
    <row r="309" spans="1:3">
      <c r="A309" s="147">
        <v>296</v>
      </c>
      <c r="B309" s="148"/>
      <c r="C309" s="146"/>
    </row>
    <row r="310" spans="1:3">
      <c r="A310" s="147">
        <v>297</v>
      </c>
      <c r="B310" s="148"/>
      <c r="C310" s="146"/>
    </row>
    <row r="311" spans="1:3">
      <c r="A311" s="147">
        <v>298</v>
      </c>
      <c r="B311" s="148"/>
      <c r="C311" s="146"/>
    </row>
    <row r="312" spans="1:3">
      <c r="A312" s="147">
        <v>299</v>
      </c>
      <c r="B312" s="148"/>
      <c r="C312" s="146"/>
    </row>
    <row r="313" spans="1:3">
      <c r="A313" s="147">
        <v>300</v>
      </c>
      <c r="B313" s="148"/>
      <c r="C313" s="146"/>
    </row>
    <row r="314" spans="1:3">
      <c r="A314" s="147">
        <v>301</v>
      </c>
      <c r="B314" s="148"/>
      <c r="C314" s="146"/>
    </row>
    <row r="315" spans="1:3">
      <c r="A315" s="147">
        <v>302</v>
      </c>
      <c r="B315" s="148"/>
      <c r="C315" s="146"/>
    </row>
    <row r="316" spans="1:3">
      <c r="A316" s="147">
        <v>303</v>
      </c>
      <c r="B316" s="148"/>
      <c r="C316" s="146"/>
    </row>
    <row r="317" spans="1:3">
      <c r="A317" s="147">
        <v>304</v>
      </c>
      <c r="B317" s="148"/>
      <c r="C317" s="146"/>
    </row>
    <row r="318" spans="1:3">
      <c r="A318" s="147">
        <v>305</v>
      </c>
      <c r="B318" s="148"/>
      <c r="C318" s="146"/>
    </row>
    <row r="319" spans="1:3">
      <c r="A319" s="147">
        <v>306</v>
      </c>
      <c r="B319" s="148"/>
      <c r="C319" s="146"/>
    </row>
    <row r="320" spans="1:3">
      <c r="A320" s="147">
        <v>307</v>
      </c>
      <c r="B320" s="148"/>
      <c r="C320" s="146"/>
    </row>
    <row r="321" spans="1:3">
      <c r="A321" s="147">
        <v>308</v>
      </c>
      <c r="B321" s="148"/>
      <c r="C321" s="146"/>
    </row>
    <row r="322" spans="1:3">
      <c r="A322" s="147">
        <v>309</v>
      </c>
      <c r="B322" s="148"/>
      <c r="C322" s="146"/>
    </row>
    <row r="323" spans="1:3">
      <c r="A323" s="147">
        <v>310</v>
      </c>
      <c r="B323" s="148" t="s">
        <v>239</v>
      </c>
      <c r="C323" s="146"/>
    </row>
    <row r="324" spans="1:3">
      <c r="A324" s="147">
        <v>311</v>
      </c>
      <c r="B324" s="148"/>
      <c r="C324" s="146"/>
    </row>
    <row r="325" spans="1:3">
      <c r="A325" s="147">
        <v>312</v>
      </c>
      <c r="B325" s="148"/>
      <c r="C325" s="146"/>
    </row>
    <row r="326" spans="1:3">
      <c r="A326" s="147">
        <v>313</v>
      </c>
      <c r="B326" s="148"/>
      <c r="C326" s="146"/>
    </row>
    <row r="327" spans="1:3">
      <c r="A327" s="147">
        <v>314</v>
      </c>
      <c r="B327" s="148"/>
      <c r="C327" s="146"/>
    </row>
    <row r="328" spans="1:3">
      <c r="A328" s="147">
        <v>315</v>
      </c>
      <c r="B328" s="148"/>
      <c r="C328" s="146"/>
    </row>
    <row r="329" spans="1:3">
      <c r="A329" s="147">
        <v>316</v>
      </c>
      <c r="B329" s="148"/>
      <c r="C329" s="146"/>
    </row>
    <row r="330" spans="1:3">
      <c r="A330" s="147">
        <v>317</v>
      </c>
      <c r="B330" s="148"/>
      <c r="C330" s="146"/>
    </row>
    <row r="331" spans="1:3">
      <c r="A331" s="147">
        <v>318</v>
      </c>
      <c r="B331" s="148" t="s">
        <v>240</v>
      </c>
      <c r="C331" s="146"/>
    </row>
    <row r="332" spans="1:3">
      <c r="A332" s="147">
        <v>319</v>
      </c>
      <c r="B332" s="148"/>
      <c r="C332" s="146"/>
    </row>
    <row r="333" spans="1:3">
      <c r="A333" s="147">
        <v>320</v>
      </c>
      <c r="B333" s="148"/>
      <c r="C333" s="146"/>
    </row>
    <row r="334" spans="1:3">
      <c r="A334" s="147">
        <v>321</v>
      </c>
      <c r="B334" s="148"/>
      <c r="C334" s="146"/>
    </row>
    <row r="335" spans="1:3">
      <c r="A335" s="147">
        <v>322</v>
      </c>
      <c r="B335" s="148"/>
      <c r="C335" s="146"/>
    </row>
    <row r="336" spans="1:3">
      <c r="A336" s="147">
        <v>323</v>
      </c>
      <c r="B336" s="148"/>
      <c r="C336" s="146"/>
    </row>
    <row r="337" spans="1:3">
      <c r="A337" s="147">
        <v>324</v>
      </c>
      <c r="B337" s="148"/>
      <c r="C337" s="146"/>
    </row>
    <row r="338" spans="1:3">
      <c r="A338" s="147">
        <v>325</v>
      </c>
      <c r="B338" s="148"/>
      <c r="C338" s="146"/>
    </row>
    <row r="339" spans="1:3">
      <c r="A339" s="147">
        <v>326</v>
      </c>
      <c r="B339" s="148"/>
      <c r="C339" s="146"/>
    </row>
    <row r="340" spans="1:3">
      <c r="A340" s="147">
        <v>327</v>
      </c>
      <c r="B340" s="148"/>
      <c r="C340" s="146"/>
    </row>
    <row r="341" spans="1:3">
      <c r="A341" s="147">
        <v>328</v>
      </c>
      <c r="B341" s="148"/>
      <c r="C341" s="146"/>
    </row>
    <row r="342" spans="1:3">
      <c r="A342" s="147">
        <v>329</v>
      </c>
      <c r="B342" s="148"/>
      <c r="C342" s="146"/>
    </row>
    <row r="343" spans="1:3">
      <c r="A343" s="156" t="s">
        <v>327</v>
      </c>
      <c r="B343" s="157" t="s">
        <v>328</v>
      </c>
      <c r="C343" s="146"/>
    </row>
    <row r="344" spans="1:3">
      <c r="A344" s="156" t="s">
        <v>329</v>
      </c>
      <c r="B344" s="157" t="s">
        <v>330</v>
      </c>
      <c r="C344" s="146"/>
    </row>
    <row r="345" spans="1:3">
      <c r="A345" s="156" t="s">
        <v>331</v>
      </c>
      <c r="B345" s="157" t="s">
        <v>332</v>
      </c>
      <c r="C345" s="146"/>
    </row>
    <row r="346" spans="1:3">
      <c r="A346" s="156" t="s">
        <v>333</v>
      </c>
      <c r="B346" s="157" t="s">
        <v>334</v>
      </c>
      <c r="C346" s="146"/>
    </row>
    <row r="347" spans="1:3">
      <c r="A347" s="156" t="s">
        <v>335</v>
      </c>
      <c r="B347" s="157" t="s">
        <v>336</v>
      </c>
      <c r="C347" s="146"/>
    </row>
    <row r="348" spans="1:3">
      <c r="A348" s="156" t="s">
        <v>337</v>
      </c>
      <c r="B348" s="157" t="s">
        <v>338</v>
      </c>
      <c r="C348" s="146"/>
    </row>
    <row r="349" spans="1:3">
      <c r="A349" s="156" t="s">
        <v>339</v>
      </c>
      <c r="B349" s="157" t="s">
        <v>340</v>
      </c>
      <c r="C349" s="146"/>
    </row>
    <row r="350" spans="1:3">
      <c r="A350" s="156" t="s">
        <v>341</v>
      </c>
      <c r="B350" s="157" t="s">
        <v>342</v>
      </c>
      <c r="C350" s="146"/>
    </row>
    <row r="351" spans="1:3">
      <c r="A351" s="156" t="s">
        <v>343</v>
      </c>
      <c r="B351" s="157" t="s">
        <v>344</v>
      </c>
      <c r="C351" s="146"/>
    </row>
    <row r="352" spans="1:3">
      <c r="A352" s="156" t="s">
        <v>345</v>
      </c>
      <c r="B352" s="157" t="s">
        <v>346</v>
      </c>
      <c r="C352" s="146"/>
    </row>
    <row r="353" spans="1:3">
      <c r="A353" s="156" t="s">
        <v>347</v>
      </c>
      <c r="B353" s="157" t="s">
        <v>348</v>
      </c>
      <c r="C353" s="146"/>
    </row>
    <row r="354" spans="1:3">
      <c r="A354" s="156" t="s">
        <v>349</v>
      </c>
      <c r="B354" s="157" t="s">
        <v>350</v>
      </c>
      <c r="C354" s="146"/>
    </row>
    <row r="355" spans="1:3">
      <c r="A355" s="156" t="s">
        <v>351</v>
      </c>
      <c r="B355" s="157" t="s">
        <v>352</v>
      </c>
      <c r="C355" s="146"/>
    </row>
    <row r="356" spans="1:3">
      <c r="A356" s="156" t="s">
        <v>353</v>
      </c>
      <c r="B356" s="157" t="s">
        <v>354</v>
      </c>
      <c r="C356" s="146"/>
    </row>
    <row r="357" spans="1:3">
      <c r="A357" s="156" t="s">
        <v>355</v>
      </c>
      <c r="B357" s="157" t="s">
        <v>356</v>
      </c>
      <c r="C357" s="146"/>
    </row>
    <row r="358" spans="1:3">
      <c r="A358" s="156" t="s">
        <v>357</v>
      </c>
      <c r="B358" s="157" t="s">
        <v>239</v>
      </c>
      <c r="C358" s="146"/>
    </row>
    <row r="359" spans="1:3">
      <c r="A359" s="156" t="s">
        <v>358</v>
      </c>
      <c r="B359" s="157" t="s">
        <v>354</v>
      </c>
      <c r="C359" s="146"/>
    </row>
    <row r="360" spans="1:3">
      <c r="A360" s="156" t="s">
        <v>359</v>
      </c>
      <c r="B360" s="157"/>
      <c r="C360" s="146"/>
    </row>
    <row r="361" spans="1:3">
      <c r="A361" s="156" t="s">
        <v>360</v>
      </c>
      <c r="B361" s="157" t="s">
        <v>361</v>
      </c>
      <c r="C361" s="146"/>
    </row>
    <row r="362" spans="1:3">
      <c r="A362" s="156" t="s">
        <v>362</v>
      </c>
      <c r="B362" s="157" t="s">
        <v>363</v>
      </c>
      <c r="C362" s="146"/>
    </row>
    <row r="363" spans="1:3">
      <c r="A363" s="147" t="s">
        <v>323</v>
      </c>
      <c r="B363" s="9" t="s">
        <v>364</v>
      </c>
      <c r="C363" s="146"/>
    </row>
    <row r="364" spans="1:3">
      <c r="A364" s="158" t="s">
        <v>365</v>
      </c>
      <c r="B364" s="159" t="s">
        <v>366</v>
      </c>
      <c r="C364" s="146"/>
    </row>
    <row r="365" spans="1:3">
      <c r="A365" s="158"/>
      <c r="B365" s="159"/>
      <c r="C365" s="146"/>
    </row>
    <row r="366" spans="1:3">
      <c r="A366" s="158"/>
      <c r="B366" s="159"/>
      <c r="C366" s="146"/>
    </row>
    <row r="367" spans="1:3">
      <c r="A367" s="158"/>
      <c r="B367" s="159"/>
      <c r="C367" s="146"/>
    </row>
    <row r="368" spans="1:3">
      <c r="A368" s="158"/>
      <c r="B368" s="159"/>
      <c r="C368" s="146"/>
    </row>
    <row r="369" spans="1:3">
      <c r="A369" s="158"/>
      <c r="B369" s="159"/>
      <c r="C369" s="146"/>
    </row>
    <row r="370" spans="1:3">
      <c r="A370" s="158"/>
      <c r="B370" s="159"/>
      <c r="C370" s="146"/>
    </row>
    <row r="371" spans="1:3">
      <c r="A371" s="158"/>
      <c r="B371" s="159"/>
      <c r="C371" s="146"/>
    </row>
    <row r="372" spans="1:3">
      <c r="A372" s="158"/>
      <c r="B372" s="159"/>
      <c r="C372" s="146"/>
    </row>
    <row r="373" spans="1:3">
      <c r="A373" s="158"/>
      <c r="B373" s="159"/>
      <c r="C373" s="146"/>
    </row>
    <row r="374" spans="1:3">
      <c r="A374" s="158"/>
      <c r="B374" s="159"/>
      <c r="C374" s="146"/>
    </row>
    <row r="375" spans="1:3">
      <c r="A375" s="160"/>
      <c r="B375" s="160"/>
      <c r="C375" s="146"/>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topLeftCell="B11" workbookViewId="0">
      <selection activeCell="F15" sqref="F15:F17"/>
    </sheetView>
    <sheetView workbookViewId="1">
      <selection activeCell="E3" sqref="E3"/>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12" t="s">
        <v>243</v>
      </c>
      <c r="C1" s="12"/>
      <c r="D1" s="13"/>
    </row>
    <row r="2" spans="2:7" ht="17" thickBot="1">
      <c r="B2" s="14" t="s">
        <v>244</v>
      </c>
      <c r="C2" s="17"/>
      <c r="D2" s="11" t="s">
        <v>368</v>
      </c>
    </row>
    <row r="3" spans="2:7" ht="17" thickBot="1">
      <c r="B3" s="14" t="s">
        <v>245</v>
      </c>
      <c r="C3" s="17"/>
      <c r="D3" s="11">
        <v>1911</v>
      </c>
    </row>
    <row r="5" spans="2:7">
      <c r="B5" s="12" t="s">
        <v>246</v>
      </c>
      <c r="C5" s="12"/>
      <c r="D5" s="13"/>
    </row>
    <row r="6" spans="2:7">
      <c r="B6" s="15" t="s">
        <v>248</v>
      </c>
      <c r="C6" s="15"/>
      <c r="D6" s="13"/>
    </row>
    <row r="7" spans="2:7" ht="17" thickBot="1">
      <c r="B7" s="18" t="s">
        <v>249</v>
      </c>
      <c r="C7" s="18"/>
    </row>
    <row r="8" spans="2:7" ht="17" thickBot="1">
      <c r="B8" s="16">
        <v>2403</v>
      </c>
      <c r="C8" s="18"/>
    </row>
    <row r="9" spans="2:7" ht="17" thickBot="1">
      <c r="B9" s="15" t="s">
        <v>250</v>
      </c>
      <c r="C9" s="15"/>
      <c r="D9" s="13"/>
    </row>
    <row r="10" spans="2:7" ht="17" thickBot="1">
      <c r="B10" s="10"/>
      <c r="C10" s="19">
        <v>1</v>
      </c>
      <c r="D10" s="19">
        <v>100</v>
      </c>
    </row>
    <row r="11" spans="2:7" ht="17" thickBot="1">
      <c r="B11" s="15" t="s">
        <v>251</v>
      </c>
      <c r="C11" s="20"/>
      <c r="D11" s="20"/>
    </row>
    <row r="12" spans="2:7" ht="17" thickBot="1">
      <c r="B12" s="10"/>
      <c r="C12" s="19" t="s">
        <v>252</v>
      </c>
      <c r="D12" s="19" t="s">
        <v>253</v>
      </c>
    </row>
    <row r="13" spans="2:7" ht="17" thickBot="1"/>
    <row r="14" spans="2:7" ht="17" thickBot="1">
      <c r="B14" s="232" t="s">
        <v>254</v>
      </c>
      <c r="C14" s="233"/>
      <c r="D14" s="234"/>
      <c r="F14" s="25" t="s">
        <v>247</v>
      </c>
      <c r="G14" s="10"/>
    </row>
    <row r="15" spans="2:7" ht="17" thickBot="1">
      <c r="B15" s="21">
        <v>2499</v>
      </c>
      <c r="F15" s="24" t="str" cm="1">
        <f t="array" ref="F15:F22">Prefix &amp; "-" &amp; TEXT(_xlfn.SEQUENCE(C17 - B17 + 1, 1, B17, 1), "000")</f>
        <v>2499-001</v>
      </c>
    </row>
    <row r="16" spans="2:7" ht="17" thickBot="1">
      <c r="B16" s="235" t="s">
        <v>255</v>
      </c>
      <c r="C16" s="236"/>
      <c r="D16" s="237"/>
      <c r="F16" s="26" t="str">
        <v>2499-002</v>
      </c>
    </row>
    <row r="17" spans="2:8" ht="17" thickBot="1">
      <c r="B17" s="22">
        <v>1</v>
      </c>
      <c r="C17" s="23">
        <v>8</v>
      </c>
      <c r="F17" s="27" t="str">
        <v>2499-003</v>
      </c>
    </row>
    <row r="18" spans="2:8">
      <c r="F18" s="27" t="str">
        <v>2499-004</v>
      </c>
    </row>
    <row r="19" spans="2:8">
      <c r="F19" s="27" t="str">
        <v>2499-005</v>
      </c>
      <c r="H19" s="10" t="s">
        <v>256</v>
      </c>
    </row>
    <row r="20" spans="2:8">
      <c r="F20" s="27" t="str">
        <v>2499-006</v>
      </c>
    </row>
    <row r="21" spans="2:8">
      <c r="F21" s="27" t="str">
        <v>2499-007</v>
      </c>
    </row>
    <row r="22" spans="2:8">
      <c r="F22" s="27" t="str">
        <v>2499-008</v>
      </c>
    </row>
    <row r="23" spans="2:8">
      <c r="F23" s="27"/>
    </row>
    <row r="24" spans="2:8">
      <c r="F24" s="27"/>
    </row>
    <row r="25" spans="2:8">
      <c r="F25" s="27"/>
    </row>
    <row r="26" spans="2:8">
      <c r="F26" s="27"/>
    </row>
    <row r="27" spans="2:8">
      <c r="F27" s="27"/>
    </row>
    <row r="28" spans="2:8">
      <c r="F28" s="27"/>
    </row>
    <row r="29" spans="2:8">
      <c r="F29" s="27"/>
    </row>
    <row r="30" spans="2:8">
      <c r="F30" s="27"/>
    </row>
    <row r="31" spans="2:8">
      <c r="F31" s="27"/>
    </row>
    <row r="32" spans="2:8">
      <c r="F32" s="27"/>
    </row>
    <row r="33" spans="6:6">
      <c r="F33" s="27"/>
    </row>
    <row r="34" spans="6:6">
      <c r="F34" s="27"/>
    </row>
    <row r="35" spans="6:6">
      <c r="F35" s="27"/>
    </row>
    <row r="36" spans="6:6">
      <c r="F36" s="27"/>
    </row>
    <row r="37" spans="6:6">
      <c r="F37" s="27"/>
    </row>
    <row r="38" spans="6:6">
      <c r="F38" s="27"/>
    </row>
    <row r="39" spans="6:6">
      <c r="F39" s="27"/>
    </row>
    <row r="40" spans="6:6">
      <c r="F40" s="27"/>
    </row>
    <row r="41" spans="6:6">
      <c r="F41" s="27"/>
    </row>
    <row r="42" spans="6:6">
      <c r="F42" s="27"/>
    </row>
    <row r="43" spans="6:6">
      <c r="F43" s="27"/>
    </row>
    <row r="44" spans="6:6">
      <c r="F44" s="27"/>
    </row>
    <row r="45" spans="6:6">
      <c r="F45" s="27"/>
    </row>
    <row r="46" spans="6:6">
      <c r="F46" s="27"/>
    </row>
    <row r="47" spans="6:6">
      <c r="F47" s="27"/>
    </row>
    <row r="48" spans="6:6">
      <c r="F48" s="27"/>
    </row>
    <row r="49" spans="6:6">
      <c r="F49" s="27"/>
    </row>
    <row r="50" spans="6:6">
      <c r="F50" s="27"/>
    </row>
    <row r="51" spans="6:6">
      <c r="F51" s="27"/>
    </row>
    <row r="52" spans="6:6">
      <c r="F52" s="27"/>
    </row>
    <row r="53" spans="6:6">
      <c r="F53" s="27"/>
    </row>
    <row r="54" spans="6:6">
      <c r="F54" s="27"/>
    </row>
    <row r="55" spans="6:6">
      <c r="F55" s="27"/>
    </row>
    <row r="56" spans="6:6">
      <c r="F56" s="27"/>
    </row>
    <row r="57" spans="6:6">
      <c r="F57" s="27"/>
    </row>
    <row r="58" spans="6:6">
      <c r="F58" s="27"/>
    </row>
    <row r="59" spans="6:6">
      <c r="F59" s="27"/>
    </row>
    <row r="60" spans="6:6">
      <c r="F60" s="27"/>
    </row>
    <row r="61" spans="6:6">
      <c r="F61" s="27"/>
    </row>
    <row r="62" spans="6:6">
      <c r="F62" s="27"/>
    </row>
    <row r="63" spans="6:6">
      <c r="F63" s="27"/>
    </row>
    <row r="64" spans="6:6">
      <c r="F64" s="27"/>
    </row>
    <row r="65" spans="6:6">
      <c r="F65" s="27"/>
    </row>
    <row r="66" spans="6:6">
      <c r="F66" s="27"/>
    </row>
    <row r="67" spans="6:6">
      <c r="F67" s="27"/>
    </row>
    <row r="68" spans="6:6">
      <c r="F68" s="27"/>
    </row>
    <row r="69" spans="6:6">
      <c r="F69" s="27"/>
    </row>
    <row r="70" spans="6:6">
      <c r="F70" s="27"/>
    </row>
    <row r="71" spans="6:6">
      <c r="F71" s="27"/>
    </row>
    <row r="72" spans="6:6">
      <c r="F72" s="27"/>
    </row>
    <row r="73" spans="6:6">
      <c r="F73" s="27"/>
    </row>
    <row r="74" spans="6:6">
      <c r="F74" s="27"/>
    </row>
    <row r="75" spans="6:6">
      <c r="F75" s="27"/>
    </row>
    <row r="76" spans="6:6">
      <c r="F76" s="27"/>
    </row>
    <row r="77" spans="6:6">
      <c r="F77" s="27"/>
    </row>
    <row r="78" spans="6:6">
      <c r="F78" s="27"/>
    </row>
    <row r="79" spans="6:6">
      <c r="F79" s="27"/>
    </row>
    <row r="80" spans="6:6">
      <c r="F80" s="27"/>
    </row>
    <row r="81" spans="6:6">
      <c r="F81" s="27"/>
    </row>
    <row r="82" spans="6:6">
      <c r="F82" s="27"/>
    </row>
    <row r="83" spans="6:6">
      <c r="F83" s="27"/>
    </row>
    <row r="84" spans="6:6">
      <c r="F84" s="27"/>
    </row>
    <row r="85" spans="6:6">
      <c r="F85" s="27"/>
    </row>
    <row r="86" spans="6:6">
      <c r="F86" s="27"/>
    </row>
    <row r="87" spans="6:6">
      <c r="F87" s="27"/>
    </row>
    <row r="88" spans="6:6">
      <c r="F88" s="27"/>
    </row>
    <row r="89" spans="6:6">
      <c r="F89" s="27"/>
    </row>
    <row r="90" spans="6:6">
      <c r="F90" s="27"/>
    </row>
    <row r="91" spans="6:6">
      <c r="F91" s="27"/>
    </row>
    <row r="92" spans="6:6">
      <c r="F92" s="27"/>
    </row>
    <row r="93" spans="6:6">
      <c r="F93" s="27"/>
    </row>
    <row r="94" spans="6:6">
      <c r="F94" s="27"/>
    </row>
    <row r="95" spans="6:6">
      <c r="F95" s="27"/>
    </row>
    <row r="96" spans="6:6">
      <c r="F96" s="27"/>
    </row>
    <row r="97" spans="6:6">
      <c r="F97" s="27"/>
    </row>
    <row r="98" spans="6:6">
      <c r="F98" s="27"/>
    </row>
    <row r="99" spans="6:6">
      <c r="F99" s="27"/>
    </row>
    <row r="100" spans="6:6">
      <c r="F100" s="27"/>
    </row>
    <row r="101" spans="6:6">
      <c r="F101" s="27"/>
    </row>
    <row r="102" spans="6:6">
      <c r="F102" s="27"/>
    </row>
    <row r="103" spans="6:6">
      <c r="F103" s="27"/>
    </row>
    <row r="104" spans="6:6">
      <c r="F104" s="27"/>
    </row>
    <row r="105" spans="6:6">
      <c r="F105" s="27"/>
    </row>
    <row r="106" spans="6:6">
      <c r="F106" s="27"/>
    </row>
    <row r="107" spans="6:6">
      <c r="F107" s="27"/>
    </row>
    <row r="108" spans="6:6">
      <c r="F108" s="27"/>
    </row>
    <row r="109" spans="6:6">
      <c r="F109" s="27"/>
    </row>
    <row r="110" spans="6:6">
      <c r="F110" s="27"/>
    </row>
    <row r="111" spans="6:6">
      <c r="F111" s="27"/>
    </row>
    <row r="112" spans="6:6">
      <c r="F112" s="27"/>
    </row>
    <row r="113" spans="6:6">
      <c r="F113" s="27"/>
    </row>
    <row r="114" spans="6:6">
      <c r="F114" s="27"/>
    </row>
    <row r="115" spans="6:6">
      <c r="F115" s="27"/>
    </row>
    <row r="116" spans="6:6">
      <c r="F116" s="27"/>
    </row>
    <row r="117" spans="6:6">
      <c r="F117" s="27"/>
    </row>
    <row r="118" spans="6:6">
      <c r="F118" s="27"/>
    </row>
    <row r="119" spans="6:6">
      <c r="F119" s="27"/>
    </row>
    <row r="120" spans="6:6">
      <c r="F120" s="27"/>
    </row>
    <row r="121" spans="6:6">
      <c r="F121" s="27"/>
    </row>
    <row r="122" spans="6:6">
      <c r="F122" s="27"/>
    </row>
    <row r="123" spans="6:6">
      <c r="F123" s="27"/>
    </row>
    <row r="124" spans="6:6" ht="17" thickBot="1">
      <c r="F124" s="28"/>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M39"/>
  <sheetViews>
    <sheetView tabSelected="1" zoomScale="86" workbookViewId="0">
      <pane xSplit="9" ySplit="3" topLeftCell="J4" activePane="bottomRight" state="frozen"/>
      <selection pane="topRight" activeCell="J1" sqref="J1"/>
      <selection pane="bottomLeft" activeCell="A3" sqref="A3"/>
      <selection pane="bottomRight" activeCell="O1" sqref="O1:XFD1048576"/>
    </sheetView>
    <sheetView zoomScaleNormal="100" workbookViewId="1">
      <pane ySplit="1" topLeftCell="A2" activePane="bottomLeft" state="frozen"/>
      <selection pane="bottomLeft" activeCell="D21" sqref="D21"/>
    </sheetView>
  </sheetViews>
  <sheetFormatPr baseColWidth="10" defaultRowHeight="16"/>
  <cols>
    <col min="1" max="1" width="1.83203125" style="194" customWidth="1"/>
    <col min="2" max="2" width="11" style="182" customWidth="1"/>
    <col min="3" max="3" width="28.1640625" style="168" customWidth="1"/>
    <col min="4" max="4" width="10.83203125" style="168"/>
    <col min="5" max="5" width="10.83203125" style="168" customWidth="1"/>
    <col min="6" max="6" width="15.33203125" style="168" customWidth="1"/>
    <col min="7" max="7" width="26.6640625" style="166" customWidth="1"/>
    <col min="8" max="8" width="41.5" style="168" customWidth="1"/>
    <col min="9" max="9" width="20.33203125" style="183" customWidth="1"/>
    <col min="10" max="10" width="4.33203125" customWidth="1"/>
  </cols>
  <sheetData>
    <row r="1" spans="1:9" ht="25" thickBot="1">
      <c r="B1" s="163" t="s">
        <v>20</v>
      </c>
      <c r="C1" s="164">
        <f ca="1">SUM(INDEX(PO_Log, 2, 7):INDEX(PO_Log, ROWS(PO_Log)-1, 7))</f>
        <v>0</v>
      </c>
      <c r="D1" s="169"/>
      <c r="E1" s="169"/>
      <c r="F1" s="169"/>
      <c r="G1" s="167"/>
      <c r="H1" s="169"/>
      <c r="I1" s="169"/>
    </row>
    <row r="2" spans="1:9" ht="29" customHeight="1">
      <c r="B2" s="170"/>
      <c r="C2" s="170"/>
      <c r="D2" s="170"/>
      <c r="E2" s="170"/>
      <c r="F2" s="170"/>
      <c r="G2" s="170"/>
      <c r="H2" s="170"/>
      <c r="I2" s="170"/>
    </row>
    <row r="3" spans="1:9" hidden="1">
      <c r="B3" s="169"/>
      <c r="C3" s="171"/>
      <c r="D3" s="171"/>
      <c r="E3" s="172"/>
      <c r="F3" s="171"/>
      <c r="G3" s="173"/>
      <c r="H3" s="171"/>
      <c r="I3" s="174"/>
    </row>
    <row r="4" spans="1:9" ht="23">
      <c r="B4" s="238" t="s">
        <v>14</v>
      </c>
      <c r="C4" s="238"/>
      <c r="D4" s="238"/>
      <c r="E4" s="238"/>
      <c r="F4" s="238"/>
      <c r="G4" s="238"/>
      <c r="H4" s="238"/>
      <c r="I4" s="238"/>
    </row>
    <row r="5" spans="1:9" ht="17" thickBot="1">
      <c r="B5" s="175"/>
      <c r="C5" s="175"/>
      <c r="D5" s="185"/>
      <c r="E5" s="186"/>
      <c r="F5" s="175"/>
      <c r="G5" s="187"/>
      <c r="H5" s="175"/>
      <c r="I5" s="8"/>
    </row>
    <row r="6" spans="1:9" ht="17" thickBot="1">
      <c r="B6" s="188" t="s">
        <v>4</v>
      </c>
      <c r="C6" s="184" t="s">
        <v>15</v>
      </c>
      <c r="D6" s="189" t="s">
        <v>16</v>
      </c>
      <c r="E6" s="190" t="s">
        <v>11</v>
      </c>
      <c r="F6" s="189" t="s">
        <v>17</v>
      </c>
      <c r="G6" s="191" t="s">
        <v>241</v>
      </c>
      <c r="H6" s="192" t="s">
        <v>18</v>
      </c>
      <c r="I6" s="193" t="s">
        <v>19</v>
      </c>
    </row>
    <row r="7" spans="1:9">
      <c r="A7" s="195" t="e" cm="1">
        <f t="array" aca="1" ref="A7"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#REF!</v>
      </c>
      <c r="B7" s="176"/>
      <c r="C7" s="177"/>
      <c r="D7" s="177"/>
      <c r="E7" s="177"/>
      <c r="F7" s="177"/>
      <c r="G7" s="178"/>
      <c r="H7" s="177"/>
      <c r="I7" s="179"/>
    </row>
    <row r="8" spans="1:9">
      <c r="B8" s="180"/>
      <c r="C8" s="143"/>
      <c r="D8" s="143"/>
      <c r="E8" s="143"/>
      <c r="F8" s="143"/>
      <c r="G8" s="165"/>
      <c r="H8" s="143"/>
      <c r="I8" s="181"/>
    </row>
    <row r="9" spans="1:9">
      <c r="B9" s="180"/>
      <c r="C9" s="143"/>
      <c r="D9" s="143"/>
      <c r="E9" s="143"/>
      <c r="F9" s="143"/>
      <c r="G9" s="165"/>
      <c r="H9" s="143"/>
      <c r="I9" s="181"/>
    </row>
    <row r="10" spans="1:9">
      <c r="B10" s="180"/>
      <c r="C10" s="143"/>
      <c r="D10" s="143"/>
      <c r="E10" s="143"/>
      <c r="F10" s="143"/>
      <c r="G10" s="165"/>
      <c r="H10" s="143"/>
      <c r="I10" s="181"/>
    </row>
    <row r="11" spans="1:9">
      <c r="B11" s="180"/>
      <c r="C11" s="143"/>
      <c r="D11" s="143"/>
      <c r="E11" s="143"/>
      <c r="F11" s="143"/>
      <c r="G11" s="165"/>
      <c r="H11" s="143"/>
      <c r="I11" s="181"/>
    </row>
    <row r="12" spans="1:9">
      <c r="B12" s="180"/>
      <c r="C12" s="143"/>
      <c r="D12" s="143"/>
      <c r="E12" s="143"/>
      <c r="F12" s="143"/>
      <c r="G12" s="165"/>
      <c r="H12" s="143"/>
      <c r="I12" s="181"/>
    </row>
    <row r="13" spans="1:9">
      <c r="B13" s="180"/>
      <c r="C13" s="143"/>
      <c r="D13" s="143"/>
      <c r="E13" s="143"/>
      <c r="F13" s="143"/>
      <c r="G13" s="165"/>
      <c r="H13" s="143"/>
      <c r="I13" s="181"/>
    </row>
    <row r="14" spans="1:9">
      <c r="B14" s="180"/>
      <c r="C14" s="143"/>
      <c r="D14" s="143"/>
      <c r="E14" s="143"/>
      <c r="F14" s="143"/>
      <c r="G14" s="165"/>
      <c r="H14" s="143"/>
      <c r="I14" s="181"/>
    </row>
    <row r="15" spans="1:9">
      <c r="B15" s="180"/>
      <c r="C15" s="143"/>
      <c r="D15" s="143"/>
      <c r="E15" s="143"/>
      <c r="F15" s="143"/>
      <c r="G15" s="165"/>
      <c r="H15" s="143"/>
      <c r="I15" s="181"/>
    </row>
    <row r="16" spans="1:9">
      <c r="B16" s="180"/>
      <c r="C16" s="143"/>
      <c r="D16" s="143"/>
      <c r="E16" s="143"/>
      <c r="F16" s="143"/>
      <c r="G16" s="165"/>
      <c r="H16" s="143"/>
      <c r="I16" s="181"/>
    </row>
    <row r="17" spans="2:13" ht="16" customHeight="1">
      <c r="B17" s="180"/>
      <c r="C17" s="143"/>
      <c r="D17" s="143"/>
      <c r="E17" s="143"/>
      <c r="F17" s="143"/>
      <c r="G17" s="165"/>
      <c r="H17" s="143"/>
      <c r="I17" s="181"/>
      <c r="M17" s="161"/>
    </row>
    <row r="18" spans="2:13" ht="17" customHeight="1">
      <c r="B18" s="180"/>
      <c r="C18" s="143"/>
      <c r="D18" s="143"/>
      <c r="E18" s="143"/>
      <c r="F18" s="143"/>
      <c r="G18" s="165"/>
      <c r="H18" s="143"/>
      <c r="I18" s="181"/>
      <c r="K18" s="162"/>
      <c r="L18" s="161"/>
      <c r="M18" s="161"/>
    </row>
    <row r="19" spans="2:13">
      <c r="B19" s="180"/>
      <c r="C19" s="143"/>
      <c r="D19" s="143"/>
      <c r="E19" s="143"/>
      <c r="F19" s="143"/>
      <c r="G19" s="165"/>
      <c r="H19" s="143"/>
      <c r="I19" s="181"/>
    </row>
    <row r="20" spans="2:13">
      <c r="B20" s="180"/>
      <c r="C20" s="143"/>
      <c r="D20" s="143"/>
      <c r="E20" s="143"/>
      <c r="F20" s="143"/>
      <c r="G20" s="165"/>
      <c r="H20" s="143"/>
      <c r="I20" s="181"/>
    </row>
    <row r="21" spans="2:13">
      <c r="B21" s="180"/>
      <c r="C21" s="143"/>
      <c r="D21" s="143"/>
      <c r="E21" s="143"/>
      <c r="F21" s="143"/>
      <c r="G21" s="165"/>
      <c r="H21" s="143"/>
      <c r="I21" s="181"/>
    </row>
    <row r="22" spans="2:13">
      <c r="B22" s="180"/>
      <c r="C22" s="143"/>
      <c r="D22" s="143"/>
      <c r="E22" s="143"/>
      <c r="F22" s="143"/>
      <c r="G22" s="165"/>
      <c r="H22" s="143"/>
      <c r="I22" s="181"/>
    </row>
    <row r="23" spans="2:13">
      <c r="B23" s="180"/>
      <c r="C23" s="143"/>
      <c r="D23" s="143"/>
      <c r="E23" s="143"/>
      <c r="F23" s="143"/>
      <c r="G23" s="165"/>
      <c r="H23" s="143"/>
      <c r="I23" s="181"/>
    </row>
    <row r="24" spans="2:13">
      <c r="B24" s="180"/>
      <c r="C24" s="143"/>
      <c r="D24" s="143"/>
      <c r="E24" s="143"/>
      <c r="F24" s="143"/>
      <c r="G24" s="165"/>
      <c r="H24" s="143"/>
      <c r="I24" s="181"/>
    </row>
    <row r="25" spans="2:13">
      <c r="B25" s="180"/>
      <c r="C25" s="143"/>
      <c r="D25" s="143"/>
      <c r="E25" s="143"/>
      <c r="F25" s="143"/>
      <c r="G25" s="165"/>
      <c r="H25" s="143"/>
      <c r="I25" s="181"/>
    </row>
    <row r="26" spans="2:13">
      <c r="B26" s="180"/>
      <c r="C26" s="143"/>
      <c r="D26" s="143"/>
      <c r="E26" s="143"/>
      <c r="F26" s="143"/>
      <c r="G26" s="165"/>
      <c r="H26" s="143"/>
      <c r="I26" s="181"/>
    </row>
    <row r="27" spans="2:13">
      <c r="B27" s="180"/>
      <c r="C27" s="143"/>
      <c r="D27" s="143"/>
      <c r="E27" s="143"/>
      <c r="F27" s="143"/>
      <c r="G27" s="165"/>
      <c r="H27" s="143"/>
      <c r="I27" s="181"/>
    </row>
    <row r="28" spans="2:13">
      <c r="B28" s="180"/>
      <c r="C28" s="143"/>
      <c r="D28" s="143"/>
      <c r="E28" s="143"/>
      <c r="F28" s="143"/>
      <c r="G28" s="165"/>
      <c r="H28" s="143"/>
      <c r="I28" s="181"/>
    </row>
    <row r="29" spans="2:13">
      <c r="B29" s="180"/>
      <c r="C29" s="143"/>
      <c r="D29" s="143"/>
      <c r="E29" s="143"/>
      <c r="F29" s="143"/>
      <c r="G29" s="165"/>
      <c r="H29" s="143"/>
      <c r="I29" s="181"/>
    </row>
    <row r="30" spans="2:13">
      <c r="B30" s="180"/>
      <c r="C30" s="143"/>
      <c r="D30" s="143"/>
      <c r="E30" s="143"/>
      <c r="F30" s="143"/>
      <c r="G30" s="165"/>
      <c r="H30" s="143"/>
      <c r="I30" s="181"/>
    </row>
    <row r="31" spans="2:13">
      <c r="B31" s="180"/>
      <c r="C31" s="143"/>
      <c r="D31" s="143"/>
      <c r="E31" s="143"/>
      <c r="F31" s="143"/>
      <c r="G31" s="165"/>
      <c r="H31" s="143"/>
      <c r="I31" s="181"/>
    </row>
    <row r="32" spans="2:13">
      <c r="B32" s="180"/>
      <c r="C32" s="143"/>
      <c r="D32" s="143"/>
      <c r="E32" s="143"/>
      <c r="F32" s="143"/>
      <c r="G32" s="165"/>
      <c r="H32" s="143"/>
      <c r="I32" s="181"/>
    </row>
    <row r="33" spans="2:9">
      <c r="B33" s="180"/>
      <c r="C33" s="143"/>
      <c r="D33" s="143"/>
      <c r="E33" s="143"/>
      <c r="F33" s="143"/>
      <c r="G33" s="165"/>
      <c r="H33" s="143"/>
      <c r="I33" s="181"/>
    </row>
    <row r="34" spans="2:9">
      <c r="B34" s="180"/>
      <c r="C34" s="143"/>
      <c r="D34" s="143"/>
      <c r="E34" s="143"/>
      <c r="F34" s="143"/>
      <c r="G34" s="165"/>
      <c r="H34" s="143"/>
      <c r="I34" s="181"/>
    </row>
    <row r="35" spans="2:9">
      <c r="B35" s="180"/>
      <c r="C35" s="143"/>
      <c r="D35" s="143"/>
      <c r="E35" s="143"/>
      <c r="F35" s="143"/>
      <c r="G35" s="165"/>
      <c r="H35" s="143"/>
      <c r="I35" s="181"/>
    </row>
    <row r="36" spans="2:9">
      <c r="B36" s="180"/>
      <c r="C36" s="143"/>
      <c r="D36" s="143"/>
      <c r="E36" s="143"/>
      <c r="F36" s="143"/>
      <c r="G36" s="165"/>
      <c r="H36" s="143"/>
      <c r="I36" s="181"/>
    </row>
    <row r="37" spans="2:9">
      <c r="B37" s="180"/>
      <c r="C37" s="143"/>
      <c r="D37" s="143"/>
      <c r="E37" s="143"/>
      <c r="F37" s="143"/>
      <c r="G37" s="165"/>
      <c r="H37" s="143"/>
      <c r="I37" s="181"/>
    </row>
    <row r="38" spans="2:9">
      <c r="B38" s="180"/>
      <c r="C38" s="143"/>
      <c r="D38" s="143"/>
      <c r="E38" s="143"/>
      <c r="F38" s="143"/>
      <c r="G38" s="165"/>
      <c r="H38" s="143"/>
      <c r="I38" s="181"/>
    </row>
    <row r="39" spans="2:9">
      <c r="B39" s="180"/>
      <c r="C39" s="143"/>
      <c r="D39" s="143"/>
      <c r="E39" s="143"/>
      <c r="F39" s="143"/>
      <c r="G39" s="165"/>
      <c r="H39" s="143"/>
      <c r="I39" s="181"/>
    </row>
  </sheetData>
  <mergeCells count="1">
    <mergeCell ref="B4:I4"/>
  </mergeCell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0"/>
  <sheetViews>
    <sheetView topLeftCell="C1" zoomScale="75" zoomScaleNormal="100" workbookViewId="0">
      <selection activeCell="AD22" sqref="AD22"/>
    </sheetView>
    <sheetView tabSelected="1" topLeftCell="A14" zoomScaleNormal="100" workbookViewId="1">
      <selection activeCell="G20" sqref="G20"/>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31" width="7" style="1" customWidth="1"/>
    <col min="32" max="32" width="3.33203125" style="1" customWidth="1"/>
    <col min="33" max="33" width="5.1640625" style="1" customWidth="1"/>
    <col min="34" max="34" width="8.83203125" style="1" customWidth="1"/>
    <col min="35" max="35" width="8.83203125" style="1"/>
    <col min="36" max="37" width="13" style="1" customWidth="1"/>
    <col min="38" max="38" width="10.6640625" style="1" customWidth="1"/>
    <col min="39" max="39" width="14.1640625" style="1" customWidth="1"/>
    <col min="40" max="40" width="13" style="1" customWidth="1"/>
    <col min="41" max="41" width="15" style="1" customWidth="1"/>
    <col min="42" max="16384" width="8.83203125" style="1"/>
  </cols>
  <sheetData>
    <row r="1" spans="1:47" ht="45" customHeight="1">
      <c r="A1" s="30"/>
      <c r="B1" s="210" t="s">
        <v>257</v>
      </c>
      <c r="C1" s="109"/>
      <c r="D1" s="109"/>
      <c r="E1" s="109"/>
      <c r="F1" s="211"/>
      <c r="G1" s="239"/>
      <c r="H1" s="239"/>
      <c r="I1" s="240"/>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9"/>
      <c r="AJ1" s="128"/>
      <c r="AK1" s="128"/>
      <c r="AL1" s="128"/>
      <c r="AM1" s="128"/>
      <c r="AN1" s="128"/>
      <c r="AO1" s="128"/>
      <c r="AP1" s="128"/>
      <c r="AQ1" s="128"/>
      <c r="AR1" s="128"/>
      <c r="AS1" s="128"/>
      <c r="AT1" s="128"/>
      <c r="AU1" s="128"/>
    </row>
    <row r="2" spans="1:47" ht="12.75" customHeight="1">
      <c r="A2" s="31"/>
      <c r="B2" s="241"/>
      <c r="C2" s="242"/>
      <c r="D2" s="243"/>
      <c r="E2" s="243"/>
      <c r="F2" s="243"/>
      <c r="G2" s="243"/>
      <c r="I2" s="42"/>
      <c r="J2" s="128"/>
      <c r="K2" s="128"/>
      <c r="L2" s="128"/>
      <c r="M2" s="128"/>
      <c r="N2" s="128"/>
      <c r="O2" s="128"/>
      <c r="P2" s="128"/>
      <c r="Q2" s="128"/>
      <c r="R2" s="128"/>
      <c r="S2" s="128"/>
      <c r="T2" s="128"/>
      <c r="U2" s="128"/>
      <c r="V2" s="128"/>
      <c r="W2" s="128"/>
      <c r="X2" s="128"/>
      <c r="Y2" s="128"/>
      <c r="Z2" s="128"/>
      <c r="AA2" s="128"/>
      <c r="AB2" s="128"/>
      <c r="AC2" s="128"/>
      <c r="AD2" s="129"/>
      <c r="AE2" s="128"/>
      <c r="AF2" s="128"/>
      <c r="AG2" s="128"/>
      <c r="AH2" s="128"/>
      <c r="AI2" s="128"/>
      <c r="AJ2" s="128"/>
      <c r="AK2" s="128"/>
      <c r="AL2" s="128"/>
      <c r="AM2" s="128"/>
      <c r="AN2" s="128"/>
      <c r="AO2" s="128"/>
      <c r="AP2" s="128"/>
      <c r="AQ2" s="128"/>
      <c r="AR2" s="128"/>
      <c r="AS2" s="128"/>
      <c r="AT2" s="128"/>
      <c r="AU2" s="128"/>
    </row>
    <row r="3" spans="1:47" ht="22">
      <c r="A3" s="31"/>
      <c r="B3" s="43" t="s">
        <v>13</v>
      </c>
      <c r="C3" s="212"/>
      <c r="D3" s="213"/>
      <c r="E3" s="213"/>
      <c r="F3" s="214" t="s">
        <v>12</v>
      </c>
      <c r="G3" s="244" t="s">
        <v>242</v>
      </c>
      <c r="H3" s="244"/>
      <c r="I3" s="245"/>
      <c r="J3" s="199"/>
      <c r="K3" s="200"/>
      <c r="L3" s="200"/>
      <c r="M3" s="200"/>
      <c r="N3" s="200"/>
      <c r="O3" s="200"/>
      <c r="P3" s="200"/>
      <c r="Q3" s="200"/>
      <c r="R3" s="200"/>
      <c r="S3" s="200"/>
      <c r="T3" s="200"/>
      <c r="U3" s="200"/>
      <c r="V3" s="200"/>
      <c r="W3" s="200"/>
      <c r="X3" s="81"/>
      <c r="Y3" s="83"/>
      <c r="Z3" s="83"/>
      <c r="AA3" s="83"/>
      <c r="AD3" s="81"/>
      <c r="AR3" s="128"/>
      <c r="AS3" s="128"/>
      <c r="AT3" s="128"/>
      <c r="AU3" s="128"/>
    </row>
    <row r="4" spans="1:47" s="3" customFormat="1" ht="29" customHeight="1">
      <c r="A4" s="32"/>
      <c r="B4" s="246"/>
      <c r="C4" s="247"/>
      <c r="D4" s="247"/>
      <c r="E4" s="247"/>
      <c r="F4" s="247"/>
      <c r="G4" s="247"/>
      <c r="H4" s="215"/>
      <c r="I4" s="44"/>
      <c r="J4" s="130"/>
      <c r="K4" s="130"/>
      <c r="L4" s="130"/>
      <c r="M4" s="130"/>
      <c r="N4" s="130"/>
      <c r="O4" s="130"/>
      <c r="P4" s="130"/>
      <c r="Q4" s="130"/>
      <c r="R4" s="130"/>
      <c r="S4" s="130"/>
      <c r="T4" s="130"/>
      <c r="U4" s="130"/>
      <c r="V4" s="130"/>
      <c r="W4" s="130"/>
      <c r="X4" s="4"/>
      <c r="Y4" s="4"/>
      <c r="Z4" s="4"/>
      <c r="AA4" s="4"/>
      <c r="AD4" s="86"/>
      <c r="AE4" s="92"/>
      <c r="AF4" s="86"/>
      <c r="AM4" s="196"/>
      <c r="AR4" s="130"/>
      <c r="AS4" s="130"/>
      <c r="AT4" s="130"/>
      <c r="AU4" s="130"/>
    </row>
    <row r="5" spans="1:47" s="4" customFormat="1" ht="16" customHeight="1">
      <c r="A5" s="33"/>
      <c r="B5" s="45" t="s">
        <v>258</v>
      </c>
      <c r="C5" s="252"/>
      <c r="D5" s="253"/>
      <c r="E5" s="248"/>
      <c r="F5" s="248"/>
      <c r="G5" s="248"/>
      <c r="H5" s="248"/>
      <c r="I5" s="46"/>
      <c r="J5" s="131"/>
      <c r="K5" s="131"/>
      <c r="L5" s="131"/>
      <c r="M5" s="131"/>
      <c r="N5" s="131"/>
      <c r="O5" s="131"/>
      <c r="P5" s="131"/>
      <c r="Q5" s="131"/>
      <c r="R5" s="131"/>
      <c r="S5" s="131"/>
      <c r="T5" s="131"/>
      <c r="U5" s="131"/>
      <c r="V5" s="131"/>
      <c r="W5" s="131"/>
      <c r="AD5" s="87"/>
      <c r="AE5" s="93"/>
      <c r="AF5" s="87"/>
      <c r="AH5"/>
      <c r="AR5" s="131"/>
      <c r="AS5" s="131"/>
      <c r="AT5" s="131"/>
      <c r="AU5" s="131"/>
    </row>
    <row r="6" spans="1:47" s="4" customFormat="1" ht="16">
      <c r="A6" s="33"/>
      <c r="B6" s="47"/>
      <c r="C6" s="254"/>
      <c r="D6" s="255"/>
      <c r="E6" s="248"/>
      <c r="F6" s="248"/>
      <c r="G6" s="248"/>
      <c r="H6" s="248"/>
      <c r="I6" s="48"/>
      <c r="J6" s="131"/>
      <c r="K6" s="131"/>
      <c r="L6" s="131"/>
      <c r="M6" s="131"/>
      <c r="N6" s="131"/>
      <c r="O6" s="131"/>
      <c r="P6" s="131"/>
      <c r="Q6" s="131"/>
      <c r="R6" s="131"/>
      <c r="S6" s="131"/>
      <c r="T6" s="131"/>
      <c r="U6" s="131"/>
      <c r="V6" s="131"/>
      <c r="W6" s="131"/>
      <c r="AD6" s="87"/>
      <c r="AE6" s="93"/>
      <c r="AF6" s="87"/>
      <c r="AR6" s="131"/>
      <c r="AS6" s="131"/>
      <c r="AT6" s="131"/>
      <c r="AU6" s="131"/>
    </row>
    <row r="7" spans="1:47" s="4" customFormat="1" ht="16">
      <c r="A7" s="33"/>
      <c r="B7" s="249"/>
      <c r="C7" s="250"/>
      <c r="D7" s="251"/>
      <c r="E7" s="251"/>
      <c r="F7" s="218"/>
      <c r="G7" s="218"/>
      <c r="H7" s="218"/>
      <c r="I7" s="50"/>
      <c r="J7" s="131"/>
      <c r="K7" s="131"/>
      <c r="L7" s="131"/>
      <c r="M7" s="131"/>
      <c r="N7" s="131"/>
      <c r="O7" s="131"/>
      <c r="P7" s="131"/>
      <c r="Q7" s="131"/>
      <c r="R7" s="131"/>
      <c r="S7" s="131"/>
      <c r="T7" s="131"/>
      <c r="U7" s="131"/>
      <c r="V7" s="131"/>
      <c r="W7" s="131"/>
      <c r="AD7" s="87"/>
      <c r="AE7" s="93"/>
      <c r="AF7" s="87"/>
      <c r="AR7" s="131"/>
      <c r="AS7" s="131"/>
      <c r="AT7" s="131"/>
      <c r="AU7" s="131"/>
    </row>
    <row r="8" spans="1:47" s="4" customFormat="1" ht="16">
      <c r="A8" s="33"/>
      <c r="B8" s="49"/>
      <c r="C8" s="216"/>
      <c r="D8" s="217"/>
      <c r="E8" s="217"/>
      <c r="F8" s="218"/>
      <c r="G8" s="218"/>
      <c r="H8" s="218"/>
      <c r="I8" s="50"/>
      <c r="J8" s="131"/>
      <c r="K8" s="131"/>
      <c r="L8" s="131"/>
      <c r="M8" s="131"/>
      <c r="N8" s="131"/>
      <c r="O8" s="131"/>
      <c r="P8" s="131"/>
      <c r="Q8" s="131"/>
      <c r="R8" s="131"/>
      <c r="S8" s="131"/>
      <c r="T8" s="131"/>
      <c r="U8" s="131"/>
      <c r="V8" s="131"/>
      <c r="W8" s="131"/>
      <c r="AD8" s="87"/>
      <c r="AE8" s="93"/>
      <c r="AF8" s="87"/>
      <c r="AR8" s="131"/>
      <c r="AS8" s="131"/>
      <c r="AT8" s="131"/>
      <c r="AU8" s="131"/>
    </row>
    <row r="9" spans="1:47" s="4" customFormat="1" ht="16">
      <c r="A9" s="33"/>
      <c r="B9" s="51" t="s">
        <v>11</v>
      </c>
      <c r="C9" s="256" t="str">
        <f>IFERROR(
    IF(ISNUMBER(MATCH(Sheet_PO,#REF!, 0)),
       IF(INDEX(#REF!, MATCH(Sheet_PO,#REF!, 0)) = "", "",
          INDEX(#REF!, MATCH(Sheet_PO,#REF!, 0))),
       ""),
    "No match found")</f>
        <v/>
      </c>
      <c r="D9" s="256"/>
      <c r="E9" s="219" t="s">
        <v>10</v>
      </c>
      <c r="F9" s="257">
        <f>IF(TRIM(Job_Number)="", "", Job_Number)</f>
        <v>1911</v>
      </c>
      <c r="G9" s="257"/>
      <c r="H9" s="257"/>
      <c r="I9" s="258"/>
      <c r="J9" s="131"/>
      <c r="K9" s="131"/>
      <c r="L9" s="131"/>
      <c r="M9" s="131"/>
      <c r="N9" s="131"/>
      <c r="O9" s="131"/>
      <c r="P9" s="131"/>
      <c r="Q9" s="131"/>
      <c r="R9" s="131"/>
      <c r="S9" s="131"/>
      <c r="T9" s="131"/>
      <c r="U9" s="131"/>
      <c r="V9" s="131"/>
      <c r="W9" s="131"/>
      <c r="AD9" s="87"/>
      <c r="AE9" s="93"/>
      <c r="AF9" s="87"/>
      <c r="AR9" s="131"/>
      <c r="AS9" s="131"/>
      <c r="AT9" s="131"/>
      <c r="AU9" s="131"/>
    </row>
    <row r="10" spans="1:47" s="4" customFormat="1" ht="14" customHeight="1">
      <c r="A10" s="33"/>
      <c r="B10" s="51" t="s">
        <v>9</v>
      </c>
      <c r="C10" s="261" t="s">
        <v>317</v>
      </c>
      <c r="D10" s="261"/>
      <c r="E10" s="219" t="s">
        <v>8</v>
      </c>
      <c r="F10" s="262" t="str">
        <f>IF(TRIM(Job_Name)="", "", Job_Name)</f>
        <v>Fakington</v>
      </c>
      <c r="G10" s="262"/>
      <c r="H10" s="262"/>
      <c r="I10" s="263"/>
      <c r="J10" s="131"/>
      <c r="K10" s="131"/>
      <c r="L10" s="131"/>
      <c r="M10" s="131"/>
      <c r="N10" s="131"/>
      <c r="O10" s="131"/>
      <c r="P10" s="131"/>
      <c r="Q10" s="131"/>
      <c r="R10" s="131"/>
      <c r="S10" s="131"/>
      <c r="T10" s="131"/>
      <c r="U10" s="131"/>
      <c r="V10" s="131"/>
      <c r="W10" s="130"/>
      <c r="AR10" s="131"/>
      <c r="AS10" s="131"/>
      <c r="AT10" s="131"/>
      <c r="AU10" s="131"/>
    </row>
    <row r="11" spans="1:47" s="4" customFormat="1" ht="17">
      <c r="A11" s="33"/>
      <c r="B11" s="52"/>
      <c r="C11" s="261"/>
      <c r="D11" s="261"/>
      <c r="E11" s="220"/>
      <c r="I11" s="53"/>
      <c r="J11" s="131"/>
      <c r="K11" s="131"/>
      <c r="L11" s="131"/>
      <c r="M11" s="131"/>
      <c r="N11" s="131"/>
      <c r="O11" s="131"/>
      <c r="P11" s="131"/>
      <c r="Q11" s="131"/>
      <c r="R11" s="131"/>
      <c r="S11" s="131"/>
      <c r="T11" s="131"/>
      <c r="U11" s="131"/>
      <c r="V11" s="131"/>
      <c r="W11" s="131"/>
      <c r="AD11" s="85"/>
      <c r="AR11" s="131"/>
      <c r="AS11" s="131"/>
      <c r="AT11" s="131"/>
      <c r="AU11" s="131"/>
    </row>
    <row r="12" spans="1:47" s="4" customFormat="1" ht="22" customHeight="1">
      <c r="A12" s="33"/>
      <c r="B12" s="51" t="s">
        <v>7</v>
      </c>
      <c r="C12" s="261"/>
      <c r="D12" s="261"/>
      <c r="E12" s="219" t="s">
        <v>6</v>
      </c>
      <c r="F12" s="7"/>
      <c r="G12" s="7"/>
      <c r="H12" s="7"/>
      <c r="I12" s="54"/>
      <c r="J12" s="131"/>
      <c r="K12" s="131"/>
      <c r="L12" s="131"/>
      <c r="M12" s="131"/>
      <c r="N12" s="131"/>
      <c r="O12" s="131"/>
      <c r="P12" s="131"/>
      <c r="Q12" s="131"/>
      <c r="R12" s="131"/>
      <c r="S12" s="131"/>
      <c r="T12" s="131"/>
      <c r="U12" s="131"/>
      <c r="V12" s="131"/>
      <c r="W12" s="131"/>
      <c r="AR12" s="131"/>
      <c r="AS12" s="131"/>
      <c r="AT12" s="131"/>
      <c r="AU12" s="131"/>
    </row>
    <row r="13" spans="1:47" s="4" customFormat="1" ht="16">
      <c r="A13" s="33"/>
      <c r="B13" s="55"/>
      <c r="C13" s="261"/>
      <c r="D13" s="261"/>
      <c r="F13" s="266"/>
      <c r="G13" s="267"/>
      <c r="H13" s="267"/>
      <c r="I13" s="268"/>
      <c r="J13" s="131"/>
      <c r="K13" s="131"/>
      <c r="L13" s="131"/>
      <c r="M13" s="131"/>
      <c r="N13" s="131"/>
      <c r="O13" s="131"/>
      <c r="P13" s="131"/>
      <c r="Q13" s="131"/>
      <c r="R13" s="131"/>
      <c r="S13" s="131"/>
      <c r="T13" s="131"/>
      <c r="U13" s="131"/>
      <c r="V13" s="131"/>
      <c r="W13" s="131"/>
      <c r="AR13" s="131"/>
      <c r="AS13" s="131"/>
      <c r="AT13" s="131"/>
      <c r="AU13" s="131"/>
    </row>
    <row r="14" spans="1:47" s="4" customFormat="1" ht="16">
      <c r="A14" s="33"/>
      <c r="B14" s="55"/>
      <c r="C14" s="269"/>
      <c r="D14" s="269"/>
      <c r="E14" s="219" t="s">
        <v>264</v>
      </c>
      <c r="F14" s="266"/>
      <c r="G14" s="267"/>
      <c r="H14" s="267"/>
      <c r="I14" s="268"/>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row>
    <row r="15" spans="1:47" s="4" customFormat="1" ht="16">
      <c r="A15" s="33"/>
      <c r="B15" s="56"/>
      <c r="C15" s="221"/>
      <c r="D15" s="221"/>
      <c r="I15" s="53"/>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row>
    <row r="16" spans="1:47" s="3" customFormat="1" ht="23" customHeight="1">
      <c r="A16" s="32"/>
      <c r="B16" s="57" t="s">
        <v>5</v>
      </c>
      <c r="C16" s="222"/>
      <c r="D16" s="222"/>
      <c r="E16" s="222"/>
      <c r="F16" s="222"/>
      <c r="G16" s="223"/>
      <c r="H16" s="29"/>
      <c r="I16" s="58"/>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row>
    <row r="17" spans="1:50" s="3" customFormat="1" ht="23" customHeight="1">
      <c r="A17" s="32"/>
      <c r="B17" s="57"/>
      <c r="C17" s="37"/>
      <c r="D17" s="37"/>
      <c r="E17" s="37"/>
      <c r="F17" s="37"/>
      <c r="G17" s="38"/>
      <c r="H17" s="29"/>
      <c r="I17" s="58"/>
      <c r="J17" s="130"/>
      <c r="K17" s="130"/>
      <c r="L17" s="130"/>
      <c r="M17" s="130"/>
      <c r="N17" s="130"/>
      <c r="O17" s="130"/>
      <c r="P17" s="130"/>
      <c r="Q17" s="130"/>
      <c r="R17" s="130"/>
      <c r="S17" s="130"/>
      <c r="T17" s="130"/>
      <c r="U17" s="130"/>
      <c r="V17" s="130"/>
      <c r="W17" s="130"/>
      <c r="X17" s="130"/>
      <c r="Y17" s="130"/>
      <c r="Z17" s="130"/>
      <c r="AA17" s="130"/>
      <c r="AB17" s="130"/>
      <c r="AC17" s="130"/>
      <c r="AD17" s="130"/>
      <c r="AE17" s="132"/>
      <c r="AF17" s="132"/>
      <c r="AG17" s="132"/>
      <c r="AH17" s="132"/>
      <c r="AI17" s="132"/>
      <c r="AJ17" s="130"/>
      <c r="AK17" s="130"/>
      <c r="AS17" s="130"/>
      <c r="AT17" s="130"/>
      <c r="AU17" s="130"/>
    </row>
    <row r="18" spans="1:50" s="3" customFormat="1" ht="23" customHeight="1">
      <c r="A18" s="32"/>
      <c r="B18" s="57"/>
      <c r="C18" s="270"/>
      <c r="D18" s="270"/>
      <c r="E18" s="270"/>
      <c r="F18" s="270"/>
      <c r="G18" s="270"/>
      <c r="H18" s="270"/>
      <c r="I18" s="271"/>
      <c r="AL18" s="85"/>
    </row>
    <row r="19" spans="1:50" s="3" customFormat="1" ht="13" customHeight="1" thickBot="1">
      <c r="A19" s="32"/>
      <c r="B19" s="57"/>
      <c r="C19" s="270"/>
      <c r="D19" s="270"/>
      <c r="E19" s="270"/>
      <c r="F19" s="270"/>
      <c r="G19" s="270"/>
      <c r="H19" s="270"/>
      <c r="I19" s="271"/>
      <c r="AE19" s="4"/>
      <c r="AF19" s="4"/>
      <c r="AG19" s="4"/>
      <c r="AH19" s="4"/>
      <c r="AI19" s="4"/>
      <c r="AJ19" s="4"/>
      <c r="AK19" s="4"/>
    </row>
    <row r="20" spans="1:50" s="3" customFormat="1" ht="34" customHeight="1">
      <c r="A20" s="32"/>
      <c r="B20" s="57"/>
      <c r="C20" s="224"/>
      <c r="D20" s="224"/>
      <c r="E20" s="224"/>
      <c r="F20" s="224"/>
      <c r="G20" s="224"/>
      <c r="H20" s="224"/>
      <c r="I20" s="59"/>
      <c r="K20" s="103" t="s">
        <v>313</v>
      </c>
      <c r="L20" s="133" cm="1">
        <f t="array" ref="L20:T22">IFERROR(
    _xlfn.WRAPCOLS(
        _xlfn.TOCOL(
            INDEX(
                _xlfn._xlws.FILTER(
                    _xlfn.UNIQUE(_xlfn.HSTACK(LineEntry, DateEntry, PayIDEntry)),
                    _xlfn.BYROW(_xlfn.UNIQUE(_xlfn.HSTACK(LineEntry, DateEntry, PayIDEntry)), _xlfn.LAMBDA(_xlpm.row, AND(_xlpm.row&lt;&gt;"")))
                ),
                _xlfn.SEQUENCE(9,1),
                {1,2,3}
            )
        ),
        3
    ),
    ""
)</f>
        <v>1</v>
      </c>
      <c r="M20" s="134">
        <v>2</v>
      </c>
      <c r="N20" s="134">
        <v>3</v>
      </c>
      <c r="O20" s="134">
        <v>5</v>
      </c>
      <c r="P20" s="134">
        <v>6</v>
      </c>
      <c r="Q20" s="134">
        <v>7</v>
      </c>
      <c r="R20" s="134">
        <v>8</v>
      </c>
      <c r="S20" s="134">
        <v>9</v>
      </c>
      <c r="T20" s="135" t="str">
        <v/>
      </c>
      <c r="U20" s="3" cm="1">
        <f t="array" ref="U20">SUMPRODUCT(--(TRIM(L20:T20)&lt;&gt;""))</f>
        <v>8</v>
      </c>
      <c r="V20" s="103" t="s">
        <v>313</v>
      </c>
      <c r="W20" s="100" cm="1">
        <f t="array" ref="W20:AD22">TRANSPOSE(_xlfn._xlws.SORT(TRANSPOSE(INDEX(L20:T22, _xlfn.SEQUENCE(ROWS(L20:T22)), _xlfn.SEQUENCE(,U20))), 1, TRUE))</f>
        <v>1</v>
      </c>
      <c r="X20" s="100">
        <v>2</v>
      </c>
      <c r="Y20" s="100">
        <v>3</v>
      </c>
      <c r="Z20" s="100">
        <v>5</v>
      </c>
      <c r="AA20" s="100">
        <v>6</v>
      </c>
      <c r="AB20" s="100">
        <v>7</v>
      </c>
      <c r="AC20" s="100">
        <v>8</v>
      </c>
      <c r="AD20" s="100">
        <v>9</v>
      </c>
      <c r="AE20" s="100"/>
      <c r="AL20" s="4"/>
      <c r="AM20" s="4"/>
      <c r="AN20" s="4"/>
      <c r="AO20" s="4"/>
      <c r="AP20" s="4"/>
      <c r="AQ20" s="4"/>
      <c r="AR20" s="4"/>
    </row>
    <row r="21" spans="1:50" s="3" customFormat="1" ht="16" customHeight="1">
      <c r="A21" s="32"/>
      <c r="B21" s="57"/>
      <c r="C21" s="224"/>
      <c r="D21" s="224"/>
      <c r="E21" s="224"/>
      <c r="F21" s="224"/>
      <c r="G21" s="224"/>
      <c r="H21" s="224"/>
      <c r="I21" s="59"/>
      <c r="K21" s="103" t="s">
        <v>314</v>
      </c>
      <c r="L21" s="136">
        <v>46023</v>
      </c>
      <c r="M21" s="137">
        <v>46023</v>
      </c>
      <c r="N21" s="137">
        <v>46023</v>
      </c>
      <c r="O21" s="137">
        <v>46023</v>
      </c>
      <c r="P21" s="137">
        <v>46023</v>
      </c>
      <c r="Q21" s="137">
        <v>46023</v>
      </c>
      <c r="R21" s="137">
        <v>46023</v>
      </c>
      <c r="S21" s="137">
        <v>46023</v>
      </c>
      <c r="T21" s="138" t="str">
        <v/>
      </c>
      <c r="V21" s="103" t="s">
        <v>314</v>
      </c>
      <c r="W21" s="101">
        <v>46023</v>
      </c>
      <c r="X21" s="101">
        <v>46023</v>
      </c>
      <c r="Y21" s="101">
        <v>46023</v>
      </c>
      <c r="Z21" s="101">
        <v>46023</v>
      </c>
      <c r="AA21" s="101">
        <v>46023</v>
      </c>
      <c r="AB21" s="101">
        <v>46023</v>
      </c>
      <c r="AC21" s="101">
        <v>46023</v>
      </c>
      <c r="AD21" s="101">
        <v>46023</v>
      </c>
      <c r="AE21" s="101"/>
      <c r="AL21" s="197"/>
    </row>
    <row r="22" spans="1:50" ht="30" customHeight="1" thickBot="1">
      <c r="A22" s="31"/>
      <c r="B22" s="273"/>
      <c r="C22" s="274"/>
      <c r="D22" s="275"/>
      <c r="E22" s="275"/>
      <c r="F22" s="275"/>
      <c r="G22" s="275"/>
      <c r="H22" s="275"/>
      <c r="I22" s="276"/>
      <c r="K22" s="103" t="s">
        <v>315</v>
      </c>
      <c r="L22" s="139" t="str">
        <v>CC Visa</v>
      </c>
      <c r="M22" s="140" t="str">
        <v>CC Visa</v>
      </c>
      <c r="N22" s="140" t="str">
        <v>CC Visa</v>
      </c>
      <c r="O22" s="140" t="str">
        <v>CC Visa</v>
      </c>
      <c r="P22" s="140" t="str">
        <v>CC Visa</v>
      </c>
      <c r="Q22" s="140" t="str">
        <v>CC Visa</v>
      </c>
      <c r="R22" s="140" t="str">
        <v>CC Visa</v>
      </c>
      <c r="S22" s="140" t="str">
        <v>CC Visa</v>
      </c>
      <c r="T22" s="141" t="str">
        <v/>
      </c>
      <c r="V22" s="103" t="s">
        <v>315</v>
      </c>
      <c r="W22" s="142" t="str">
        <v>CC Visa</v>
      </c>
      <c r="X22" s="142" t="str">
        <v>CC Visa</v>
      </c>
      <c r="Y22" s="142" t="str">
        <v>CC Visa</v>
      </c>
      <c r="Z22" s="142" t="str">
        <v>CC Visa</v>
      </c>
      <c r="AA22" s="142" t="str">
        <v>CC Visa</v>
      </c>
      <c r="AB22" s="142" t="str">
        <v>CC Visa</v>
      </c>
      <c r="AC22" s="142" t="str">
        <v>CC Visa</v>
      </c>
      <c r="AD22" s="142" t="str">
        <v>CC Visa</v>
      </c>
      <c r="AE22" s="102"/>
      <c r="AL22" s="3"/>
      <c r="AM22" s="3"/>
      <c r="AN22" s="3"/>
      <c r="AO22" s="3"/>
      <c r="AP22" s="3"/>
      <c r="AQ22" s="3"/>
      <c r="AR22" s="3"/>
      <c r="AS22" s="198"/>
      <c r="AT22" s="198"/>
      <c r="AU22" s="198"/>
      <c r="AV22" s="198"/>
      <c r="AW22" s="198"/>
      <c r="AX22" s="198"/>
    </row>
    <row r="23" spans="1:50" s="4" customFormat="1" ht="16" customHeight="1" thickBot="1">
      <c r="A23" s="33"/>
      <c r="B23" s="60" t="s">
        <v>4</v>
      </c>
      <c r="C23" s="277" t="s">
        <v>3</v>
      </c>
      <c r="D23" s="278"/>
      <c r="E23" s="34" t="s">
        <v>11</v>
      </c>
      <c r="F23" s="34" t="s">
        <v>17</v>
      </c>
      <c r="G23" s="34" t="s">
        <v>2</v>
      </c>
      <c r="H23" s="34" t="s">
        <v>1</v>
      </c>
      <c r="I23" s="61" t="s">
        <v>0</v>
      </c>
      <c r="W23" s="84" t="s">
        <v>307</v>
      </c>
      <c r="X23" s="84" t="s">
        <v>312</v>
      </c>
      <c r="Y23" s="84" t="s">
        <v>308</v>
      </c>
      <c r="Z23" s="84" t="s">
        <v>309</v>
      </c>
      <c r="AA23" s="84" t="s">
        <v>310</v>
      </c>
      <c r="AB23" s="84" t="s">
        <v>311</v>
      </c>
      <c r="AC23" s="84" t="s">
        <v>322</v>
      </c>
      <c r="AD23" s="84" t="s">
        <v>321</v>
      </c>
      <c r="AE23" s="84" t="s">
        <v>320</v>
      </c>
      <c r="AL23" s="1"/>
      <c r="AM23" s="1"/>
      <c r="AN23" s="1"/>
      <c r="AO23" s="1"/>
      <c r="AP23" s="1"/>
      <c r="AQ23" s="1"/>
      <c r="AR23" s="1"/>
    </row>
    <row r="24" spans="1:50" s="4" customFormat="1" ht="16" customHeight="1">
      <c r="A24" s="33"/>
      <c r="B24" s="88">
        <v>1</v>
      </c>
      <c r="C24" s="264"/>
      <c r="D24" s="265"/>
      <c r="E24" s="82">
        <v>46023</v>
      </c>
      <c r="F24" s="90" t="s">
        <v>367</v>
      </c>
      <c r="G24" s="6">
        <v>1</v>
      </c>
      <c r="H24" s="5">
        <v>100</v>
      </c>
      <c r="I24" s="62">
        <f>G24*H24</f>
        <v>100</v>
      </c>
      <c r="W24" s="99">
        <f>IF($B24="", "", IF(AND($I24, $B24=W$20, $E24=W$21, $F24=W$22, SUM($I$24)&gt;0), $I24, ""))</f>
        <v>100</v>
      </c>
      <c r="X24" s="99" t="str">
        <f t="shared" ref="X24:AE24" si="0">IF($B24="", "", IF(AND($I24, $B24=X$20, $E24=X$21, $F24=X$22, SUM($I$24)&gt;0), $I24, ""))</f>
        <v/>
      </c>
      <c r="Y24" s="99" t="str">
        <f t="shared" si="0"/>
        <v/>
      </c>
      <c r="Z24" s="99" t="str">
        <f>IF($B24="", "", IF(AND($I24, $B24=Z$20, $E24=Z$21, $F24=Z$22, SUM($I$24)&gt;0), $I24, ""))</f>
        <v/>
      </c>
      <c r="AA24" s="99" t="str">
        <f t="shared" si="0"/>
        <v/>
      </c>
      <c r="AB24" s="99" t="str">
        <f t="shared" si="0"/>
        <v/>
      </c>
      <c r="AC24" s="99" t="str">
        <f t="shared" si="0"/>
        <v/>
      </c>
      <c r="AD24" s="99" t="str">
        <f t="shared" si="0"/>
        <v/>
      </c>
      <c r="AE24" s="99" t="str">
        <f t="shared" si="0"/>
        <v/>
      </c>
    </row>
    <row r="25" spans="1:50" s="4" customFormat="1" ht="16" customHeight="1">
      <c r="A25" s="33"/>
      <c r="B25" s="88">
        <v>2</v>
      </c>
      <c r="C25" s="264"/>
      <c r="D25" s="265"/>
      <c r="E25" s="82">
        <v>46023</v>
      </c>
      <c r="F25" s="90" t="s">
        <v>367</v>
      </c>
      <c r="G25" s="6">
        <v>1</v>
      </c>
      <c r="H25" s="5">
        <v>2000</v>
      </c>
      <c r="I25" s="62">
        <f t="shared" ref="I25:I26" si="1">G25*H25</f>
        <v>2000</v>
      </c>
      <c r="W25" s="99" t="str">
        <f t="shared" ref="W25:AE26" si="2">IF($B25="", "", IF(AND($I25, $B25=W$20, $E25=W$21, $F25=W$22, SUM($I$24)&gt;0), $I25, ""))</f>
        <v/>
      </c>
      <c r="X25" s="99">
        <f t="shared" si="2"/>
        <v>2000</v>
      </c>
      <c r="Y25" s="99" t="str">
        <f t="shared" si="2"/>
        <v/>
      </c>
      <c r="Z25" s="99" t="str">
        <f t="shared" si="2"/>
        <v/>
      </c>
      <c r="AA25" s="99" t="str">
        <f t="shared" si="2"/>
        <v/>
      </c>
      <c r="AB25" s="99" t="str">
        <f t="shared" si="2"/>
        <v/>
      </c>
      <c r="AC25" s="99" t="str">
        <f t="shared" si="2"/>
        <v/>
      </c>
      <c r="AD25" s="99" t="str">
        <f t="shared" si="2"/>
        <v/>
      </c>
      <c r="AE25" s="99" t="str">
        <f t="shared" si="2"/>
        <v/>
      </c>
    </row>
    <row r="26" spans="1:50" s="4" customFormat="1" ht="16" customHeight="1">
      <c r="A26" s="33"/>
      <c r="B26" s="88">
        <v>3</v>
      </c>
      <c r="C26" s="264"/>
      <c r="D26" s="265"/>
      <c r="E26" s="82">
        <v>46023</v>
      </c>
      <c r="F26" s="90" t="s">
        <v>367</v>
      </c>
      <c r="G26" s="6">
        <v>1</v>
      </c>
      <c r="H26" s="5">
        <v>100</v>
      </c>
      <c r="I26" s="62">
        <f t="shared" si="1"/>
        <v>100</v>
      </c>
      <c r="W26" s="99" t="str">
        <f t="shared" si="2"/>
        <v/>
      </c>
      <c r="X26" s="99" t="str">
        <f t="shared" si="2"/>
        <v/>
      </c>
      <c r="Y26" s="99">
        <f t="shared" si="2"/>
        <v>100</v>
      </c>
      <c r="Z26" s="99" t="str">
        <f t="shared" si="2"/>
        <v/>
      </c>
      <c r="AA26" s="99" t="str">
        <f t="shared" si="2"/>
        <v/>
      </c>
      <c r="AB26" s="99" t="str">
        <f t="shared" si="2"/>
        <v/>
      </c>
      <c r="AC26" s="99" t="str">
        <f t="shared" si="2"/>
        <v/>
      </c>
      <c r="AD26" s="99" t="str">
        <f t="shared" si="2"/>
        <v/>
      </c>
      <c r="AE26" s="99" t="str">
        <f t="shared" si="2"/>
        <v/>
      </c>
    </row>
    <row r="27" spans="1:50" s="4" customFormat="1" ht="16">
      <c r="A27" s="33"/>
      <c r="B27" s="88"/>
      <c r="C27" s="264"/>
      <c r="D27" s="265"/>
      <c r="E27" s="82">
        <v>46023</v>
      </c>
      <c r="F27" s="90" t="s">
        <v>367</v>
      </c>
      <c r="G27" s="6">
        <v>1</v>
      </c>
      <c r="H27" s="5">
        <v>100</v>
      </c>
      <c r="I27" s="62">
        <f t="shared" ref="I27:I35" si="3">G27*H27</f>
        <v>100</v>
      </c>
      <c r="W27" s="99" t="str">
        <f t="shared" ref="W27:AE35" si="4">IF($B27="", "", IF(AND($I27, $B27=W$20, $E27=W$21, $F27=W$22, SUM($I$24)&gt;0), $I27, ""))</f>
        <v/>
      </c>
      <c r="X27" s="99" t="str">
        <f t="shared" si="4"/>
        <v/>
      </c>
      <c r="Y27" s="99" t="str">
        <f t="shared" si="4"/>
        <v/>
      </c>
      <c r="Z27" s="99" t="str">
        <f t="shared" si="4"/>
        <v/>
      </c>
      <c r="AA27" s="99" t="str">
        <f t="shared" si="4"/>
        <v/>
      </c>
      <c r="AB27" s="99" t="str">
        <f t="shared" si="4"/>
        <v/>
      </c>
      <c r="AC27" s="99" t="str">
        <f t="shared" si="4"/>
        <v/>
      </c>
      <c r="AD27" s="99" t="str">
        <f t="shared" si="4"/>
        <v/>
      </c>
      <c r="AE27" s="99" t="str">
        <f t="shared" si="4"/>
        <v/>
      </c>
    </row>
    <row r="28" spans="1:50" s="4" customFormat="1" ht="16" customHeight="1">
      <c r="A28" s="33"/>
      <c r="B28" s="88">
        <v>5</v>
      </c>
      <c r="C28" s="264"/>
      <c r="D28" s="265"/>
      <c r="E28" s="82">
        <v>46023</v>
      </c>
      <c r="F28" s="90" t="s">
        <v>367</v>
      </c>
      <c r="G28" s="6">
        <v>1</v>
      </c>
      <c r="H28" s="5">
        <v>100</v>
      </c>
      <c r="I28" s="62">
        <f t="shared" si="3"/>
        <v>100</v>
      </c>
      <c r="W28" s="99" t="str">
        <f t="shared" si="4"/>
        <v/>
      </c>
      <c r="X28" s="99" t="str">
        <f t="shared" si="4"/>
        <v/>
      </c>
      <c r="Y28" s="99" t="str">
        <f t="shared" si="4"/>
        <v/>
      </c>
      <c r="Z28" s="99">
        <f t="shared" si="4"/>
        <v>100</v>
      </c>
      <c r="AA28" s="99" t="str">
        <f t="shared" si="4"/>
        <v/>
      </c>
      <c r="AB28" s="99" t="str">
        <f t="shared" si="4"/>
        <v/>
      </c>
      <c r="AC28" s="99" t="str">
        <f t="shared" si="4"/>
        <v/>
      </c>
      <c r="AD28" s="99" t="str">
        <f t="shared" si="4"/>
        <v/>
      </c>
      <c r="AE28" s="99" t="str">
        <f t="shared" si="4"/>
        <v/>
      </c>
    </row>
    <row r="29" spans="1:50" s="4" customFormat="1" ht="16" customHeight="1">
      <c r="A29" s="33"/>
      <c r="B29" s="88">
        <v>6</v>
      </c>
      <c r="C29" s="264"/>
      <c r="D29" s="265"/>
      <c r="E29" s="82">
        <v>46023</v>
      </c>
      <c r="F29" s="90" t="s">
        <v>367</v>
      </c>
      <c r="G29" s="6">
        <v>1</v>
      </c>
      <c r="H29" s="5">
        <v>100</v>
      </c>
      <c r="I29" s="62">
        <f t="shared" si="3"/>
        <v>100</v>
      </c>
      <c r="W29" s="99" t="str">
        <f t="shared" si="4"/>
        <v/>
      </c>
      <c r="X29" s="99" t="str">
        <f t="shared" si="4"/>
        <v/>
      </c>
      <c r="Y29" s="99" t="str">
        <f t="shared" si="4"/>
        <v/>
      </c>
      <c r="Z29" s="99" t="str">
        <f t="shared" si="4"/>
        <v/>
      </c>
      <c r="AA29" s="99">
        <f t="shared" si="4"/>
        <v>100</v>
      </c>
      <c r="AB29" s="99" t="str">
        <f t="shared" si="4"/>
        <v/>
      </c>
      <c r="AC29" s="99" t="str">
        <f t="shared" si="4"/>
        <v/>
      </c>
      <c r="AD29" s="99" t="str">
        <f t="shared" si="4"/>
        <v/>
      </c>
      <c r="AE29" s="99" t="str">
        <f t="shared" si="4"/>
        <v/>
      </c>
    </row>
    <row r="30" spans="1:50" s="4" customFormat="1" ht="16" customHeight="1">
      <c r="A30" s="33"/>
      <c r="B30" s="88">
        <v>7</v>
      </c>
      <c r="C30" s="264"/>
      <c r="D30" s="265"/>
      <c r="E30" s="82">
        <v>46023</v>
      </c>
      <c r="F30" s="90" t="s">
        <v>367</v>
      </c>
      <c r="G30" s="6">
        <v>1</v>
      </c>
      <c r="H30" s="5">
        <v>100</v>
      </c>
      <c r="I30" s="62">
        <f t="shared" si="3"/>
        <v>100</v>
      </c>
      <c r="W30" s="99" t="str">
        <f t="shared" si="4"/>
        <v/>
      </c>
      <c r="X30" s="99" t="str">
        <f t="shared" si="4"/>
        <v/>
      </c>
      <c r="Y30" s="99" t="str">
        <f t="shared" si="4"/>
        <v/>
      </c>
      <c r="Z30" s="99" t="str">
        <f t="shared" si="4"/>
        <v/>
      </c>
      <c r="AA30" s="99" t="str">
        <f t="shared" si="4"/>
        <v/>
      </c>
      <c r="AB30" s="99">
        <f t="shared" si="4"/>
        <v>100</v>
      </c>
      <c r="AC30" s="99" t="str">
        <f t="shared" si="4"/>
        <v/>
      </c>
      <c r="AD30" s="99" t="str">
        <f t="shared" si="4"/>
        <v/>
      </c>
      <c r="AE30" s="99" t="str">
        <f t="shared" si="4"/>
        <v/>
      </c>
    </row>
    <row r="31" spans="1:50" s="4" customFormat="1" ht="16" customHeight="1">
      <c r="A31" s="33"/>
      <c r="B31" s="88">
        <v>8</v>
      </c>
      <c r="C31" s="264"/>
      <c r="D31" s="265"/>
      <c r="E31" s="82">
        <v>46023</v>
      </c>
      <c r="F31" s="90" t="s">
        <v>367</v>
      </c>
      <c r="G31" s="6">
        <v>1</v>
      </c>
      <c r="H31" s="5">
        <v>100</v>
      </c>
      <c r="I31" s="62">
        <f t="shared" si="3"/>
        <v>100</v>
      </c>
      <c r="W31" s="99" t="str">
        <f t="shared" si="4"/>
        <v/>
      </c>
      <c r="X31" s="99" t="str">
        <f t="shared" si="4"/>
        <v/>
      </c>
      <c r="Y31" s="99" t="str">
        <f t="shared" si="4"/>
        <v/>
      </c>
      <c r="Z31" s="99" t="str">
        <f t="shared" si="4"/>
        <v/>
      </c>
      <c r="AA31" s="99" t="str">
        <f t="shared" si="4"/>
        <v/>
      </c>
      <c r="AB31" s="99" t="str">
        <f t="shared" si="4"/>
        <v/>
      </c>
      <c r="AC31" s="99">
        <f t="shared" si="4"/>
        <v>100</v>
      </c>
      <c r="AD31" s="99" t="str">
        <f t="shared" si="4"/>
        <v/>
      </c>
      <c r="AE31" s="99" t="str">
        <f t="shared" si="4"/>
        <v/>
      </c>
    </row>
    <row r="32" spans="1:50" s="4" customFormat="1" ht="16" customHeight="1">
      <c r="A32" s="33"/>
      <c r="B32" s="88">
        <v>9</v>
      </c>
      <c r="C32" s="264"/>
      <c r="D32" s="265"/>
      <c r="E32" s="82">
        <v>46023</v>
      </c>
      <c r="F32" s="90" t="s">
        <v>367</v>
      </c>
      <c r="G32" s="6">
        <v>1</v>
      </c>
      <c r="H32" s="5">
        <v>500</v>
      </c>
      <c r="I32" s="62">
        <f t="shared" si="3"/>
        <v>500</v>
      </c>
      <c r="W32" s="99" t="str">
        <f t="shared" si="4"/>
        <v/>
      </c>
      <c r="X32" s="99" t="str">
        <f t="shared" si="4"/>
        <v/>
      </c>
      <c r="Y32" s="99" t="str">
        <f t="shared" si="4"/>
        <v/>
      </c>
      <c r="Z32" s="99" t="str">
        <f t="shared" si="4"/>
        <v/>
      </c>
      <c r="AA32" s="99" t="str">
        <f t="shared" si="4"/>
        <v/>
      </c>
      <c r="AB32" s="99" t="str">
        <f t="shared" si="4"/>
        <v/>
      </c>
      <c r="AC32" s="99" t="str">
        <f t="shared" si="4"/>
        <v/>
      </c>
      <c r="AD32" s="99">
        <f t="shared" si="4"/>
        <v>500</v>
      </c>
      <c r="AE32" s="99" t="str">
        <f t="shared" si="4"/>
        <v/>
      </c>
    </row>
    <row r="33" spans="1:41" s="4" customFormat="1" ht="16" customHeight="1">
      <c r="A33" s="33"/>
      <c r="B33" s="88"/>
      <c r="C33" s="264"/>
      <c r="D33" s="265"/>
      <c r="E33" s="82"/>
      <c r="F33" s="90"/>
      <c r="G33" s="6"/>
      <c r="H33" s="5"/>
      <c r="I33" s="62">
        <f t="shared" si="3"/>
        <v>0</v>
      </c>
      <c r="W33" s="99" t="str">
        <f t="shared" si="4"/>
        <v/>
      </c>
      <c r="X33" s="99" t="str">
        <f t="shared" si="4"/>
        <v/>
      </c>
      <c r="Y33" s="99" t="str">
        <f t="shared" si="4"/>
        <v/>
      </c>
      <c r="Z33" s="99" t="str">
        <f t="shared" si="4"/>
        <v/>
      </c>
      <c r="AA33" s="99" t="str">
        <f t="shared" si="4"/>
        <v/>
      </c>
      <c r="AB33" s="99" t="str">
        <f t="shared" si="4"/>
        <v/>
      </c>
      <c r="AC33" s="99" t="str">
        <f t="shared" si="4"/>
        <v/>
      </c>
      <c r="AD33" s="99" t="str">
        <f t="shared" si="4"/>
        <v/>
      </c>
      <c r="AE33" s="99" t="str">
        <f t="shared" si="4"/>
        <v/>
      </c>
    </row>
    <row r="34" spans="1:41" s="4" customFormat="1" ht="16" customHeight="1">
      <c r="A34" s="33"/>
      <c r="B34" s="88"/>
      <c r="C34" s="264"/>
      <c r="D34" s="265"/>
      <c r="E34" s="82"/>
      <c r="F34" s="90"/>
      <c r="G34" s="6"/>
      <c r="H34" s="5"/>
      <c r="I34" s="62">
        <f t="shared" si="3"/>
        <v>0</v>
      </c>
      <c r="W34" s="99" t="str">
        <f t="shared" si="4"/>
        <v/>
      </c>
      <c r="X34" s="99" t="str">
        <f t="shared" si="4"/>
        <v/>
      </c>
      <c r="Y34" s="99" t="str">
        <f t="shared" si="4"/>
        <v/>
      </c>
      <c r="Z34" s="99" t="str">
        <f t="shared" si="4"/>
        <v/>
      </c>
      <c r="AA34" s="99" t="str">
        <f t="shared" si="4"/>
        <v/>
      </c>
      <c r="AB34" s="99" t="str">
        <f t="shared" si="4"/>
        <v/>
      </c>
      <c r="AC34" s="99" t="str">
        <f t="shared" si="4"/>
        <v/>
      </c>
      <c r="AD34" s="99" t="str">
        <f t="shared" si="4"/>
        <v/>
      </c>
      <c r="AE34" s="99" t="str">
        <f t="shared" si="4"/>
        <v/>
      </c>
    </row>
    <row r="35" spans="1:41" s="4" customFormat="1" ht="16" customHeight="1" thickBot="1">
      <c r="A35" s="33"/>
      <c r="B35" s="89"/>
      <c r="C35" s="279"/>
      <c r="D35" s="280"/>
      <c r="E35" s="35"/>
      <c r="F35" s="91"/>
      <c r="G35" s="35"/>
      <c r="H35" s="36"/>
      <c r="I35" s="63">
        <f t="shared" si="3"/>
        <v>0</v>
      </c>
      <c r="W35" s="4" t="str">
        <f t="shared" si="4"/>
        <v/>
      </c>
      <c r="X35" s="4" t="str">
        <f t="shared" si="4"/>
        <v/>
      </c>
      <c r="Y35" s="4" t="str">
        <f t="shared" si="4"/>
        <v/>
      </c>
      <c r="Z35" s="4" t="str">
        <f t="shared" si="4"/>
        <v/>
      </c>
      <c r="AA35" s="4" t="str">
        <f t="shared" si="4"/>
        <v/>
      </c>
      <c r="AB35" s="4" t="str">
        <f t="shared" si="4"/>
        <v/>
      </c>
      <c r="AC35" s="4" t="str">
        <f t="shared" si="4"/>
        <v/>
      </c>
      <c r="AD35" s="4" t="str">
        <f t="shared" si="4"/>
        <v/>
      </c>
      <c r="AE35" s="4" t="str">
        <f t="shared" si="4"/>
        <v/>
      </c>
    </row>
    <row r="36" spans="1:41" s="4" customFormat="1" ht="16" customHeight="1" thickBot="1">
      <c r="A36" s="33"/>
      <c r="B36" s="64"/>
      <c r="C36" s="225"/>
      <c r="D36" s="225"/>
      <c r="E36" s="225"/>
      <c r="F36" s="225"/>
      <c r="G36" s="226"/>
      <c r="H36" s="226"/>
      <c r="I36" s="65"/>
      <c r="W36" s="104">
        <f>IF(SUM($W$24:$W$35), SUM($W$24:$W$35),"")</f>
        <v>100</v>
      </c>
      <c r="X36" s="105">
        <f>IF(SUM($X$24:$X$35), SUM($X24:$X35),"")</f>
        <v>2000</v>
      </c>
      <c r="Y36" s="106">
        <f>IF(SUM($Y$24:$Y$35), SUM($Y$24:$Y$35),"")</f>
        <v>100</v>
      </c>
      <c r="Z36" s="106">
        <f>IF(SUM($Z$24:$Z$35), SUM($Z$24:$Z$35),"")</f>
        <v>100</v>
      </c>
      <c r="AA36" s="106">
        <f>IF(SUM($AA$24:$AA$35), SUM($AA$24:$AA$35),"")</f>
        <v>100</v>
      </c>
      <c r="AB36" s="107">
        <f>IF(SUM($AB$24:$AB$35), SUM($AB$24:$AB$35),"")</f>
        <v>100</v>
      </c>
      <c r="AC36" s="107">
        <f>IF(SUM($AC$24:$AC$35), SUM($AC$24:$AC$35),"")</f>
        <v>100</v>
      </c>
      <c r="AD36" s="107">
        <f>IF(SUM($AD$24:$AD$35), SUM($AD$24:$AD$35),"")</f>
        <v>500</v>
      </c>
      <c r="AE36" s="107" t="str">
        <f>IF(SUM($AE$24:$AE$35), SUM($AE$24:$AE$35),"")</f>
        <v/>
      </c>
    </row>
    <row r="37" spans="1:41" s="4" customFormat="1" ht="16" customHeight="1" thickBot="1">
      <c r="A37" s="33"/>
      <c r="B37" s="66" t="s">
        <v>262</v>
      </c>
      <c r="C37" s="2"/>
      <c r="D37" s="2"/>
      <c r="E37" s="227"/>
      <c r="F37" s="228"/>
      <c r="G37" s="73" t="s">
        <v>260</v>
      </c>
      <c r="H37" s="74"/>
      <c r="I37" s="75">
        <f>SUM(I23:I35)</f>
        <v>3200</v>
      </c>
      <c r="W37" s="95" t="s">
        <v>307</v>
      </c>
      <c r="X37" s="96" t="s">
        <v>312</v>
      </c>
      <c r="Y37" s="97" t="s">
        <v>308</v>
      </c>
      <c r="Z37" s="97" t="s">
        <v>309</v>
      </c>
      <c r="AA37" s="97" t="s">
        <v>310</v>
      </c>
      <c r="AB37" s="98" t="s">
        <v>311</v>
      </c>
      <c r="AC37" s="84" t="s">
        <v>322</v>
      </c>
      <c r="AD37" s="84" t="s">
        <v>321</v>
      </c>
      <c r="AE37" s="84" t="s">
        <v>320</v>
      </c>
    </row>
    <row r="38" spans="1:41" s="4" customFormat="1" ht="16" customHeight="1" thickBot="1">
      <c r="A38" s="33"/>
      <c r="B38" s="66"/>
      <c r="C38" s="272"/>
      <c r="D38" s="272"/>
      <c r="E38" s="229"/>
      <c r="F38" s="230"/>
      <c r="G38" s="76"/>
      <c r="H38" s="231"/>
      <c r="I38" s="67"/>
      <c r="AH38" s="87"/>
    </row>
    <row r="39" spans="1:41" s="4" customFormat="1" ht="25" customHeight="1" thickBot="1">
      <c r="A39" s="33"/>
      <c r="B39" s="66"/>
      <c r="C39" s="1"/>
      <c r="D39" s="1"/>
      <c r="E39" s="230"/>
      <c r="F39" s="230"/>
      <c r="G39" s="76" t="s">
        <v>259</v>
      </c>
      <c r="H39" s="230" t="s">
        <v>261</v>
      </c>
      <c r="I39" s="68"/>
      <c r="AH39" s="284"/>
      <c r="AI39" s="259" t="s">
        <v>316</v>
      </c>
      <c r="AJ39" s="259"/>
      <c r="AK39" s="259"/>
      <c r="AL39" s="259"/>
      <c r="AM39" s="259"/>
      <c r="AN39" s="259"/>
      <c r="AO39" s="260"/>
    </row>
    <row r="40" spans="1:41" ht="16" customHeight="1">
      <c r="A40" s="31"/>
      <c r="B40" s="66" t="s">
        <v>263</v>
      </c>
      <c r="C40" s="2"/>
      <c r="D40" s="2"/>
      <c r="E40" s="228"/>
      <c r="F40" s="228"/>
      <c r="G40" s="76" t="s">
        <v>20</v>
      </c>
      <c r="H40" s="230"/>
      <c r="I40" s="69">
        <f>SUM(I37:I39)</f>
        <v>3200</v>
      </c>
      <c r="AH40" s="285" t="s">
        <v>318</v>
      </c>
      <c r="AI40" s="201" t="s">
        <v>4</v>
      </c>
      <c r="AJ40" s="121" t="s">
        <v>15</v>
      </c>
      <c r="AK40" s="121" t="s">
        <v>16</v>
      </c>
      <c r="AL40" s="122" t="s">
        <v>11</v>
      </c>
      <c r="AM40" s="121" t="s">
        <v>17</v>
      </c>
      <c r="AN40" s="123" t="s">
        <v>241</v>
      </c>
      <c r="AO40" s="202" t="s">
        <v>18</v>
      </c>
    </row>
    <row r="41" spans="1:41" ht="16" customHeight="1" thickBot="1">
      <c r="B41" s="70"/>
      <c r="C41" s="71"/>
      <c r="D41" s="71"/>
      <c r="E41" s="71"/>
      <c r="F41" s="71"/>
      <c r="G41" s="70"/>
      <c r="H41" s="71"/>
      <c r="I41" s="72"/>
      <c r="AH41" s="286" t="str">
        <f>IF(SUM($W$24:$W$35), "#A","")</f>
        <v>#A</v>
      </c>
      <c r="AI41" s="113">
        <f>IF('TEMPLATE-SHEET'!$AH41="#A", W20,"")</f>
        <v>1</v>
      </c>
      <c r="AJ41" s="114" t="str">
        <f>IF('TEMPLATE-SHEET'!$AH41="#A", Vendor,"")</f>
        <v>Vendor</v>
      </c>
      <c r="AK41" s="115" t="str">
        <f>IF('TEMPLATE-SHEET'!$AH41="#A", Sheet_PO,"")</f>
        <v>{{PO_NUMBER}}</v>
      </c>
      <c r="AL41" s="116">
        <f>IF('TEMPLATE-SHEET'!$AH41="#A", W$21,"")</f>
        <v>46023</v>
      </c>
      <c r="AM41" s="281" t="str">
        <f>IF('TEMPLATE-SHEET'!$AH41="#A", W$22,"")</f>
        <v>CC Visa</v>
      </c>
      <c r="AN41" s="117">
        <f>IF('TEMPLATE-SHEET'!$AH41="#A", W$36,"")</f>
        <v>100</v>
      </c>
      <c r="AO41" s="203" t="str">
        <f>IF('TEMPLATE-SHEET'!$AH41="#A",
      INDEX('Line No'!$B$1:$B$374, MATCH('TEMPLATE-SHEET'!$AI41, 'Line No'!$A$1:$A$374, 0)),
      "")</f>
        <v>Line Producer</v>
      </c>
    </row>
    <row r="42" spans="1:41" ht="16" customHeight="1">
      <c r="AH42" s="287" t="str">
        <f>IF(SUM($X$24:$X$34), "#B", "")</f>
        <v>#B</v>
      </c>
      <c r="AI42" s="208">
        <f>IF('TEMPLATE-SHEET'!$AH42="#B", X20,"")</f>
        <v>2</v>
      </c>
      <c r="AJ42" s="118" t="str">
        <f>IF('TEMPLATE-SHEET'!$AH42="#B", Vendor,"")</f>
        <v>Vendor</v>
      </c>
      <c r="AK42" s="118" t="str">
        <f>IF('TEMPLATE-SHEET'!$AH42="#B", Sheet_PO,"")</f>
        <v>{{PO_NUMBER}}</v>
      </c>
      <c r="AL42" s="119">
        <f>IF('TEMPLATE-SHEET'!$AH42="#B", X21,"")</f>
        <v>46023</v>
      </c>
      <c r="AM42" s="282" t="str">
        <f>IF('TEMPLATE-SHEET'!$AH42="#B", X22,"")</f>
        <v>CC Visa</v>
      </c>
      <c r="AN42" s="120">
        <f>IF('TEMPLATE-SHEET'!$AH42="#B", X36,"")</f>
        <v>2000</v>
      </c>
      <c r="AO42" s="204" t="str">
        <f>IF('TEMPLATE-SHEET'!$AH42="#B",
      INDEX('Line No'!$B$1:$B$374, MATCH('TEMPLATE-SHEET'!$AI42, 'Line No'!$A$1:$A$374, 0)),
      "")</f>
        <v>Assistant Director</v>
      </c>
    </row>
    <row r="43" spans="1:41" ht="16" customHeight="1">
      <c r="G43" s="39"/>
      <c r="H43" s="39"/>
      <c r="I43" s="39"/>
      <c r="AH43" s="288" t="str">
        <f>IF(SUM($Y$24:$Y$34), "#C", "")</f>
        <v>#C</v>
      </c>
      <c r="AI43" s="113">
        <f>IF('TEMPLATE-SHEET'!$AH43="#C", Y20,"")</f>
        <v>3</v>
      </c>
      <c r="AJ43" s="114" t="str">
        <f>IF('TEMPLATE-SHEET'!$AH43="#C", Vendor,"")</f>
        <v>Vendor</v>
      </c>
      <c r="AK43" s="115" t="str">
        <f>IF('TEMPLATE-SHEET'!$AH43="#C", Sheet_PO,"")</f>
        <v>{{PO_NUMBER}}</v>
      </c>
      <c r="AL43" s="116">
        <f>IF('TEMPLATE-SHEET'!$AH43="#C", Y21,"")</f>
        <v>46023</v>
      </c>
      <c r="AM43" s="281" t="str">
        <f>IF('TEMPLATE-SHEET'!$AH43="#C", Y22,"")</f>
        <v>CC Visa</v>
      </c>
      <c r="AN43" s="117">
        <f>IF('TEMPLATE-SHEET'!$AH43="#C", Y36,"")</f>
        <v>100</v>
      </c>
      <c r="AO43" s="203" t="str">
        <f>IF('TEMPLATE-SHEET'!$AH43="#C",
      INDEX('Line No'!$B$1:$B$374, MATCH('TEMPLATE-SHEET'!$AI43, 'Line No'!$A$1:$A$374, 0)),
      "")</f>
        <v>Director of Photography</v>
      </c>
    </row>
    <row r="44" spans="1:41" ht="16" customHeight="1">
      <c r="G44" s="39"/>
      <c r="H44" s="94"/>
      <c r="I44" s="39"/>
      <c r="AH44" s="287" t="str">
        <f>IF(SUM($Z$24:$Z$34), "#D", "")</f>
        <v>#D</v>
      </c>
      <c r="AI44" s="208">
        <f>IF('TEMPLATE-SHEET'!$AH44="#D", Z20,"")</f>
        <v>5</v>
      </c>
      <c r="AJ44" s="118" t="str">
        <f>IF('TEMPLATE-SHEET'!$AH44="#D", Vendor,"")</f>
        <v>Vendor</v>
      </c>
      <c r="AK44" s="118" t="str">
        <f>IF('TEMPLATE-SHEET'!$AH44="#D", Sheet_PO,"")</f>
        <v>{{PO_NUMBER}}</v>
      </c>
      <c r="AL44" s="119">
        <f>IF('TEMPLATE-SHEET'!$AH44="#D", Z21,"")</f>
        <v>46023</v>
      </c>
      <c r="AM44" s="282" t="str">
        <f>IF('TEMPLATE-SHEET'!$AH44="#D", Z22,"")</f>
        <v>CC Visa</v>
      </c>
      <c r="AN44" s="120">
        <f>IF('TEMPLATE-SHEET'!$AH44="#D", Z36,"")</f>
        <v>100</v>
      </c>
      <c r="AO44" s="204" t="str">
        <f>IF('TEMPLATE-SHEET'!$AH44="#D",
      INDEX('Line No'!$B$1:$B$374, MATCH('TEMPLATE-SHEET'!$AI44, 'Line No'!$A$1:$A$374, 0)),
      "")</f>
        <v>1st AC</v>
      </c>
    </row>
    <row r="45" spans="1:41" ht="16" customHeight="1">
      <c r="C45" s="108"/>
      <c r="D45" s="108"/>
      <c r="E45" s="108"/>
      <c r="F45" s="108"/>
      <c r="G45" s="40"/>
      <c r="H45" s="40"/>
      <c r="I45" s="41"/>
      <c r="AH45" s="288" t="str">
        <f>IF(SUM($AA$24:$AA$34), "#E", "")</f>
        <v>#E</v>
      </c>
      <c r="AI45" s="113">
        <f>IF('TEMPLATE-SHEET'!$AH45="#E", AA20,"")</f>
        <v>6</v>
      </c>
      <c r="AJ45" s="114" t="str">
        <f>IF('TEMPLATE-SHEET'!$AH45="#E", Vendor,"")</f>
        <v>Vendor</v>
      </c>
      <c r="AK45" s="115" t="str">
        <f>IF('TEMPLATE-SHEET'!$AH45="#E", Sheet_PO,"")</f>
        <v>{{PO_NUMBER}}</v>
      </c>
      <c r="AL45" s="116">
        <f>IF('TEMPLATE-SHEET'!$AH45="#E", AA21,"")</f>
        <v>46023</v>
      </c>
      <c r="AM45" s="281" t="str">
        <f>IF('TEMPLATE-SHEET'!$AH45="#E", AA22,"")</f>
        <v>CC Visa</v>
      </c>
      <c r="AN45" s="117">
        <f>IF('TEMPLATE-SHEET'!$AH45="#E", AA36,"")</f>
        <v>100</v>
      </c>
      <c r="AO45" s="203" t="str">
        <f>IF('TEMPLATE-SHEET'!$AH45="#E",
      INDEX('Line No'!$B$1:$B$374, MATCH('TEMPLATE-SHEET'!$AI45, 'Line No'!$A$1:$A$374, 0)),
      "")</f>
        <v>2nd AC</v>
      </c>
    </row>
    <row r="46" spans="1:41" ht="16" customHeight="1">
      <c r="AH46" s="287" t="str">
        <f>IF(SUM($AB$24:$AB$34), "#F", "")</f>
        <v>#F</v>
      </c>
      <c r="AI46" s="208">
        <f>IF('TEMPLATE-SHEET'!$AH46="#F", AB20,"")</f>
        <v>7</v>
      </c>
      <c r="AJ46" s="118" t="str">
        <f>IF('TEMPLATE-SHEET'!$AH46="#F", Vendor,"")</f>
        <v>Vendor</v>
      </c>
      <c r="AK46" s="118" t="str">
        <f>IF('TEMPLATE-SHEET'!$AH46="#F", Sheet_PO,"")</f>
        <v>{{PO_NUMBER}}</v>
      </c>
      <c r="AL46" s="119">
        <f>IF('TEMPLATE-SHEET'!$AH46="#F", AB21,"")</f>
        <v>46023</v>
      </c>
      <c r="AM46" s="282" t="str">
        <f>IF('TEMPLATE-SHEET'!$AH46="#F", AB22,"")</f>
        <v>CC Visa</v>
      </c>
      <c r="AN46" s="120">
        <f>IF('TEMPLATE-SHEET'!$AH46="#F", AB36,"")</f>
        <v>100</v>
      </c>
      <c r="AO46" s="204" t="str">
        <f>IF('TEMPLATE-SHEET'!$AH46="#F",
      INDEX('Line No'!$B$1:$B$374, MATCH('TEMPLATE-SHEET'!$AI46, 'Line No'!$A$1:$A$374, 0)),
      "")</f>
        <v>Phantom Tech</v>
      </c>
    </row>
    <row r="47" spans="1:41" ht="16" customHeight="1">
      <c r="AH47" s="288" t="str">
        <f>IF(SUM($AC$24:$AC$34), "#G", "")</f>
        <v>#G</v>
      </c>
      <c r="AI47" s="113">
        <f>IF('TEMPLATE-SHEET'!$AH47="#G", AC20,"")</f>
        <v>8</v>
      </c>
      <c r="AJ47" s="114" t="str">
        <f>IF('TEMPLATE-SHEET'!$AH47="#G", Vendor,"")</f>
        <v>Vendor</v>
      </c>
      <c r="AK47" s="115" t="str">
        <f>IF('TEMPLATE-SHEET'!$AH47="#G", Sheet_PO,"")</f>
        <v>{{PO_NUMBER}}</v>
      </c>
      <c r="AL47" s="291">
        <f>IF('TEMPLATE-SHEET'!$AH47="#G", AC21,"")</f>
        <v>46023</v>
      </c>
      <c r="AM47" s="289" t="str">
        <f>IF('TEMPLATE-SHEET'!$AH47="#G", AC22,"")</f>
        <v>CC Visa</v>
      </c>
      <c r="AN47" s="117">
        <f>IF('TEMPLATE-SHEET'!$AH47="#G", AC36,"")</f>
        <v>100</v>
      </c>
      <c r="AO47" s="203" t="str">
        <f>IF('TEMPLATE-SHEET'!$AH47="#G",
      INDEX('Line No'!$B$1:$B$374, MATCH('TEMPLATE-SHEET'!$AI47, 'Line No'!$A$1:$A$374, 0)),
      "")</f>
        <v>DIT</v>
      </c>
    </row>
    <row r="48" spans="1:41" ht="16" customHeight="1">
      <c r="AH48" s="287" t="str">
        <f>IF(SUM($AD$24:$AD$34), "#H", "")</f>
        <v>#H</v>
      </c>
      <c r="AI48" s="208">
        <f>IF('TEMPLATE-SHEET'!$AH48="#H", AD20,"")</f>
        <v>9</v>
      </c>
      <c r="AJ48" s="118" t="str">
        <f>IF('TEMPLATE-SHEET'!$AH48="#H", Vendor,"")</f>
        <v>Vendor</v>
      </c>
      <c r="AK48" s="118" t="str">
        <f>IF('TEMPLATE-SHEET'!$AH48="#H", Sheet_PO,"")</f>
        <v>{{PO_NUMBER}}</v>
      </c>
      <c r="AL48" s="292">
        <f>IF('TEMPLATE-SHEET'!$AH48="#H", AD21,"")</f>
        <v>46023</v>
      </c>
      <c r="AM48" s="283" t="str">
        <f>IF('TEMPLATE-SHEET'!$AH48="#H", AD22,"")</f>
        <v>CC Visa</v>
      </c>
      <c r="AN48" s="120">
        <f>IF('TEMPLATE-SHEET'!$AH48="#H", AD36,"")</f>
        <v>500</v>
      </c>
      <c r="AO48" s="204" t="str">
        <f>IF('TEMPLATE-SHEET'!$AH48="#H",
      INDEX('Line No'!$B$1:$B$374, MATCH('TEMPLATE-SHEET'!$AI48, 'Line No'!$A$1:$A$374, 0)),
      "")</f>
        <v>Crane Operator</v>
      </c>
    </row>
    <row r="49" spans="22:41" ht="16" customHeight="1" thickBot="1">
      <c r="V49" s="1" cm="1">
        <f t="array" ref="V49">SUMPRODUCT(--(AH41:AH49&lt;&gt;""))</f>
        <v>8</v>
      </c>
      <c r="AH49" s="209" t="str">
        <f>IF(SUM($AE$24:$AE$34), "#OTHER", "")</f>
        <v/>
      </c>
      <c r="AI49" s="113" t="str">
        <f>IF('TEMPLATE-SHEET'!$AH49="#OTHER", AE20,"")</f>
        <v/>
      </c>
      <c r="AJ49" s="205" t="str">
        <f>IF('TEMPLATE-SHEET'!$AH49="#OTHER", Vendor,"")</f>
        <v/>
      </c>
      <c r="AK49" s="115" t="str">
        <f>IF('TEMPLATE-SHEET'!$AH49="#OTHER", Sheet_PO,"")</f>
        <v/>
      </c>
      <c r="AL49" s="291" t="str">
        <f>IF('TEMPLATE-SHEET'!$AH49="#OTHER", AE21,"")</f>
        <v/>
      </c>
      <c r="AM49" s="290" t="str">
        <f>IF('TEMPLATE-SHEET'!$AH49="#OTHER", AE22,"")</f>
        <v/>
      </c>
      <c r="AN49" s="206" t="str">
        <f>IF('TEMPLATE-SHEET'!$AH49="#OTHER", AE36,"")</f>
        <v/>
      </c>
      <c r="AO49" s="207" t="str">
        <f>IF('TEMPLATE-SHEET'!$AH49="#OTHER",
      INDEX('Line No'!$B$1:$B$374, MATCH('TEMPLATE-SHEET'!$AI49, 'Line No'!$A$1:$A$374, 0)),
      "")</f>
        <v/>
      </c>
    </row>
    <row r="50" spans="22:41" ht="16" customHeight="1">
      <c r="W50" s="124"/>
      <c r="X50" s="124"/>
      <c r="Y50" s="125"/>
      <c r="Z50" s="124"/>
      <c r="AA50" s="124"/>
      <c r="AB50" s="124"/>
      <c r="AC50" s="126"/>
      <c r="AD50" s="124"/>
    </row>
  </sheetData>
  <sheetProtection formatCells="0" formatColumns="0" formatRows="0" insertColumns="0" insertRows="0" deleteRows="0" selectLockedCells="1"/>
  <mergeCells count="40">
    <mergeCell ref="C34:D34"/>
    <mergeCell ref="C38:D38"/>
    <mergeCell ref="C31:D31"/>
    <mergeCell ref="B22:I22"/>
    <mergeCell ref="C23:D23"/>
    <mergeCell ref="C28:D28"/>
    <mergeCell ref="C29:D29"/>
    <mergeCell ref="C30:D30"/>
    <mergeCell ref="C35:D35"/>
    <mergeCell ref="C27:D27"/>
    <mergeCell ref="C18:E18"/>
    <mergeCell ref="F18:I18"/>
    <mergeCell ref="C32:D32"/>
    <mergeCell ref="C33:D33"/>
    <mergeCell ref="C9:D9"/>
    <mergeCell ref="F9:I9"/>
    <mergeCell ref="AI39:AO39"/>
    <mergeCell ref="C10:D10"/>
    <mergeCell ref="F10:I10"/>
    <mergeCell ref="C24:D24"/>
    <mergeCell ref="C11:D11"/>
    <mergeCell ref="C12:D12"/>
    <mergeCell ref="C13:D13"/>
    <mergeCell ref="F13:I13"/>
    <mergeCell ref="C14:D14"/>
    <mergeCell ref="F19:I19"/>
    <mergeCell ref="F14:I14"/>
    <mergeCell ref="C19:E19"/>
    <mergeCell ref="C25:D25"/>
    <mergeCell ref="C26:D26"/>
    <mergeCell ref="E5:H6"/>
    <mergeCell ref="B7:C7"/>
    <mergeCell ref="D7:E7"/>
    <mergeCell ref="C5:D5"/>
    <mergeCell ref="C6:D6"/>
    <mergeCell ref="G1:I1"/>
    <mergeCell ref="B2:C2"/>
    <mergeCell ref="D2:G2"/>
    <mergeCell ref="G3:I3"/>
    <mergeCell ref="B4:G4"/>
  </mergeCells>
  <conditionalFormatting sqref="AO41:AO49">
    <cfRule type="containsText" dxfId="12" priority="1" operator="containsText" text="zzzz">
      <formula>NOT(ISERROR(SEARCH("zzzz",AO41)))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B6"/>
  <sheetViews>
    <sheetView workbookViewId="0">
      <selection activeCell="A7" sqref="A7:B9"/>
    </sheetView>
    <sheetView workbookViewId="1">
      <selection activeCell="A10" sqref="A10:XFD13"/>
    </sheetView>
  </sheetViews>
  <sheetFormatPr baseColWidth="10" defaultRowHeight="16"/>
  <sheetData>
    <row r="1" spans="1:2" ht="17" thickBot="1">
      <c r="A1" t="s">
        <v>16</v>
      </c>
      <c r="B1" t="s">
        <v>319</v>
      </c>
    </row>
    <row r="2" spans="1:2">
      <c r="A2" s="110" t="s">
        <v>306</v>
      </c>
      <c r="B2" s="127" t="e" cm="1">
        <f t="array" aca="1" ref="B2" ca="1">INDIRECT("'" &amp; A2 &amp; "'!count")</f>
        <v>#REF!</v>
      </c>
    </row>
    <row r="3" spans="1:2">
      <c r="A3" s="111" t="s">
        <v>305</v>
      </c>
      <c r="B3" s="127" t="e" cm="1">
        <f t="array" aca="1" ref="B3" ca="1">INDIRECT("'" &amp; A3 &amp; "'!count")</f>
        <v>#REF!</v>
      </c>
    </row>
    <row r="4" spans="1:2">
      <c r="A4" s="112" t="s">
        <v>304</v>
      </c>
      <c r="B4" s="127" t="e" cm="1">
        <f t="array" aca="1" ref="B4" ca="1">INDIRECT("'" &amp; A4 &amp; "'!count")</f>
        <v>#REF!</v>
      </c>
    </row>
    <row r="5" spans="1:2">
      <c r="A5" s="112" t="s">
        <v>303</v>
      </c>
      <c r="B5" s="127" t="e" cm="1">
        <f t="array" aca="1" ref="B5" ca="1">INDIRECT("'" &amp; A5 &amp; "'!count")</f>
        <v>#REF!</v>
      </c>
    </row>
    <row r="6" spans="1:2">
      <c r="A6" s="112" t="s">
        <v>302</v>
      </c>
      <c r="B6" s="127" t="e" cm="1">
        <f t="array" aca="1" ref="B6" ca="1">INDIRECT("'" &amp; A6 &amp; "'!count")</f>
        <v>#REF!</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26</vt:i4>
      </vt:variant>
    </vt:vector>
  </HeadingPairs>
  <TitlesOfParts>
    <vt:vector size="32" baseType="lpstr">
      <vt:lpstr>Instructions</vt:lpstr>
      <vt:lpstr>Line No</vt:lpstr>
      <vt:lpstr>PO DATA</vt:lpstr>
      <vt:lpstr>PO Log</vt:lpstr>
      <vt:lpstr>TEMPLATE-SHEET</vt:lpstr>
      <vt:lpstr>Sheet_Index</vt:lpstr>
      <vt:lpstr>'TEMPLATE-SHEET'!count</vt:lpstr>
      <vt:lpstr>DateEntry</vt:lpstr>
      <vt:lpstr>DateEntryOld</vt:lpstr>
      <vt:lpstr>DateEntryOld3</vt:lpstr>
      <vt:lpstr>End</vt:lpstr>
      <vt:lpstr>Job_Name</vt:lpstr>
      <vt:lpstr>Job_Number</vt:lpstr>
      <vt:lpstr>Line</vt:lpstr>
      <vt:lpstr>'TEMPLATE-SHEET'!LineEntry</vt:lpstr>
      <vt:lpstr>LineEntryOLD</vt:lpstr>
      <vt:lpstr>LineEntryOLD2</vt:lpstr>
      <vt:lpstr>LineEntryOld3</vt:lpstr>
      <vt:lpstr>OLD</vt:lpstr>
      <vt:lpstr>'TEMPLATE-SHEET'!PAYEE</vt:lpstr>
      <vt:lpstr>PayIDEntry</vt:lpstr>
      <vt:lpstr>PayIDEntryOLD</vt:lpstr>
      <vt:lpstr>PayIDEntryOld2</vt:lpstr>
      <vt:lpstr>PayIDEntryOld3</vt:lpstr>
      <vt:lpstr>POtable</vt:lpstr>
      <vt:lpstr>POtable_header</vt:lpstr>
      <vt:lpstr>Prefix</vt:lpstr>
      <vt:lpstr>'PO Log'!Print_Area</vt:lpstr>
      <vt:lpstr>'TEMPLATE-SHEET'!Print_Area</vt:lpstr>
      <vt:lpstr>Sheet_PO</vt:lpstr>
      <vt:lpstr>Start</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2025-03-01T17:08:17Z</dcterms:modified>
  <cp:category/>
</cp:coreProperties>
</file>