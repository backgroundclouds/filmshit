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EB82E20C-FC3B-F742-A6ED-0DDFFD94BBAE}" xr6:coauthVersionLast="47" xr6:coauthVersionMax="47" xr10:uidLastSave="{00000000-0000-0000-0000-000000000000}"/>
  <bookViews>
    <workbookView xWindow="5700" yWindow="6660" windowWidth="24160" windowHeight="19520" activeTab="4" xr2:uid="{F53C5A8A-5863-CA49-A26A-71321E44290F}"/>
  </bookViews>
  <sheets>
    <sheet name="Instructions" sheetId="610" r:id="rId1"/>
    <sheet name="Line No" sheetId="3" r:id="rId2"/>
    <sheet name="PO DATA" sheetId="6" r:id="rId3"/>
    <sheet name="PO Log" sheetId="785" r:id="rId4"/>
    <sheet name="TEMPLATE-SHEET" sheetId="4" r:id="rId5"/>
    <sheet name="Sheet_Index" sheetId="748" r:id="rId6"/>
    <sheet name="2499-001" sheetId="791" r:id="rId7"/>
    <sheet name="2499-002" sheetId="792" r:id="rId8"/>
    <sheet name="2499-003" sheetId="793" r:id="rId9"/>
    <sheet name="2499-004" sheetId="794" r:id="rId10"/>
    <sheet name="2499-005" sheetId="795" r:id="rId11"/>
  </sheet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6">'2499-001'!$K$49</definedName>
    <definedName name="count" localSheetId="7">'2499-002'!$K$49</definedName>
    <definedName name="count" localSheetId="8">'2499-003'!$K$49</definedName>
    <definedName name="count" localSheetId="9">'2499-004'!$K$49</definedName>
    <definedName name="count" localSheetId="10">'2499-005'!$K$49</definedName>
    <definedName name="count" localSheetId="4">'TEMPLATE-SHEET'!$K$49</definedName>
    <definedName name="DateEntry" localSheetId="6">'2499-001'!$E$24:$E$35</definedName>
    <definedName name="DateEntry" localSheetId="7">'2499-002'!$E$24:$E$35</definedName>
    <definedName name="DateEntry" localSheetId="8">'2499-003'!$E$24:$E$35</definedName>
    <definedName name="DateEntry" localSheetId="9">'2499-004'!$E$24:$E$35</definedName>
    <definedName name="DateEntry" localSheetId="10">'2499-005'!$E$24:$E$35</definedName>
    <definedName name="DateEntry">'TEMPLATE-SHEET'!$E$24:$E$35</definedName>
    <definedName name="End">'PO DATA'!$C$17</definedName>
    <definedName name="Job_Name">'PO DATA'!$D$2</definedName>
    <definedName name="Job_Number">'PO DATA'!$D$3</definedName>
    <definedName name="Line">'Line No'!$A$1:$B$360</definedName>
    <definedName name="LineEntry" localSheetId="6">'2499-001'!$B$24:$B$35</definedName>
    <definedName name="LineEntry" localSheetId="7">'2499-002'!$B$24:$B$35</definedName>
    <definedName name="LineEntry" localSheetId="8">'2499-003'!$B$24:$B$35</definedName>
    <definedName name="LineEntry" localSheetId="9">'2499-004'!$B$24:$B$35</definedName>
    <definedName name="LineEntry" localSheetId="10">'2499-005'!$B$24:$B$35</definedName>
    <definedName name="LineEntry" localSheetId="4">'TEMPLATE-SHEET'!$B$24:$B$35</definedName>
    <definedName name="PAYEE" localSheetId="6">'2499-001'!$N$40:$N$50</definedName>
    <definedName name="PAYEE" localSheetId="7">'2499-002'!$N$40:$N$50</definedName>
    <definedName name="PAYEE" localSheetId="8">'2499-003'!$N$40:$N$50</definedName>
    <definedName name="PAYEE" localSheetId="9">'2499-004'!$N$40:$N$50</definedName>
    <definedName name="PAYEE" localSheetId="10">'2499-005'!$N$40:$N$50</definedName>
    <definedName name="PAYEE" localSheetId="4">'TEMPLATE-SHEET'!$N$40:$N$50</definedName>
    <definedName name="PayIDEntry" localSheetId="6">'2499-001'!$F$24:$F$35</definedName>
    <definedName name="PayIDEntry" localSheetId="7">'2499-002'!$F$24:$F$35</definedName>
    <definedName name="PayIDEntry" localSheetId="8">'2499-003'!$F$24:$F$35</definedName>
    <definedName name="PayIDEntry" localSheetId="9">'2499-004'!$F$24:$F$35</definedName>
    <definedName name="PayIDEntry" localSheetId="10">'2499-005'!$F$24:$F$35</definedName>
    <definedName name="PayIDEntry">'TEMPLATE-SHEET'!$F$24:$F$35</definedName>
    <definedName name="PO_LOG_name" localSheetId="3">'PO Log'!$B$5:$I$208</definedName>
    <definedName name="PO_LOG_name">#REF!</definedName>
    <definedName name="POtable">'PO DATA'!$F$14:$F$124</definedName>
    <definedName name="POtable_header">'PO DATA'!$F$14</definedName>
    <definedName name="Prefix">'PO DATA'!$B$15</definedName>
    <definedName name="_xlnm.Print_Area" localSheetId="6">'2499-001'!$B$1:$I$47</definedName>
    <definedName name="_xlnm.Print_Area" localSheetId="7">'2499-002'!$B$1:$I$47</definedName>
    <definedName name="_xlnm.Print_Area" localSheetId="8">'2499-003'!$B$1:$I$47</definedName>
    <definedName name="_xlnm.Print_Area" localSheetId="9">'2499-004'!$B$1:$I$47</definedName>
    <definedName name="_xlnm.Print_Area" localSheetId="10">'2499-005'!$B$1:$I$47</definedName>
    <definedName name="_xlnm.Print_Area" localSheetId="3">'PO Log'!$B$5:$F$127</definedName>
    <definedName name="_xlnm.Print_Area" localSheetId="4">'TEMPLATE-SHEET'!$B$1:$I$47</definedName>
    <definedName name="Sheet_PO" localSheetId="6">'2499-001'!$G$3</definedName>
    <definedName name="Sheet_PO" localSheetId="7">'2499-002'!$G$3</definedName>
    <definedName name="Sheet_PO" localSheetId="8">'2499-003'!$G$3</definedName>
    <definedName name="Sheet_PO" localSheetId="9">'2499-004'!$G$3</definedName>
    <definedName name="Sheet_PO" localSheetId="10">'2499-005'!$G$3</definedName>
    <definedName name="Sheet_PO">'TEMPLATE-SHEET'!$G$3</definedName>
    <definedName name="Start">'PO DATA'!$B$17</definedName>
    <definedName name="Vendor" localSheetId="6">'2499-001'!$C$10</definedName>
    <definedName name="Vendor" localSheetId="7">'2499-002'!$C$10</definedName>
    <definedName name="Vendor" localSheetId="8">'2499-003'!$C$10</definedName>
    <definedName name="Vendor" localSheetId="9">'2499-004'!$C$10</definedName>
    <definedName name="Vendor" localSheetId="10">'2499-005'!$C$10</definedName>
    <definedName name="Vendor">'TEMPLATE-SHEET'!$C$10</definedName>
    <definedName name="Z_8CEFEE3B_E906_4903_9850_D32C8D742297_.wvu.PrintArea" localSheetId="6" hidden="1">'2499-001'!$B$1:$I$46</definedName>
    <definedName name="Z_8CEFEE3B_E906_4903_9850_D32C8D742297_.wvu.PrintArea" localSheetId="7" hidden="1">'2499-002'!$B$1:$I$46</definedName>
    <definedName name="Z_8CEFEE3B_E906_4903_9850_D32C8D742297_.wvu.PrintArea" localSheetId="8" hidden="1">'2499-003'!$B$1:$I$46</definedName>
    <definedName name="Z_8CEFEE3B_E906_4903_9850_D32C8D742297_.wvu.PrintArea" localSheetId="9" hidden="1">'2499-004'!$B$1:$I$46</definedName>
    <definedName name="Z_8CEFEE3B_E906_4903_9850_D32C8D742297_.wvu.PrintArea" localSheetId="10" hidden="1">'2499-005'!$B$1:$I$46</definedName>
    <definedName name="Z_8CEFEE3B_E906_4903_9850_D32C8D742297_.wvu.PrintArea" localSheetId="4" hidden="1">'TEMPLATE-SHEET'!$B$1:$I$46</definedName>
    <definedName name="Z_C1355A62_F1E2_4388_B529_AB508DE122C3_.wvu.PrintArea" localSheetId="6" hidden="1">'2499-001'!$B$1:$I$46</definedName>
    <definedName name="Z_C1355A62_F1E2_4388_B529_AB508DE122C3_.wvu.PrintArea" localSheetId="7" hidden="1">'2499-002'!$B$1:$I$46</definedName>
    <definedName name="Z_C1355A62_F1E2_4388_B529_AB508DE122C3_.wvu.PrintArea" localSheetId="8" hidden="1">'2499-003'!$B$1:$I$46</definedName>
    <definedName name="Z_C1355A62_F1E2_4388_B529_AB508DE122C3_.wvu.PrintArea" localSheetId="9" hidden="1">'2499-004'!$B$1:$I$46</definedName>
    <definedName name="Z_C1355A62_F1E2_4388_B529_AB508DE122C3_.wvu.PrintArea" localSheetId="10" hidden="1">'2499-005'!$B$1:$I$46</definedName>
    <definedName name="Z_C1355A62_F1E2_4388_B529_AB508DE122C3_.wvu.PrintArea" localSheetId="4" hidden="1">'TEMPLATE-SHEET'!$B$1:$I$46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9" i="795" l="1"/>
  <c r="R49" i="795"/>
  <c r="Q49" i="795"/>
  <c r="P49" i="795"/>
  <c r="O49" i="795"/>
  <c r="N49" i="795"/>
  <c r="M49" i="795"/>
  <c r="L49" i="795"/>
  <c r="S48" i="795"/>
  <c r="R48" i="795"/>
  <c r="Q48" i="795"/>
  <c r="P48" i="795"/>
  <c r="O48" i="795"/>
  <c r="N48" i="795"/>
  <c r="M48" i="795"/>
  <c r="L48" i="795"/>
  <c r="S47" i="795"/>
  <c r="R47" i="795"/>
  <c r="Q47" i="795"/>
  <c r="P47" i="795"/>
  <c r="O47" i="795"/>
  <c r="N47" i="795"/>
  <c r="M47" i="795"/>
  <c r="L47" i="795"/>
  <c r="N46" i="795"/>
  <c r="N45" i="795"/>
  <c r="N44" i="795"/>
  <c r="N43" i="795"/>
  <c r="N42" i="795"/>
  <c r="N41" i="795"/>
  <c r="R35" i="795"/>
  <c r="Q35" i="795"/>
  <c r="P35" i="795"/>
  <c r="O35" i="795"/>
  <c r="N35" i="795"/>
  <c r="M35" i="795"/>
  <c r="L35" i="795"/>
  <c r="I35" i="795"/>
  <c r="I34" i="795"/>
  <c r="I33" i="795"/>
  <c r="I32" i="795"/>
  <c r="I31" i="795"/>
  <c r="Q30" i="795"/>
  <c r="I30" i="795"/>
  <c r="I29" i="795"/>
  <c r="I28" i="795"/>
  <c r="I27" i="795"/>
  <c r="N26" i="795"/>
  <c r="I26" i="795"/>
  <c r="I25" i="795"/>
  <c r="I24" i="795"/>
  <c r="I37" i="795" s="1"/>
  <c r="I40" i="795" s="1"/>
  <c r="T20" i="795" a="1"/>
  <c r="T20" i="795" s="1"/>
  <c r="Z20" i="795" s="1" a="1"/>
  <c r="Z20" i="795" s="1"/>
  <c r="AA20" i="795" s="1" a="1"/>
  <c r="AA20" i="795" s="1"/>
  <c r="L20" i="795" a="1"/>
  <c r="M32" i="795" s="1"/>
  <c r="P13" i="795" a="1"/>
  <c r="P13" i="795" s="1"/>
  <c r="P12" i="795" a="1"/>
  <c r="P12" i="795" s="1"/>
  <c r="S11" i="795" a="1"/>
  <c r="S11" i="795" s="1"/>
  <c r="P11" i="795" a="1"/>
  <c r="P11" i="795" s="1"/>
  <c r="P10" i="795" a="1"/>
  <c r="P10" i="795" s="1"/>
  <c r="F10" i="795"/>
  <c r="W9" i="795" a="1"/>
  <c r="W9" i="795" s="1"/>
  <c r="P9" i="795" a="1"/>
  <c r="P9" i="795" s="1"/>
  <c r="F9" i="795"/>
  <c r="C9" i="795"/>
  <c r="P8" i="795" a="1"/>
  <c r="P8" i="795" s="1"/>
  <c r="P7" i="795" a="1"/>
  <c r="P7" i="795" s="1"/>
  <c r="W5" i="795" a="1"/>
  <c r="W5" i="795" s="1"/>
  <c r="AF4" i="795" a="1"/>
  <c r="AF4" i="795" s="1"/>
  <c r="AD4" i="795" a="1"/>
  <c r="AD4" i="795" s="1"/>
  <c r="S4" i="795" a="1"/>
  <c r="O4" i="795" s="1" a="1"/>
  <c r="M4" i="795" a="1"/>
  <c r="M4" i="795" s="1"/>
  <c r="N4" i="795" s="1" a="1"/>
  <c r="N4" i="795" s="1"/>
  <c r="O49" i="794"/>
  <c r="N49" i="794"/>
  <c r="M49" i="794"/>
  <c r="L49" i="794"/>
  <c r="S49" i="794" s="1"/>
  <c r="N48" i="794"/>
  <c r="L48" i="794"/>
  <c r="Q48" i="794" s="1"/>
  <c r="S47" i="794"/>
  <c r="R47" i="794"/>
  <c r="Q47" i="794"/>
  <c r="P47" i="794"/>
  <c r="O47" i="794"/>
  <c r="N47" i="794"/>
  <c r="M47" i="794"/>
  <c r="L47" i="794"/>
  <c r="N46" i="794"/>
  <c r="N45" i="794"/>
  <c r="N44" i="794"/>
  <c r="N43" i="794"/>
  <c r="N42" i="794"/>
  <c r="N41" i="794"/>
  <c r="R35" i="794"/>
  <c r="Q35" i="794"/>
  <c r="P35" i="794"/>
  <c r="O35" i="794"/>
  <c r="N35" i="794"/>
  <c r="M35" i="794"/>
  <c r="L35" i="794"/>
  <c r="I35" i="794"/>
  <c r="I34" i="794"/>
  <c r="I33" i="794"/>
  <c r="I32" i="794"/>
  <c r="I31" i="794"/>
  <c r="I30" i="794"/>
  <c r="I29" i="794"/>
  <c r="I28" i="794"/>
  <c r="I27" i="794"/>
  <c r="I26" i="794"/>
  <c r="I25" i="794"/>
  <c r="I24" i="794"/>
  <c r="T20" i="794" a="1"/>
  <c r="T20" i="794" s="1"/>
  <c r="Z20" i="794" s="1" a="1"/>
  <c r="Z20" i="794" s="1"/>
  <c r="AA20" i="794" s="1" a="1"/>
  <c r="AA20" i="794" s="1"/>
  <c r="L20" i="794" a="1"/>
  <c r="Q30" i="794" s="1"/>
  <c r="P13" i="794" a="1"/>
  <c r="P13" i="794" s="1"/>
  <c r="P12" i="794" a="1"/>
  <c r="P12" i="794" s="1"/>
  <c r="S11" i="794" a="1"/>
  <c r="S11" i="794" s="1"/>
  <c r="P11" i="794" a="1"/>
  <c r="P11" i="794" s="1"/>
  <c r="P10" i="794" a="1"/>
  <c r="P10" i="794" s="1"/>
  <c r="F10" i="794"/>
  <c r="W9" i="794" a="1"/>
  <c r="W9" i="794" s="1"/>
  <c r="P9" i="794" a="1"/>
  <c r="P9" i="794" s="1"/>
  <c r="F9" i="794"/>
  <c r="C9" i="794"/>
  <c r="P8" i="794" a="1"/>
  <c r="P8" i="794" s="1"/>
  <c r="P7" i="794" a="1"/>
  <c r="P7" i="794" s="1"/>
  <c r="W5" i="794" a="1"/>
  <c r="W5" i="794" s="1"/>
  <c r="AF4" i="794" a="1"/>
  <c r="AF4" i="794" s="1"/>
  <c r="AD4" i="794" a="1"/>
  <c r="AD4" i="794" s="1"/>
  <c r="S4" i="794" a="1"/>
  <c r="O4" i="794" s="1" a="1"/>
  <c r="M4" i="794" a="1"/>
  <c r="M4" i="794" s="1"/>
  <c r="N4" i="794" s="1" a="1"/>
  <c r="N4" i="794" s="1"/>
  <c r="N49" i="793"/>
  <c r="M49" i="793"/>
  <c r="L49" i="793"/>
  <c r="S49" i="793" s="1"/>
  <c r="N48" i="793"/>
  <c r="L48" i="793"/>
  <c r="Q48" i="793" s="1"/>
  <c r="S47" i="793"/>
  <c r="R47" i="793"/>
  <c r="Q47" i="793"/>
  <c r="P47" i="793"/>
  <c r="N47" i="793"/>
  <c r="M47" i="793"/>
  <c r="L47" i="793"/>
  <c r="O47" i="793" s="1"/>
  <c r="N46" i="793"/>
  <c r="N45" i="793"/>
  <c r="N44" i="793"/>
  <c r="N43" i="793"/>
  <c r="N42" i="793"/>
  <c r="N41" i="793"/>
  <c r="R35" i="793"/>
  <c r="Q35" i="793"/>
  <c r="P35" i="793"/>
  <c r="O35" i="793"/>
  <c r="N35" i="793"/>
  <c r="M35" i="793"/>
  <c r="L35" i="793"/>
  <c r="I35" i="793"/>
  <c r="I34" i="793"/>
  <c r="I33" i="793"/>
  <c r="I32" i="793"/>
  <c r="I31" i="793"/>
  <c r="I30" i="793"/>
  <c r="I29" i="793"/>
  <c r="I28" i="793"/>
  <c r="I27" i="793"/>
  <c r="I26" i="793"/>
  <c r="I25" i="793"/>
  <c r="I24" i="793"/>
  <c r="T20" i="793" a="1"/>
  <c r="T20" i="793" s="1"/>
  <c r="Z20" i="793" s="1" a="1"/>
  <c r="Z20" i="793" s="1"/>
  <c r="AA20" i="793" s="1" a="1"/>
  <c r="AA20" i="793" s="1"/>
  <c r="L20" i="793" a="1"/>
  <c r="P13" i="793" a="1"/>
  <c r="P13" i="793" s="1"/>
  <c r="P12" i="793" a="1"/>
  <c r="P12" i="793" s="1"/>
  <c r="S11" i="793" a="1"/>
  <c r="S11" i="793" s="1"/>
  <c r="P11" i="793" a="1"/>
  <c r="P11" i="793" s="1"/>
  <c r="P10" i="793" a="1"/>
  <c r="P10" i="793" s="1"/>
  <c r="F10" i="793"/>
  <c r="W9" i="793" a="1"/>
  <c r="W9" i="793" s="1"/>
  <c r="P9" i="793" a="1"/>
  <c r="P9" i="793" s="1"/>
  <c r="F9" i="793"/>
  <c r="C9" i="793"/>
  <c r="P8" i="793" a="1"/>
  <c r="P8" i="793" s="1"/>
  <c r="P7" i="793" a="1"/>
  <c r="P7" i="793" s="1"/>
  <c r="W5" i="793" a="1"/>
  <c r="W5" i="793" s="1"/>
  <c r="AF4" i="793" a="1"/>
  <c r="AF4" i="793" s="1"/>
  <c r="AD4" i="793" a="1"/>
  <c r="AD4" i="793" s="1"/>
  <c r="S4" i="793" a="1"/>
  <c r="O4" i="793" s="1" a="1"/>
  <c r="M4" i="793" a="1"/>
  <c r="M4" i="793" s="1"/>
  <c r="N4" i="793" s="1" a="1"/>
  <c r="N4" i="793" s="1"/>
  <c r="N49" i="792"/>
  <c r="L49" i="792"/>
  <c r="S49" i="792" s="1"/>
  <c r="N48" i="792"/>
  <c r="L48" i="792"/>
  <c r="Q48" i="792" s="1"/>
  <c r="R47" i="792"/>
  <c r="Q47" i="792"/>
  <c r="N47" i="792"/>
  <c r="M47" i="792"/>
  <c r="L47" i="792"/>
  <c r="O47" i="792" s="1"/>
  <c r="N46" i="792"/>
  <c r="N45" i="792"/>
  <c r="N44" i="792"/>
  <c r="N43" i="792"/>
  <c r="N42" i="792"/>
  <c r="N41" i="792"/>
  <c r="R35" i="792"/>
  <c r="Q35" i="792"/>
  <c r="P35" i="792"/>
  <c r="O35" i="792"/>
  <c r="N35" i="792"/>
  <c r="M35" i="792"/>
  <c r="L35" i="792"/>
  <c r="I35" i="792"/>
  <c r="I34" i="792"/>
  <c r="I33" i="792"/>
  <c r="I32" i="792"/>
  <c r="I31" i="792"/>
  <c r="I30" i="792"/>
  <c r="I29" i="792"/>
  <c r="I28" i="792"/>
  <c r="I27" i="792"/>
  <c r="I26" i="792"/>
  <c r="I25" i="792"/>
  <c r="I24" i="792"/>
  <c r="T20" i="792" a="1"/>
  <c r="T20" i="792" s="1"/>
  <c r="Z20" i="792" s="1" a="1"/>
  <c r="Z20" i="792" s="1"/>
  <c r="AA20" i="792" s="1" a="1"/>
  <c r="AA20" i="792" s="1"/>
  <c r="L20" i="792" a="1"/>
  <c r="P13" i="792" a="1"/>
  <c r="P13" i="792" s="1"/>
  <c r="P12" i="792" a="1"/>
  <c r="P12" i="792" s="1"/>
  <c r="S11" i="792" a="1"/>
  <c r="S11" i="792" s="1"/>
  <c r="P11" i="792" a="1"/>
  <c r="P11" i="792" s="1"/>
  <c r="P10" i="792" a="1"/>
  <c r="P10" i="792" s="1"/>
  <c r="F10" i="792"/>
  <c r="W9" i="792" a="1"/>
  <c r="W9" i="792" s="1"/>
  <c r="P9" i="792" a="1"/>
  <c r="P9" i="792" s="1"/>
  <c r="F9" i="792"/>
  <c r="C9" i="792"/>
  <c r="P8" i="792" a="1"/>
  <c r="P8" i="792" s="1"/>
  <c r="P7" i="792" a="1"/>
  <c r="P7" i="792" s="1"/>
  <c r="W5" i="792" a="1"/>
  <c r="W5" i="792" s="1"/>
  <c r="AF4" i="792" a="1"/>
  <c r="AF4" i="792" s="1"/>
  <c r="AD4" i="792" a="1"/>
  <c r="AD4" i="792" s="1"/>
  <c r="S4" i="792" a="1"/>
  <c r="O4" i="792" s="1" a="1"/>
  <c r="M4" i="792" a="1"/>
  <c r="M4" i="792" s="1"/>
  <c r="N4" i="792" s="1" a="1"/>
  <c r="N4" i="792" s="1"/>
  <c r="N49" i="791"/>
  <c r="L49" i="791"/>
  <c r="S49" i="791" s="1"/>
  <c r="N48" i="791"/>
  <c r="L48" i="791"/>
  <c r="Q48" i="791" s="1"/>
  <c r="Q47" i="791"/>
  <c r="N47" i="791"/>
  <c r="L47" i="791"/>
  <c r="O47" i="791" s="1"/>
  <c r="N46" i="791"/>
  <c r="N45" i="791"/>
  <c r="N44" i="791"/>
  <c r="N43" i="791"/>
  <c r="N42" i="791"/>
  <c r="N41" i="791"/>
  <c r="R35" i="791"/>
  <c r="Q35" i="791"/>
  <c r="P35" i="791"/>
  <c r="O35" i="791"/>
  <c r="N35" i="791"/>
  <c r="M35" i="791"/>
  <c r="L35" i="791"/>
  <c r="I35" i="791"/>
  <c r="I34" i="791"/>
  <c r="I33" i="791"/>
  <c r="I32" i="791"/>
  <c r="I31" i="791"/>
  <c r="I30" i="791"/>
  <c r="I29" i="791"/>
  <c r="I28" i="791"/>
  <c r="I27" i="791"/>
  <c r="I26" i="791"/>
  <c r="I25" i="791"/>
  <c r="I24" i="791"/>
  <c r="T20" i="791" a="1"/>
  <c r="T20" i="791" s="1"/>
  <c r="Z20" i="791" s="1" a="1"/>
  <c r="Z20" i="791" s="1"/>
  <c r="AA20" i="791" s="1" a="1"/>
  <c r="AA20" i="791" s="1"/>
  <c r="L20" i="791" a="1"/>
  <c r="P13" i="791" a="1"/>
  <c r="P13" i="791" s="1"/>
  <c r="P12" i="791" a="1"/>
  <c r="P12" i="791" s="1"/>
  <c r="S11" i="791" a="1"/>
  <c r="S11" i="791" s="1"/>
  <c r="P11" i="791" a="1"/>
  <c r="P11" i="791" s="1"/>
  <c r="P10" i="791" a="1"/>
  <c r="P10" i="791" s="1"/>
  <c r="F10" i="791"/>
  <c r="W9" i="791" a="1"/>
  <c r="W9" i="791" s="1"/>
  <c r="P9" i="791" a="1"/>
  <c r="P9" i="791" s="1"/>
  <c r="F9" i="791"/>
  <c r="C9" i="791"/>
  <c r="P8" i="791" a="1"/>
  <c r="P8" i="791" s="1"/>
  <c r="P7" i="791" a="1"/>
  <c r="P7" i="791" s="1"/>
  <c r="W5" i="791" a="1"/>
  <c r="W5" i="791" s="1"/>
  <c r="AF4" i="791" a="1"/>
  <c r="AF4" i="791" s="1"/>
  <c r="AD4" i="791" a="1"/>
  <c r="AD4" i="791" s="1"/>
  <c r="S4" i="791" a="1"/>
  <c r="O4" i="791" s="1" a="1"/>
  <c r="M4" i="791" a="1"/>
  <c r="M4" i="791" s="1"/>
  <c r="N4" i="791" s="1" a="1"/>
  <c r="N4" i="791" s="1"/>
  <c r="N49" i="4"/>
  <c r="N48" i="4"/>
  <c r="N47" i="4"/>
  <c r="N46" i="4"/>
  <c r="N45" i="4"/>
  <c r="N44" i="4"/>
  <c r="N43" i="4"/>
  <c r="N42" i="4"/>
  <c r="N41" i="4"/>
  <c r="A6" i="785" a="1"/>
  <c r="A6" i="785" l="1"/>
  <c r="P30" i="795"/>
  <c r="O26" i="795"/>
  <c r="Q27" i="795"/>
  <c r="O33" i="795"/>
  <c r="M29" i="795"/>
  <c r="P33" i="795"/>
  <c r="N29" i="795"/>
  <c r="O26" i="794"/>
  <c r="O4" i="795"/>
  <c r="P4" i="795" s="1" a="1"/>
  <c r="P4" i="795" s="1"/>
  <c r="P5" i="795" a="1"/>
  <c r="P5" i="795" s="1"/>
  <c r="P6" i="795" a="1"/>
  <c r="P6" i="795" s="1"/>
  <c r="M25" i="795"/>
  <c r="P26" i="795"/>
  <c r="O29" i="795"/>
  <c r="N32" i="795"/>
  <c r="Q33" i="795"/>
  <c r="S4" i="795"/>
  <c r="N25" i="795"/>
  <c r="Q26" i="795"/>
  <c r="M28" i="795"/>
  <c r="P29" i="795"/>
  <c r="O32" i="795"/>
  <c r="O25" i="795"/>
  <c r="N28" i="795"/>
  <c r="Q29" i="795"/>
  <c r="M31" i="795"/>
  <c r="P32" i="795"/>
  <c r="M24" i="795"/>
  <c r="P25" i="795"/>
  <c r="O28" i="795"/>
  <c r="N31" i="795"/>
  <c r="Q32" i="795"/>
  <c r="M34" i="795"/>
  <c r="L20" i="795"/>
  <c r="N24" i="795"/>
  <c r="Q25" i="795"/>
  <c r="M27" i="795"/>
  <c r="P28" i="795"/>
  <c r="O31" i="795"/>
  <c r="N34" i="795"/>
  <c r="O24" i="795"/>
  <c r="N27" i="795"/>
  <c r="Q28" i="795"/>
  <c r="M30" i="795"/>
  <c r="P31" i="795"/>
  <c r="O34" i="795"/>
  <c r="P24" i="795"/>
  <c r="O27" i="795"/>
  <c r="N30" i="795"/>
  <c r="Q31" i="795"/>
  <c r="M33" i="795"/>
  <c r="P34" i="795"/>
  <c r="Q24" i="795"/>
  <c r="M26" i="795"/>
  <c r="P27" i="795"/>
  <c r="O30" i="795"/>
  <c r="N33" i="795"/>
  <c r="Q34" i="795"/>
  <c r="R48" i="794"/>
  <c r="P47" i="792"/>
  <c r="R48" i="793"/>
  <c r="P26" i="794"/>
  <c r="S48" i="794"/>
  <c r="S48" i="793"/>
  <c r="N32" i="793"/>
  <c r="M48" i="794"/>
  <c r="P49" i="794"/>
  <c r="I37" i="794"/>
  <c r="I40" i="794" s="1"/>
  <c r="O48" i="794"/>
  <c r="Q49" i="794"/>
  <c r="M32" i="794"/>
  <c r="P48" i="794"/>
  <c r="R49" i="794"/>
  <c r="N32" i="794"/>
  <c r="M25" i="794"/>
  <c r="P33" i="794"/>
  <c r="O26" i="793"/>
  <c r="N29" i="794"/>
  <c r="Q33" i="794"/>
  <c r="P26" i="793"/>
  <c r="O29" i="794"/>
  <c r="O4" i="794"/>
  <c r="P4" i="794" s="1" a="1"/>
  <c r="P4" i="794" s="1"/>
  <c r="P5" i="794" a="1"/>
  <c r="P5" i="794" s="1"/>
  <c r="P6" i="794" a="1"/>
  <c r="P6" i="794" s="1"/>
  <c r="N26" i="794"/>
  <c r="Q27" i="794"/>
  <c r="M29" i="794"/>
  <c r="P30" i="794"/>
  <c r="O33" i="794"/>
  <c r="S4" i="794"/>
  <c r="N25" i="794"/>
  <c r="Q26" i="794"/>
  <c r="M28" i="794"/>
  <c r="P29" i="794"/>
  <c r="O32" i="794"/>
  <c r="O25" i="794"/>
  <c r="N28" i="794"/>
  <c r="Q29" i="794"/>
  <c r="P32" i="794"/>
  <c r="M24" i="794"/>
  <c r="P25" i="794"/>
  <c r="O28" i="794"/>
  <c r="N31" i="794"/>
  <c r="Q32" i="794"/>
  <c r="M34" i="794"/>
  <c r="M31" i="794"/>
  <c r="L20" i="794"/>
  <c r="N24" i="794"/>
  <c r="Q25" i="794"/>
  <c r="M27" i="794"/>
  <c r="P28" i="794"/>
  <c r="O31" i="794"/>
  <c r="N34" i="794"/>
  <c r="O24" i="794"/>
  <c r="N27" i="794"/>
  <c r="Q28" i="794"/>
  <c r="M30" i="794"/>
  <c r="P31" i="794"/>
  <c r="O34" i="794"/>
  <c r="P24" i="794"/>
  <c r="O27" i="794"/>
  <c r="N30" i="794"/>
  <c r="Q31" i="794"/>
  <c r="M33" i="794"/>
  <c r="P34" i="794"/>
  <c r="Q24" i="794"/>
  <c r="M26" i="794"/>
  <c r="P27" i="794"/>
  <c r="O30" i="794"/>
  <c r="N33" i="794"/>
  <c r="Q34" i="794"/>
  <c r="R47" i="791"/>
  <c r="S48" i="792"/>
  <c r="S47" i="791"/>
  <c r="M48" i="793"/>
  <c r="O49" i="793"/>
  <c r="I37" i="793"/>
  <c r="I40" i="793" s="1"/>
  <c r="Q30" i="793"/>
  <c r="P49" i="793"/>
  <c r="O48" i="793"/>
  <c r="Q49" i="793"/>
  <c r="O49" i="791"/>
  <c r="M25" i="793"/>
  <c r="P48" i="793"/>
  <c r="R49" i="793"/>
  <c r="S47" i="792"/>
  <c r="M32" i="793"/>
  <c r="P33" i="793"/>
  <c r="N29" i="793"/>
  <c r="Q33" i="793"/>
  <c r="O29" i="793"/>
  <c r="O4" i="793"/>
  <c r="P4" i="793" s="1" a="1"/>
  <c r="P4" i="793" s="1"/>
  <c r="P5" i="793" a="1"/>
  <c r="P5" i="793" s="1"/>
  <c r="P6" i="793" a="1"/>
  <c r="P6" i="793" s="1"/>
  <c r="N28" i="793"/>
  <c r="N26" i="793"/>
  <c r="Q27" i="793"/>
  <c r="M29" i="793"/>
  <c r="P30" i="793"/>
  <c r="O33" i="793"/>
  <c r="N25" i="793"/>
  <c r="Q26" i="793"/>
  <c r="M28" i="793"/>
  <c r="P29" i="793"/>
  <c r="O32" i="793"/>
  <c r="O25" i="793"/>
  <c r="Q29" i="793"/>
  <c r="M31" i="793"/>
  <c r="M24" i="793"/>
  <c r="P25" i="793"/>
  <c r="O28" i="793"/>
  <c r="N31" i="793"/>
  <c r="Q32" i="793"/>
  <c r="M34" i="793"/>
  <c r="L20" i="793"/>
  <c r="N24" i="793"/>
  <c r="Q25" i="793"/>
  <c r="M27" i="793"/>
  <c r="P28" i="793"/>
  <c r="O31" i="793"/>
  <c r="N34" i="793"/>
  <c r="S4" i="793"/>
  <c r="O24" i="793"/>
  <c r="N27" i="793"/>
  <c r="Q28" i="793"/>
  <c r="M30" i="793"/>
  <c r="P31" i="793"/>
  <c r="O34" i="793"/>
  <c r="P24" i="793"/>
  <c r="O27" i="793"/>
  <c r="N30" i="793"/>
  <c r="Q31" i="793"/>
  <c r="M33" i="793"/>
  <c r="P34" i="793"/>
  <c r="P32" i="793"/>
  <c r="Q24" i="793"/>
  <c r="M26" i="793"/>
  <c r="P27" i="793"/>
  <c r="O30" i="793"/>
  <c r="N33" i="793"/>
  <c r="Q34" i="793"/>
  <c r="R48" i="792"/>
  <c r="M48" i="791"/>
  <c r="M49" i="792"/>
  <c r="I37" i="792"/>
  <c r="I40" i="792" s="1"/>
  <c r="S48" i="791"/>
  <c r="M48" i="792"/>
  <c r="O49" i="792"/>
  <c r="P49" i="792"/>
  <c r="O48" i="792"/>
  <c r="Q49" i="792"/>
  <c r="P48" i="792"/>
  <c r="R49" i="792"/>
  <c r="Q33" i="792"/>
  <c r="P26" i="792"/>
  <c r="O29" i="792"/>
  <c r="M25" i="792"/>
  <c r="O25" i="792"/>
  <c r="N32" i="792"/>
  <c r="O4" i="792"/>
  <c r="P4" i="792" s="1" a="1"/>
  <c r="P4" i="792" s="1"/>
  <c r="P5" i="792" a="1"/>
  <c r="P5" i="792" s="1"/>
  <c r="P6" i="792" a="1"/>
  <c r="P6" i="792" s="1"/>
  <c r="N26" i="792"/>
  <c r="Q27" i="792"/>
  <c r="M29" i="792"/>
  <c r="P30" i="792"/>
  <c r="O33" i="792"/>
  <c r="O26" i="792"/>
  <c r="N29" i="792"/>
  <c r="Q30" i="792"/>
  <c r="M32" i="792"/>
  <c r="P33" i="792"/>
  <c r="S4" i="792"/>
  <c r="N25" i="792"/>
  <c r="Q26" i="792"/>
  <c r="M28" i="792"/>
  <c r="P29" i="792"/>
  <c r="O32" i="792"/>
  <c r="M24" i="792"/>
  <c r="P25" i="792"/>
  <c r="O28" i="792"/>
  <c r="N31" i="792"/>
  <c r="Q32" i="792"/>
  <c r="M34" i="792"/>
  <c r="L20" i="792"/>
  <c r="N24" i="792"/>
  <c r="Q25" i="792"/>
  <c r="M27" i="792"/>
  <c r="P28" i="792"/>
  <c r="O31" i="792"/>
  <c r="N34" i="792"/>
  <c r="O24" i="792"/>
  <c r="N27" i="792"/>
  <c r="Q28" i="792"/>
  <c r="M30" i="792"/>
  <c r="P31" i="792"/>
  <c r="O34" i="792"/>
  <c r="Q29" i="792"/>
  <c r="M31" i="792"/>
  <c r="P24" i="792"/>
  <c r="O27" i="792"/>
  <c r="N30" i="792"/>
  <c r="Q31" i="792"/>
  <c r="M33" i="792"/>
  <c r="P34" i="792"/>
  <c r="N28" i="792"/>
  <c r="P32" i="792"/>
  <c r="Q24" i="792"/>
  <c r="M26" i="792"/>
  <c r="P27" i="792"/>
  <c r="O30" i="792"/>
  <c r="N33" i="792"/>
  <c r="Q34" i="792"/>
  <c r="P47" i="791"/>
  <c r="R48" i="791"/>
  <c r="M49" i="791"/>
  <c r="P49" i="791"/>
  <c r="M47" i="791"/>
  <c r="O48" i="791"/>
  <c r="Q49" i="791"/>
  <c r="P48" i="791"/>
  <c r="R49" i="791"/>
  <c r="O29" i="791"/>
  <c r="M25" i="791"/>
  <c r="N32" i="791"/>
  <c r="M28" i="791"/>
  <c r="P26" i="791"/>
  <c r="Q33" i="791"/>
  <c r="O4" i="791"/>
  <c r="P4" i="791" s="1" a="1"/>
  <c r="P4" i="791" s="1"/>
  <c r="P5" i="791" a="1"/>
  <c r="P5" i="791" s="1"/>
  <c r="P6" i="791" a="1"/>
  <c r="P6" i="791" s="1"/>
  <c r="S4" i="791"/>
  <c r="N26" i="791"/>
  <c r="Q27" i="791"/>
  <c r="M29" i="791"/>
  <c r="P30" i="791"/>
  <c r="O33" i="791"/>
  <c r="Q26" i="791"/>
  <c r="P29" i="791"/>
  <c r="O32" i="791"/>
  <c r="O26" i="791"/>
  <c r="N29" i="791"/>
  <c r="Q30" i="791"/>
  <c r="M32" i="791"/>
  <c r="P33" i="791"/>
  <c r="O25" i="791"/>
  <c r="N28" i="791"/>
  <c r="Q29" i="791"/>
  <c r="M31" i="791"/>
  <c r="P32" i="791"/>
  <c r="I37" i="791"/>
  <c r="I40" i="791" s="1"/>
  <c r="M24" i="791"/>
  <c r="P25" i="791"/>
  <c r="O28" i="791"/>
  <c r="N31" i="791"/>
  <c r="Q32" i="791"/>
  <c r="M34" i="791"/>
  <c r="L20" i="791"/>
  <c r="N24" i="791"/>
  <c r="Q25" i="791"/>
  <c r="M27" i="791"/>
  <c r="P28" i="791"/>
  <c r="O31" i="791"/>
  <c r="N34" i="791"/>
  <c r="O24" i="791"/>
  <c r="N27" i="791"/>
  <c r="Q28" i="791"/>
  <c r="M30" i="791"/>
  <c r="P31" i="791"/>
  <c r="O34" i="791"/>
  <c r="P24" i="791"/>
  <c r="O27" i="791"/>
  <c r="N30" i="791"/>
  <c r="Q31" i="791"/>
  <c r="M33" i="791"/>
  <c r="P34" i="791"/>
  <c r="N25" i="791"/>
  <c r="Q24" i="791"/>
  <c r="M26" i="791"/>
  <c r="P27" i="791"/>
  <c r="O30" i="791"/>
  <c r="N33" i="791"/>
  <c r="Q34" i="791"/>
  <c r="L29" i="795" l="1"/>
  <c r="L26" i="795"/>
  <c r="L33" i="795"/>
  <c r="L30" i="795"/>
  <c r="M42" i="795"/>
  <c r="L27" i="795"/>
  <c r="L34" i="795"/>
  <c r="L24" i="795"/>
  <c r="L25" i="795"/>
  <c r="L31" i="795"/>
  <c r="L28" i="795"/>
  <c r="L32" i="795"/>
  <c r="N36" i="795"/>
  <c r="L43" i="795"/>
  <c r="L44" i="795"/>
  <c r="O36" i="795"/>
  <c r="R44" i="795" s="1"/>
  <c r="L45" i="795"/>
  <c r="P36" i="795"/>
  <c r="M36" i="795"/>
  <c r="R42" i="795" s="1"/>
  <c r="L42" i="795"/>
  <c r="L46" i="795"/>
  <c r="Q36" i="795"/>
  <c r="L43" i="794"/>
  <c r="N36" i="794"/>
  <c r="R43" i="794" s="1"/>
  <c r="L29" i="794"/>
  <c r="L28" i="794"/>
  <c r="L26" i="794"/>
  <c r="L34" i="794"/>
  <c r="L33" i="794"/>
  <c r="L30" i="794"/>
  <c r="L27" i="794"/>
  <c r="L24" i="794"/>
  <c r="L31" i="794"/>
  <c r="L32" i="794"/>
  <c r="L25" i="794"/>
  <c r="O36" i="794"/>
  <c r="L44" i="794"/>
  <c r="L45" i="794"/>
  <c r="P36" i="794"/>
  <c r="L46" i="794"/>
  <c r="Q36" i="794"/>
  <c r="M36" i="794"/>
  <c r="L42" i="794"/>
  <c r="M42" i="794" s="1"/>
  <c r="L43" i="793"/>
  <c r="N36" i="793"/>
  <c r="R43" i="793" s="1"/>
  <c r="O36" i="793"/>
  <c r="L44" i="793"/>
  <c r="L29" i="793"/>
  <c r="L25" i="793"/>
  <c r="L26" i="793"/>
  <c r="L34" i="793"/>
  <c r="L28" i="793"/>
  <c r="L33" i="793"/>
  <c r="L30" i="793"/>
  <c r="L27" i="793"/>
  <c r="L24" i="793"/>
  <c r="L31" i="793"/>
  <c r="L32" i="793"/>
  <c r="L45" i="793"/>
  <c r="P36" i="793"/>
  <c r="L46" i="793"/>
  <c r="Q36" i="793"/>
  <c r="M36" i="793"/>
  <c r="L42" i="793"/>
  <c r="L43" i="792"/>
  <c r="N36" i="792"/>
  <c r="L29" i="792"/>
  <c r="L26" i="792"/>
  <c r="L34" i="792"/>
  <c r="L24" i="792"/>
  <c r="L33" i="792"/>
  <c r="L30" i="792"/>
  <c r="L27" i="792"/>
  <c r="L31" i="792"/>
  <c r="L28" i="792"/>
  <c r="L25" i="792"/>
  <c r="L32" i="792"/>
  <c r="O36" i="792"/>
  <c r="L44" i="792"/>
  <c r="L46" i="792"/>
  <c r="Q36" i="792"/>
  <c r="L45" i="792"/>
  <c r="P36" i="792"/>
  <c r="M36" i="792"/>
  <c r="L42" i="792"/>
  <c r="M42" i="792" s="1"/>
  <c r="L45" i="791"/>
  <c r="P36" i="791"/>
  <c r="L46" i="791"/>
  <c r="Q36" i="791"/>
  <c r="L43" i="791"/>
  <c r="N36" i="791"/>
  <c r="L29" i="791"/>
  <c r="L31" i="791"/>
  <c r="L26" i="791"/>
  <c r="L33" i="791"/>
  <c r="L28" i="791"/>
  <c r="L30" i="791"/>
  <c r="L27" i="791"/>
  <c r="L34" i="791"/>
  <c r="L24" i="791"/>
  <c r="L25" i="791"/>
  <c r="L32" i="791"/>
  <c r="M36" i="791"/>
  <c r="L42" i="791"/>
  <c r="M42" i="791" s="1"/>
  <c r="O36" i="791"/>
  <c r="L44" i="791"/>
  <c r="S45" i="795" l="1"/>
  <c r="R45" i="795"/>
  <c r="Q45" i="795"/>
  <c r="P45" i="795"/>
  <c r="O45" i="795"/>
  <c r="M45" i="795"/>
  <c r="M44" i="795"/>
  <c r="S44" i="795"/>
  <c r="O44" i="795"/>
  <c r="Q44" i="795"/>
  <c r="P44" i="795"/>
  <c r="O43" i="795"/>
  <c r="Q43" i="795"/>
  <c r="M43" i="795"/>
  <c r="S43" i="795" s="1"/>
  <c r="P43" i="795"/>
  <c r="R43" i="795"/>
  <c r="M46" i="795"/>
  <c r="S46" i="795"/>
  <c r="R46" i="795"/>
  <c r="Q46" i="795"/>
  <c r="P46" i="795"/>
  <c r="O46" i="795"/>
  <c r="S42" i="795"/>
  <c r="O42" i="795"/>
  <c r="Q42" i="795"/>
  <c r="P42" i="795"/>
  <c r="L36" i="795"/>
  <c r="R41" i="795" s="1"/>
  <c r="L41" i="795"/>
  <c r="M46" i="794"/>
  <c r="S46" i="794"/>
  <c r="R46" i="794"/>
  <c r="Q46" i="794"/>
  <c r="P46" i="794"/>
  <c r="O46" i="794"/>
  <c r="S45" i="794"/>
  <c r="R45" i="794"/>
  <c r="Q45" i="794"/>
  <c r="P45" i="794"/>
  <c r="O45" i="794"/>
  <c r="M45" i="794"/>
  <c r="R44" i="794"/>
  <c r="S42" i="794"/>
  <c r="O42" i="794"/>
  <c r="Q42" i="794"/>
  <c r="P42" i="794"/>
  <c r="M44" i="794"/>
  <c r="S44" i="794"/>
  <c r="O44" i="794"/>
  <c r="Q44" i="794"/>
  <c r="P44" i="794"/>
  <c r="R42" i="794"/>
  <c r="O43" i="794"/>
  <c r="M43" i="794"/>
  <c r="S43" i="794" s="1"/>
  <c r="Q43" i="794"/>
  <c r="P43" i="794"/>
  <c r="L36" i="794"/>
  <c r="L41" i="794"/>
  <c r="R43" i="792"/>
  <c r="M46" i="793"/>
  <c r="S46" i="793"/>
  <c r="R46" i="793"/>
  <c r="Q46" i="793"/>
  <c r="P46" i="793"/>
  <c r="O46" i="793"/>
  <c r="S45" i="793"/>
  <c r="R45" i="793"/>
  <c r="Q45" i="793"/>
  <c r="P45" i="793"/>
  <c r="O45" i="793"/>
  <c r="M45" i="793"/>
  <c r="M44" i="793"/>
  <c r="S44" i="793" s="1"/>
  <c r="O44" i="793"/>
  <c r="Q44" i="793"/>
  <c r="P44" i="793"/>
  <c r="O42" i="793"/>
  <c r="Q42" i="793"/>
  <c r="P42" i="793"/>
  <c r="M42" i="793"/>
  <c r="S42" i="793" s="1"/>
  <c r="R44" i="793"/>
  <c r="R42" i="793"/>
  <c r="O43" i="793"/>
  <c r="M43" i="793"/>
  <c r="S43" i="793" s="1"/>
  <c r="P43" i="793"/>
  <c r="Q43" i="793"/>
  <c r="L36" i="793"/>
  <c r="L41" i="793"/>
  <c r="Q45" i="792"/>
  <c r="S45" i="792"/>
  <c r="R45" i="792"/>
  <c r="P45" i="792"/>
  <c r="O45" i="792"/>
  <c r="M45" i="792"/>
  <c r="R44" i="792"/>
  <c r="M46" i="792"/>
  <c r="S46" i="792"/>
  <c r="R46" i="792"/>
  <c r="Q46" i="792"/>
  <c r="P46" i="792"/>
  <c r="O46" i="792"/>
  <c r="O44" i="792"/>
  <c r="M44" i="792"/>
  <c r="S44" i="792" s="1"/>
  <c r="P44" i="792"/>
  <c r="Q44" i="792"/>
  <c r="S42" i="792"/>
  <c r="O42" i="792"/>
  <c r="Q42" i="792"/>
  <c r="P42" i="792"/>
  <c r="R42" i="792"/>
  <c r="R42" i="791"/>
  <c r="O43" i="792"/>
  <c r="Q43" i="792"/>
  <c r="P43" i="792"/>
  <c r="M43" i="792"/>
  <c r="S43" i="792" s="1"/>
  <c r="L36" i="792"/>
  <c r="L41" i="792"/>
  <c r="R43" i="791"/>
  <c r="M43" i="791"/>
  <c r="S43" i="791" s="1"/>
  <c r="O43" i="791"/>
  <c r="Q43" i="791"/>
  <c r="P43" i="791"/>
  <c r="O44" i="791"/>
  <c r="Q44" i="791"/>
  <c r="P44" i="791"/>
  <c r="M44" i="791"/>
  <c r="S44" i="791" s="1"/>
  <c r="M46" i="791"/>
  <c r="S46" i="791"/>
  <c r="R46" i="791"/>
  <c r="Q46" i="791"/>
  <c r="O46" i="791"/>
  <c r="P46" i="791"/>
  <c r="R44" i="791"/>
  <c r="S42" i="791"/>
  <c r="O42" i="791"/>
  <c r="Q42" i="791"/>
  <c r="P42" i="791"/>
  <c r="S45" i="791"/>
  <c r="P45" i="791"/>
  <c r="R45" i="791"/>
  <c r="O45" i="791"/>
  <c r="M45" i="791"/>
  <c r="Q45" i="791"/>
  <c r="L36" i="791"/>
  <c r="L41" i="791"/>
  <c r="K49" i="795" l="1" a="1"/>
  <c r="K49" i="795" s="1"/>
  <c r="P41" i="795"/>
  <c r="O41" i="795"/>
  <c r="Q41" i="795"/>
  <c r="M41" i="795"/>
  <c r="S41" i="795" s="1"/>
  <c r="R41" i="794"/>
  <c r="K49" i="794" a="1"/>
  <c r="K49" i="794" s="1"/>
  <c r="Q41" i="794"/>
  <c r="O41" i="794"/>
  <c r="P41" i="794"/>
  <c r="M41" i="794"/>
  <c r="S41" i="794" s="1"/>
  <c r="R41" i="793"/>
  <c r="K49" i="793" a="1"/>
  <c r="K49" i="793" s="1"/>
  <c r="O41" i="793"/>
  <c r="Q41" i="793"/>
  <c r="P41" i="793"/>
  <c r="M41" i="793"/>
  <c r="S41" i="793" s="1"/>
  <c r="K49" i="792" a="1"/>
  <c r="K49" i="792" s="1"/>
  <c r="O41" i="792"/>
  <c r="Q41" i="792"/>
  <c r="P41" i="792"/>
  <c r="M41" i="792"/>
  <c r="S41" i="792" s="1"/>
  <c r="R41" i="792"/>
  <c r="K49" i="791" a="1"/>
  <c r="K49" i="791" s="1"/>
  <c r="O41" i="791"/>
  <c r="P41" i="791"/>
  <c r="Q41" i="791"/>
  <c r="M41" i="791"/>
  <c r="S41" i="791" s="1"/>
  <c r="R41" i="791"/>
  <c r="G210" i="785" l="1"/>
  <c r="L49" i="4" l="1"/>
  <c r="P49" i="4" s="1"/>
  <c r="L48" i="4"/>
  <c r="P48" i="4" s="1"/>
  <c r="L47" i="4"/>
  <c r="M47" i="4" s="1"/>
  <c r="R35" i="4"/>
  <c r="M49" i="4" l="1"/>
  <c r="M48" i="4"/>
  <c r="O49" i="4"/>
  <c r="P47" i="4"/>
  <c r="Q49" i="4"/>
  <c r="R49" i="4"/>
  <c r="S49" i="4"/>
  <c r="S47" i="4"/>
  <c r="S48" i="4"/>
  <c r="O48" i="4"/>
  <c r="R48" i="4"/>
  <c r="O47" i="4"/>
  <c r="Q48" i="4"/>
  <c r="R47" i="4"/>
  <c r="Q47" i="4"/>
  <c r="T20" i="4" l="1" a="1"/>
  <c r="T20" i="4" s="1"/>
  <c r="Z20" i="4" s="1" a="1"/>
  <c r="Z20" i="4" s="1"/>
  <c r="AA20" i="4" s="1" a="1"/>
  <c r="AA20" i="4" s="1"/>
  <c r="M35" i="4"/>
  <c r="N35" i="4"/>
  <c r="O35" i="4"/>
  <c r="P35" i="4"/>
  <c r="Q35" i="4"/>
  <c r="L35" i="4"/>
  <c r="I24" i="4"/>
  <c r="L20" i="4" a="1"/>
  <c r="AF4" i="4" a="1"/>
  <c r="AF4" i="4" s="1"/>
  <c r="AD4" i="4" a="1"/>
  <c r="AD4" i="4" s="1"/>
  <c r="S4" i="4" a="1"/>
  <c r="S4" i="4" s="1"/>
  <c r="W5" i="4" a="1"/>
  <c r="W5" i="4" s="1"/>
  <c r="W9" i="4" a="1"/>
  <c r="W9" i="4" s="1"/>
  <c r="S11" i="4" a="1"/>
  <c r="S11" i="4" s="1"/>
  <c r="M4" i="4" a="1"/>
  <c r="M4" i="4" s="1"/>
  <c r="N4" i="4" s="1" a="1"/>
  <c r="N4" i="4" s="1"/>
  <c r="L20" i="4" l="1"/>
  <c r="L24" i="4" s="1"/>
  <c r="O24" i="4"/>
  <c r="N24" i="4"/>
  <c r="P24" i="4"/>
  <c r="Q24" i="4"/>
  <c r="O4" i="4" a="1"/>
  <c r="O4" i="4" s="1"/>
  <c r="P4" i="4" s="1" a="1"/>
  <c r="P4" i="4" s="1"/>
  <c r="M24" i="4"/>
  <c r="P8" i="4" a="1"/>
  <c r="P8" i="4" s="1"/>
  <c r="P7" i="4" a="1"/>
  <c r="P7" i="4" s="1"/>
  <c r="P9" i="4" a="1"/>
  <c r="P9" i="4" s="1"/>
  <c r="P10" i="4" a="1"/>
  <c r="P10" i="4" s="1"/>
  <c r="P11" i="4" a="1"/>
  <c r="P11" i="4" s="1"/>
  <c r="P12" i="4" a="1"/>
  <c r="P12" i="4" s="1"/>
  <c r="P13" i="4" a="1"/>
  <c r="P13" i="4" s="1"/>
  <c r="P5" i="4" l="1" a="1"/>
  <c r="P5" i="4" s="1"/>
  <c r="I35" i="4" l="1"/>
  <c r="I34" i="4"/>
  <c r="I33" i="4"/>
  <c r="I32" i="4"/>
  <c r="I31" i="4"/>
  <c r="I30" i="4"/>
  <c r="I29" i="4"/>
  <c r="I28" i="4"/>
  <c r="I27" i="4"/>
  <c r="I26" i="4"/>
  <c r="I25" i="4"/>
  <c r="P28" i="4" l="1"/>
  <c r="Q28" i="4"/>
  <c r="L28" i="4"/>
  <c r="N28" i="4"/>
  <c r="O28" i="4"/>
  <c r="M28" i="4"/>
  <c r="L29" i="4"/>
  <c r="M29" i="4"/>
  <c r="N29" i="4"/>
  <c r="O29" i="4"/>
  <c r="P29" i="4"/>
  <c r="Q29" i="4"/>
  <c r="P30" i="4"/>
  <c r="Q30" i="4"/>
  <c r="L30" i="4"/>
  <c r="M30" i="4"/>
  <c r="O30" i="4"/>
  <c r="N30" i="4"/>
  <c r="L31" i="4"/>
  <c r="M31" i="4"/>
  <c r="N31" i="4"/>
  <c r="O31" i="4"/>
  <c r="P31" i="4"/>
  <c r="Q31" i="4"/>
  <c r="L32" i="4"/>
  <c r="Q32" i="4"/>
  <c r="P32" i="4"/>
  <c r="N32" i="4"/>
  <c r="M32" i="4"/>
  <c r="O32" i="4"/>
  <c r="M33" i="4"/>
  <c r="O33" i="4"/>
  <c r="N33" i="4"/>
  <c r="P33" i="4"/>
  <c r="Q33" i="4"/>
  <c r="L33" i="4"/>
  <c r="Q34" i="4"/>
  <c r="P34" i="4"/>
  <c r="M34" i="4"/>
  <c r="O34" i="4"/>
  <c r="L34" i="4"/>
  <c r="N34" i="4"/>
  <c r="Q25" i="4"/>
  <c r="M25" i="4"/>
  <c r="L25" i="4"/>
  <c r="N25" i="4"/>
  <c r="O25" i="4"/>
  <c r="P25" i="4"/>
  <c r="P27" i="4"/>
  <c r="Q27" i="4"/>
  <c r="L27" i="4"/>
  <c r="O27" i="4"/>
  <c r="N27" i="4"/>
  <c r="M27" i="4"/>
  <c r="O26" i="4"/>
  <c r="N26" i="4"/>
  <c r="L26" i="4"/>
  <c r="Q26" i="4"/>
  <c r="M26" i="4"/>
  <c r="P26" i="4"/>
  <c r="I37" i="4"/>
  <c r="I40" i="4" s="1"/>
  <c r="L44" i="4" l="1"/>
  <c r="M44" i="4" s="1"/>
  <c r="L45" i="4"/>
  <c r="M45" i="4" s="1"/>
  <c r="L43" i="4"/>
  <c r="M43" i="4" s="1"/>
  <c r="L42" i="4"/>
  <c r="M42" i="4" s="1"/>
  <c r="L41" i="4"/>
  <c r="L46" i="4"/>
  <c r="M46" i="4" s="1"/>
  <c r="O36" i="4"/>
  <c r="L36" i="4"/>
  <c r="P36" i="4"/>
  <c r="M36" i="4"/>
  <c r="N36" i="4"/>
  <c r="Q36" i="4"/>
  <c r="C9" i="4"/>
  <c r="K49" i="4" l="1" a="1"/>
  <c r="K49" i="4" s="1"/>
  <c r="M41" i="4"/>
  <c r="S41" i="4" s="1"/>
  <c r="O41" i="4"/>
  <c r="P6" i="4" a="1"/>
  <c r="P6" i="4" s="1"/>
  <c r="Q46" i="4"/>
  <c r="R46" i="4"/>
  <c r="O46" i="4"/>
  <c r="P46" i="4"/>
  <c r="S43" i="4"/>
  <c r="P43" i="4"/>
  <c r="Q43" i="4"/>
  <c r="R43" i="4"/>
  <c r="O43" i="4"/>
  <c r="P41" i="4"/>
  <c r="Q41" i="4"/>
  <c r="R41" i="4"/>
  <c r="P42" i="4"/>
  <c r="Q42" i="4"/>
  <c r="R42" i="4"/>
  <c r="O42" i="4"/>
  <c r="R45" i="4"/>
  <c r="O45" i="4"/>
  <c r="P45" i="4"/>
  <c r="Q45" i="4"/>
  <c r="O44" i="4"/>
  <c r="S44" i="4"/>
  <c r="P44" i="4"/>
  <c r="Q44" i="4"/>
  <c r="R44" i="4"/>
  <c r="S46" i="4"/>
  <c r="S42" i="4"/>
  <c r="S45" i="4"/>
  <c r="F15" i="6" l="1" a="1"/>
  <c r="F15" i="6" s="1"/>
  <c r="F10" i="4"/>
  <c r="F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<sst xmlns="http://schemas.openxmlformats.org/spreadsheetml/2006/main" count="890" uniqueCount="341">
  <si>
    <t>AMOUNT</t>
  </si>
  <si>
    <t>COST</t>
  </si>
  <si>
    <t>QUANTITY</t>
  </si>
  <si>
    <t>DESCRIPTION</t>
  </si>
  <si>
    <t>LINE</t>
  </si>
  <si>
    <t>CASH</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</si>
  <si>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</si>
  <si>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</si>
  <si>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</si>
  <si>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</si>
  <si>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</si>
  <si>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</si>
  <si>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</si>
  <si>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</si>
  <si>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</si>
  <si>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</si>
  <si>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</si>
  <si>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</si>
  <si>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</si>
  <si>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</si>
  <si>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</si>
  <si>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</si>
  <si>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</si>
  <si>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</si>
  <si>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</si>
  <si>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</si>
  <si>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</si>
  <si>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</si>
  <si>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</si>
  <si>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</si>
  <si>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</si>
  <si>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</si>
  <si>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</si>
  <si>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</si>
  <si>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</si>
  <si>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</si>
  <si>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</si>
  <si>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</si>
  <si>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</si>
  <si>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</si>
  <si>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</si>
  <si>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</si>
  <si>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</si>
  <si>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</si>
  <si>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</si>
  <si>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</si>
  <si>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</si>
  <si>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</si>
  <si>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</si>
  <si>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</si>
  <si>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</si>
  <si>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</si>
  <si>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</si>
  <si>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</si>
  <si>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</si>
  <si>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</si>
  <si>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</si>
  <si>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</si>
  <si>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</si>
  <si>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</si>
  <si>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</si>
  <si>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</si>
  <si>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</si>
  <si>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</si>
  <si>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</si>
  <si>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</si>
  <si>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</si>
  <si>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</si>
  <si>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</si>
  <si>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</si>
  <si>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</si>
  <si>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</si>
  <si>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</si>
  <si>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</si>
  <si>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</si>
  <si>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</si>
  <si>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</si>
  <si>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</si>
  <si>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</si>
  <si>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</si>
  <si>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</si>
  <si>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</si>
  <si>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</si>
  <si>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</si>
  <si>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</si>
  <si>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</si>
  <si>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</si>
  <si>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</si>
  <si>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</si>
  <si>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</si>
  <si>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</si>
  <si>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</si>
  <si>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</si>
  <si>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</si>
  <si>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</si>
  <si>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</si>
  <si>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</si>
  <si>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</si>
  <si>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</si>
  <si>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</si>
  <si>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</si>
  <si>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</si>
  <si>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</si>
  <si>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</si>
  <si>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</si>
  <si>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</si>
  <si>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</si>
  <si>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</si>
  <si>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</si>
  <si>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</si>
  <si>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</si>
  <si>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</si>
  <si>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</si>
  <si>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</si>
  <si>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</si>
  <si>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</si>
  <si>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</si>
  <si>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</si>
  <si>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</si>
  <si>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</si>
  <si>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</si>
  <si>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</si>
  <si>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</si>
  <si>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</si>
  <si>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</si>
  <si>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</si>
  <si>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</si>
  <si>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</si>
  <si>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</si>
  <si>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</si>
  <si>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</si>
  <si>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</si>
  <si>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</si>
  <si>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</si>
  <si>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</si>
  <si>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</si>
  <si>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</si>
  <si>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</si>
  <si>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</si>
  <si>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</si>
  <si>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</si>
  <si>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</si>
  <si>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</si>
  <si>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</si>
  <si>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</si>
  <si>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</si>
  <si>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</si>
  <si>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</si>
  <si>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</si>
  <si>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</si>
  <si>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</si>
  <si>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</si>
  <si>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</si>
  <si>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</si>
  <si>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</si>
  <si>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</si>
  <si>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</si>
  <si>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</si>
  <si>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</si>
  <si>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</si>
  <si>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</si>
  <si>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</si>
  <si>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</si>
  <si>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</si>
  <si>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</si>
  <si>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</si>
  <si>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</si>
  <si>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</si>
  <si>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</si>
  <si>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</si>
  <si>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</si>
  <si>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</si>
  <si>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</si>
  <si>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</si>
  <si>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</si>
  <si>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</si>
  <si>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</si>
  <si>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</si>
  <si>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</si>
  <si>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</si>
  <si>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</si>
  <si>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</si>
  <si>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</si>
  <si>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</si>
  <si>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</si>
  <si>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</si>
  <si>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</si>
  <si>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</si>
  <si>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</si>
  <si>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</si>
  <si>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</si>
  <si>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</si>
  <si>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</si>
  <si>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</si>
  <si>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</si>
  <si>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</si>
  <si>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</si>
  <si>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</si>
  <si>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</si>
  <si>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</si>
  <si>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</si>
  <si>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</si>
  <si>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</si>
  <si>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</si>
  <si>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</si>
  <si>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</si>
  <si>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</si>
  <si>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</si>
  <si>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</si>
  <si>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</si>
  <si>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</si>
  <si>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</si>
  <si>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</si>
  <si>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</si>
  <si>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</si>
  <si>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</si>
  <si>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</si>
  <si>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</si>
  <si>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</si>
  <si>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</si>
  <si>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</si>
  <si>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</si>
  <si>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</si>
  <si>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</si>
  <si>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</si>
  <si>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</si>
  <si>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</si>
  <si>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</si>
  <si>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</si>
  <si>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</si>
  <si>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</si>
  <si>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</si>
  <si>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</si>
  <si>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</si>
  <si>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</si>
  <si>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</si>
  <si>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</si>
  <si>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</si>
  <si>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</si>
  <si>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</si>
  <si>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</si>
  <si>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</si>
  <si>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</si>
  <si>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</si>
  <si>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</si>
  <si>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</si>
  <si>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</si>
  <si>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</si>
  <si>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</si>
  <si>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</si>
  <si>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</si>
  <si>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</si>
  <si>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</si>
  <si>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</si>
  <si>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</si>
  <si>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</si>
  <si>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</si>
  <si>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</si>
  <si>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Client/Agency - Supplies</t>
  </si>
  <si>
    <t>Client/Agency - Craft Service</t>
  </si>
  <si>
    <t>Client Agency - Giftbags, Dinner, Gifts</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</si>
  <si>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</si>
  <si>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</si>
  <si>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</si>
  <si>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</si>
  <si>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</si>
  <si>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</si>
  <si>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</si>
  <si>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</si>
  <si>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</si>
  <si>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</si>
  <si>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</si>
  <si>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</si>
  <si>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</si>
  <si>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</si>
  <si>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</si>
  <si>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</si>
  <si>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</si>
  <si>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</si>
  <si>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</si>
  <si>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</si>
  <si>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</si>
  <si>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</si>
  <si>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</si>
  <si>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</si>
  <si>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</si>
  <si>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</si>
  <si>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</si>
  <si>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</si>
  <si>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</si>
  <si>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</si>
  <si>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</si>
  <si>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</si>
  <si>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</si>
  <si>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</si>
  <si>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</si>
  <si>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</si>
  <si>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</si>
  <si>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</si>
  <si>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</si>
  <si>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</si>
  <si>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</si>
  <si>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</si>
  <si>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</si>
  <si>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</si>
  <si>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</si>
  <si>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</si>
  <si>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</si>
  <si>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</si>
  <si>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</si>
  <si>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</si>
  <si>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UniqueRegister</t>
  </si>
  <si>
    <t>SortCounter</t>
  </si>
  <si>
    <t>Sort</t>
  </si>
  <si>
    <t>Description</t>
  </si>
  <si>
    <t>Misc</t>
  </si>
  <si>
    <t>CC 2456</t>
  </si>
  <si>
    <t>#A</t>
  </si>
  <si>
    <t>#C</t>
  </si>
  <si>
    <t>#D</t>
  </si>
  <si>
    <t>#E</t>
  </si>
  <si>
    <t>#F</t>
  </si>
  <si>
    <t>3 ColUniqueRegister</t>
  </si>
  <si>
    <t>UNIQUE(HSTACK(LineEntry, DateEntry, PayIDEntry))</t>
  </si>
  <si>
    <t>works</t>
  </si>
  <si>
    <t>IFERROR(
INDEX(
UNIQUE(HSTACK(LineEntry,DateEntry,PayIDEntry)),
SEQUENCE(6,1),
{1,2,3}
),
""
)</t>
  </si>
  <si>
    <t>WORKS</t>
  </si>
  <si>
    <t>NO</t>
  </si>
  <si>
    <t>#B</t>
  </si>
  <si>
    <t>nothing</t>
  </si>
  <si>
    <t>CHK 101</t>
  </si>
  <si>
    <t>Line</t>
  </si>
  <si>
    <t>Date</t>
  </si>
  <si>
    <t>PayID</t>
  </si>
  <si>
    <t>PO LOG PREVIEW</t>
  </si>
  <si>
    <t>Vendor</t>
  </si>
  <si>
    <t>Unique Register</t>
  </si>
  <si>
    <t>Sort Counter</t>
  </si>
  <si>
    <t>IFERROR(
    TOCOL(
        INDEX(
            FILTER(
                UNIQUE(HSTACK(LineEntry, DateEntry, PayIDEntry)),
                BYROW(UNIQUE(HSTACK(LineEntry, DateEntry, PayIDEntry)), LAMBDA(row, SUM(row)&lt;&gt;0))
            ),
            SEQUENCE(6,1),
            {1,2,3}
        )
    ),
    ""
)</t>
  </si>
  <si>
    <t>Line Producer Grease</t>
  </si>
  <si>
    <t>HHEADER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</si>
</sst>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lt;=9999999]###\-####;\(###\)\ ###\-####"/>
    <numFmt numFmtId="166" formatCode="_(#,##0.00_);[Red]\(#,##0.00\)"/>
    <numFmt numFmtId="167" formatCode="0;\(0\);&quot;&quot;"/>
    <numFmt numFmtId="168" formatCode="000"/>
  </numFmts>
  <fonts count="67">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10"/>
      <name val="Geneva"/>
      <family val="2"/>
    </font>
    <font>
      <b/>
      <sz val="9"/>
      <color indexed="12"/>
      <name val="Helv"/>
    </font>
    <font>
      <sz val="9"/>
      <name val="Helv"/>
      <family val="2"/>
    </font>
    <font>
      <b/>
      <sz val="9"/>
      <color indexed="17"/>
      <name val="Helv"/>
    </font>
    <font>
      <sz val="9"/>
      <color indexed="8"/>
      <name val="Helv"/>
    </font>
    <font>
      <sz val="9"/>
      <color indexed="10"/>
      <name val="Helv"/>
      <family val="2"/>
    </font>
    <font>
      <sz val="9"/>
      <color indexed="12"/>
      <name val="Helv"/>
    </font>
    <font>
      <b/>
      <sz val="12"/>
      <color theme="1"/>
      <name val="Aptos Narrow"/>
      <scheme val="minor"/>
    </font>
    <font>
      <i/>
      <sz val="12"/>
      <color theme="1"/>
      <name val="Aptos Narrow"/>
      <scheme val="minor"/>
    </font>
    <font>
      <sz val="12"/>
      <color rgb="FF000000"/>
      <name val="Aptos Narrow"/>
      <family val="2"/>
      <scheme val="minor"/>
    </font>
    <font>
      <sz val="12"/>
      <name val="Arial"/>
      <family val="2"/>
    </font>
    <font>
      <sz val="12"/>
      <color rgb="FF000000"/>
      <name val="Arial"/>
      <family val="2"/>
    </font>
    <font>
      <b/>
      <sz val="12"/>
      <color theme="0"/>
      <name val="Arial"/>
      <family val="2"/>
    </font>
    <font>
      <b/>
      <sz val="12"/>
      <color theme="1"/>
      <name val="Arial"/>
      <family val="2"/>
    </font>
    <font>
      <b/>
      <sz val="12"/>
      <color theme="1" tint="0.249977111117893"/>
      <name val="Aptos Narrow"/>
      <scheme val="minor"/>
    </font>
    <font>
      <sz val="12"/>
      <name val="Aptos Narrow"/>
      <family val="2"/>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10"/>
      <color theme="1" tint="0.249977111117893"/>
      <name val="Aptos Narrow"/>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b/>
      <sz val="12"/>
      <color theme="2" tint="-0.249977111117893"/>
      <name val="Arial"/>
      <family val="2"/>
    </font>
    <font>
      <sz val="9"/>
      <color rgb="FF404040"/>
      <name val="Aptos Narrow"/>
      <family val="1"/>
      <scheme val="minor"/>
    </font>
  </fonts>
  <fills count="13">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s>
  <borders count="86">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right style="double">
        <color indexed="64"/>
      </right>
      <top/>
      <bottom/>
      <diagonal/>
    </border>
    <border>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style="thin">
        <color auto="1"/>
      </right>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thin">
        <color auto="1"/>
      </left>
      <right/>
      <top style="thin">
        <color rgb="FF000000"/>
      </top>
      <bottom/>
      <diagonal/>
    </border>
    <border>
      <left style="thin">
        <color indexed="64"/>
      </left>
      <right style="thin">
        <color auto="1"/>
      </right>
      <top style="thin">
        <color rgb="FF000000"/>
      </top>
      <bottom/>
      <diagonal/>
    </border>
  </borders>
  <cellStyleXfs count="3">
    <xf numFmtId="0" fontId="0" fillId="0" borderId="0"/>
    <xf numFmtId="0" fontId="3" fillId="0" borderId="0"/>
    <xf numFmtId="0" fontId="32" fillId="0" borderId="0"/>
  </cellStyleXfs>
  <cellXfs count="275">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6" borderId="0" xfId="0" applyFill="1" applyProtection="1">
      <protection hidden="1"/>
    </xf>
    <xf numFmtId="0" fontId="0" fillId="0" borderId="0" xfId="0" applyProtection="1">
      <protection hidden="1"/>
    </xf>
    <xf numFmtId="0" fontId="30" fillId="0" borderId="0" xfId="0" applyFont="1" applyProtection="1">
      <protection hidden="1"/>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0" fillId="0" borderId="6" xfId="0" applyFont="1" applyBorder="1" applyProtection="1">
      <protection hidden="1"/>
    </xf>
    <xf numFmtId="0" fontId="30" fillId="0" borderId="6" xfId="0" applyFont="1" applyBorder="1" applyAlignment="1" applyProtection="1">
      <alignment horizontal="right"/>
      <protection hidden="1"/>
    </xf>
    <xf numFmtId="164" fontId="30" fillId="0" borderId="6" xfId="0" applyNumberFormat="1" applyFont="1" applyBorder="1" applyProtection="1">
      <protection hidden="1"/>
    </xf>
    <xf numFmtId="40" fontId="30" fillId="0" borderId="6" xfId="0" applyNumberFormat="1" applyFont="1" applyBorder="1" applyProtection="1">
      <protection hidden="1"/>
    </xf>
    <xf numFmtId="0" fontId="33" fillId="0" borderId="11" xfId="2" applyFont="1" applyBorder="1" applyAlignment="1" applyProtection="1">
      <alignment horizontal="center"/>
      <protection hidden="1"/>
    </xf>
    <xf numFmtId="0" fontId="33" fillId="0" borderId="5" xfId="2" applyFont="1" applyBorder="1" applyProtection="1">
      <protection locked="0" hidden="1"/>
    </xf>
    <xf numFmtId="0" fontId="34" fillId="0" borderId="5" xfId="2" applyFont="1" applyBorder="1" applyProtection="1">
      <protection locked="0"/>
    </xf>
    <xf numFmtId="0" fontId="35" fillId="0" borderId="11" xfId="2" applyFont="1" applyBorder="1" applyAlignment="1" applyProtection="1">
      <alignment horizontal="center"/>
      <protection hidden="1"/>
    </xf>
    <xf numFmtId="0" fontId="34" fillId="0" borderId="10" xfId="2" applyFont="1" applyBorder="1" applyProtection="1">
      <protection locked="0"/>
    </xf>
    <xf numFmtId="0" fontId="34" fillId="0" borderId="5" xfId="0" applyFont="1" applyBorder="1"/>
    <xf numFmtId="0" fontId="34" fillId="0" borderId="5" xfId="0" applyFont="1" applyBorder="1" applyProtection="1">
      <protection locked="0"/>
    </xf>
    <xf numFmtId="0" fontId="35" fillId="0" borderId="12" xfId="2" applyFont="1" applyBorder="1" applyAlignment="1" applyProtection="1">
      <alignment horizontal="center"/>
      <protection hidden="1"/>
    </xf>
    <xf numFmtId="0" fontId="34" fillId="0" borderId="13" xfId="0" applyFont="1" applyBorder="1" applyProtection="1">
      <protection locked="0"/>
    </xf>
    <xf numFmtId="0" fontId="34" fillId="0" borderId="14" xfId="2" applyFont="1" applyBorder="1" applyProtection="1">
      <protection locked="0"/>
    </xf>
    <xf numFmtId="0" fontId="34" fillId="0" borderId="6" xfId="0" applyFont="1" applyBorder="1" applyProtection="1">
      <protection locked="0"/>
    </xf>
    <xf numFmtId="0" fontId="33" fillId="0" borderId="5" xfId="2" applyFont="1" applyBorder="1" applyProtection="1">
      <protection locked="0"/>
    </xf>
    <xf numFmtId="167" fontId="34" fillId="0" borderId="5" xfId="0" applyNumberFormat="1" applyFont="1" applyBorder="1" applyProtection="1">
      <protection locked="0"/>
    </xf>
    <xf numFmtId="0" fontId="0" fillId="0" borderId="15" xfId="0" applyBorder="1"/>
    <xf numFmtId="0" fontId="0" fillId="0" borderId="16" xfId="0" applyBorder="1"/>
    <xf numFmtId="0" fontId="0" fillId="0" borderId="17" xfId="0" applyBorder="1"/>
    <xf numFmtId="0" fontId="36" fillId="0" borderId="16" xfId="2" applyFont="1" applyBorder="1" applyProtection="1">
      <protection locked="0"/>
    </xf>
    <xf numFmtId="167" fontId="34" fillId="0" borderId="18" xfId="0" applyNumberFormat="1" applyFont="1" applyBorder="1"/>
    <xf numFmtId="167" fontId="34" fillId="0" borderId="18" xfId="0" applyNumberFormat="1" applyFont="1" applyBorder="1" applyProtection="1">
      <protection locked="0"/>
    </xf>
    <xf numFmtId="167" fontId="34" fillId="0" borderId="6" xfId="0" applyNumberFormat="1" applyFont="1" applyBorder="1" applyProtection="1">
      <protection locked="0"/>
    </xf>
    <xf numFmtId="0" fontId="33" fillId="0" borderId="19" xfId="2" applyFont="1" applyBorder="1" applyAlignment="1" applyProtection="1">
      <alignment horizontal="center"/>
      <protection hidden="1"/>
    </xf>
    <xf numFmtId="0" fontId="33" fillId="0" borderId="20" xfId="2" applyFont="1" applyBorder="1" applyProtection="1">
      <protection locked="0" hidden="1"/>
    </xf>
    <xf numFmtId="167" fontId="34" fillId="0" borderId="5" xfId="0" applyNumberFormat="1" applyFont="1" applyBorder="1"/>
    <xf numFmtId="0" fontId="34" fillId="0" borderId="10" xfId="0" applyFont="1" applyBorder="1" applyProtection="1">
      <protection locked="0"/>
    </xf>
    <xf numFmtId="0" fontId="37" fillId="0" borderId="5" xfId="0" applyFont="1" applyBorder="1" applyAlignment="1">
      <alignment horizontal="right"/>
    </xf>
    <xf numFmtId="0" fontId="35" fillId="0" borderId="10" xfId="2" applyFont="1" applyBorder="1" applyAlignment="1" applyProtection="1">
      <alignment horizontal="center"/>
      <protection hidden="1"/>
    </xf>
    <xf numFmtId="2" fontId="33" fillId="0" borderId="11" xfId="2" applyNumberFormat="1" applyFont="1" applyBorder="1" applyAlignment="1" applyProtection="1">
      <alignment horizontal="center"/>
      <protection hidden="1"/>
    </xf>
    <xf numFmtId="1" fontId="35" fillId="0" borderId="12" xfId="2" applyNumberFormat="1" applyFont="1" applyBorder="1" applyAlignment="1" applyProtection="1">
      <alignment horizontal="center"/>
      <protection hidden="1"/>
    </xf>
    <xf numFmtId="4" fontId="33" fillId="0" borderId="11" xfId="2" applyNumberFormat="1" applyFont="1" applyBorder="1" applyAlignment="1" applyProtection="1">
      <alignment horizontal="center"/>
      <protection hidden="1"/>
    </xf>
    <xf numFmtId="1" fontId="35" fillId="0" borderId="14" xfId="2" applyNumberFormat="1" applyFont="1" applyBorder="1" applyAlignment="1" applyProtection="1">
      <alignment horizontal="center"/>
      <protection hidden="1"/>
    </xf>
    <xf numFmtId="1" fontId="35" fillId="0" borderId="10" xfId="2" applyNumberFormat="1" applyFont="1" applyBorder="1" applyAlignment="1" applyProtection="1">
      <alignment horizontal="center"/>
      <protection hidden="1"/>
    </xf>
    <xf numFmtId="38" fontId="34" fillId="0" borderId="21" xfId="0" applyNumberFormat="1" applyFont="1" applyBorder="1" applyProtection="1">
      <protection hidden="1"/>
    </xf>
    <xf numFmtId="38" fontId="34" fillId="0" borderId="21" xfId="2" applyNumberFormat="1" applyFont="1" applyBorder="1" applyProtection="1">
      <protection hidden="1"/>
    </xf>
    <xf numFmtId="0" fontId="34" fillId="0" borderId="10" xfId="2" applyFont="1" applyBorder="1" applyProtection="1">
      <protection locked="0" hidden="1"/>
    </xf>
    <xf numFmtId="0" fontId="38" fillId="0" borderId="5" xfId="2" applyFont="1" applyBorder="1" applyProtection="1">
      <protection hidden="1"/>
    </xf>
    <xf numFmtId="0" fontId="34" fillId="0" borderId="6" xfId="2" applyFont="1" applyBorder="1" applyProtection="1">
      <protection locked="0"/>
    </xf>
    <xf numFmtId="0" fontId="34" fillId="0" borderId="5" xfId="2" applyFont="1" applyBorder="1" applyProtection="1">
      <protection hidden="1"/>
    </xf>
    <xf numFmtId="0" fontId="34" fillId="0" borderId="14" xfId="0" applyFont="1" applyBorder="1" applyProtection="1">
      <protection locked="0"/>
    </xf>
    <xf numFmtId="0" fontId="39" fillId="0" borderId="0" xfId="0" applyFont="1"/>
    <xf numFmtId="0" fontId="0" fillId="0" borderId="23" xfId="0" applyBorder="1"/>
    <xf numFmtId="0" fontId="39" fillId="10" borderId="0" xfId="0" applyFont="1" applyFill="1"/>
    <xf numFmtId="0" fontId="0" fillId="10" borderId="0" xfId="0" applyFill="1"/>
    <xf numFmtId="0" fontId="39" fillId="10" borderId="22" xfId="0" applyFont="1" applyFill="1" applyBorder="1"/>
    <xf numFmtId="0" fontId="40" fillId="10" borderId="0" xfId="0" applyFont="1" applyFill="1"/>
    <xf numFmtId="0" fontId="39" fillId="0" borderId="24" xfId="0" applyFont="1" applyBorder="1"/>
    <xf numFmtId="0" fontId="39" fillId="10" borderId="27" xfId="0" applyFont="1" applyFill="1" applyBorder="1"/>
    <xf numFmtId="0" fontId="40" fillId="0" borderId="0" xfId="0" applyFont="1"/>
    <xf numFmtId="168" fontId="39" fillId="0" borderId="24" xfId="0" applyNumberFormat="1" applyFont="1" applyBorder="1"/>
    <xf numFmtId="168" fontId="39" fillId="10" borderId="0" xfId="0" applyNumberFormat="1" applyFont="1" applyFill="1"/>
    <xf numFmtId="0" fontId="0" fillId="0" borderId="25" xfId="0" applyBorder="1"/>
    <xf numFmtId="168" fontId="0" fillId="0" borderId="34" xfId="0" applyNumberFormat="1" applyBorder="1"/>
    <xf numFmtId="168" fontId="0" fillId="0" borderId="35" xfId="0" applyNumberFormat="1" applyBorder="1"/>
    <xf numFmtId="168" fontId="41" fillId="0" borderId="36" xfId="0" applyNumberFormat="1" applyFont="1" applyBorder="1"/>
    <xf numFmtId="0" fontId="1" fillId="9" borderId="36" xfId="0" applyFont="1" applyFill="1" applyBorder="1"/>
    <xf numFmtId="0" fontId="0" fillId="0" borderId="37" xfId="0" applyBorder="1"/>
    <xf numFmtId="0" fontId="0" fillId="0" borderId="38" xfId="0" applyBorder="1"/>
    <xf numFmtId="0" fontId="0" fillId="0" borderId="26" xfId="0" applyBorder="1"/>
    <xf numFmtId="40" fontId="0" fillId="0" borderId="11" xfId="0" applyNumberFormat="1" applyBorder="1" applyAlignment="1" applyProtection="1">
      <alignment shrinkToFit="1"/>
      <protection hidden="1"/>
    </xf>
    <xf numFmtId="0" fontId="45" fillId="0" borderId="11" xfId="0" applyFont="1" applyBorder="1" applyAlignment="1" applyProtection="1">
      <alignment horizontal="center" shrinkToFit="1"/>
      <protection hidden="1"/>
    </xf>
    <xf numFmtId="0" fontId="47" fillId="0" borderId="0" xfId="0" applyFont="1"/>
    <xf numFmtId="0" fontId="15" fillId="3" borderId="6" xfId="1" applyFont="1" applyFill="1" applyBorder="1" applyAlignment="1" applyProtection="1">
      <alignment horizontal="center"/>
      <protection locked="0"/>
    </xf>
    <xf numFmtId="0" fontId="4" fillId="0" borderId="20" xfId="1" applyFont="1" applyBorder="1"/>
    <xf numFmtId="0" fontId="4" fillId="0" borderId="42"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42" xfId="1" applyFont="1" applyBorder="1"/>
    <xf numFmtId="0" fontId="11" fillId="0" borderId="0" xfId="1" applyFont="1" applyAlignment="1">
      <alignment horizontal="left"/>
    </xf>
    <xf numFmtId="0" fontId="12" fillId="0" borderId="42" xfId="1" applyFont="1" applyBorder="1"/>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2" fillId="0" borderId="0" xfId="1" applyFont="1" applyAlignment="1" applyProtection="1">
      <alignment horizontal="center"/>
      <protection locked="0"/>
    </xf>
    <xf numFmtId="0" fontId="10" fillId="0" borderId="0" xfId="1" applyFont="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8" fillId="2" borderId="0" xfId="1" applyNumberFormat="1" applyFont="1" applyFill="1"/>
    <xf numFmtId="44" fontId="6" fillId="2" borderId="0" xfId="1" applyNumberFormat="1" applyFont="1" applyFill="1" applyAlignment="1">
      <alignment horizontal="left" vertical="center"/>
    </xf>
    <xf numFmtId="0" fontId="4" fillId="0" borderId="14" xfId="1" applyFont="1" applyBorder="1"/>
    <xf numFmtId="0" fontId="4" fillId="0" borderId="6" xfId="1" applyFont="1" applyBorder="1"/>
    <xf numFmtId="0" fontId="4" fillId="0" borderId="43" xfId="1" applyFont="1" applyBorder="1"/>
    <xf numFmtId="0" fontId="13" fillId="5" borderId="46" xfId="1" applyFont="1" applyFill="1" applyBorder="1" applyAlignment="1">
      <alignment horizontal="center" vertical="center"/>
    </xf>
    <xf numFmtId="0" fontId="12" fillId="4" borderId="49" xfId="1" applyFont="1" applyFill="1" applyBorder="1" applyAlignment="1" applyProtection="1">
      <alignment horizontal="center"/>
      <protection locked="0"/>
    </xf>
    <xf numFmtId="0" fontId="12" fillId="4" borderId="47" xfId="1" applyFont="1" applyFill="1" applyBorder="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0" fontId="15" fillId="3" borderId="0" xfId="1" applyFont="1" applyFill="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54" xfId="1" applyFont="1" applyBorder="1"/>
    <xf numFmtId="0" fontId="25" fillId="0" borderId="53" xfId="1" applyFont="1" applyBorder="1" applyAlignment="1">
      <alignment horizontal="left"/>
    </xf>
    <xf numFmtId="0" fontId="11" fillId="0" borderId="54" xfId="1" applyFont="1" applyBorder="1" applyAlignment="1">
      <alignment horizontal="left"/>
    </xf>
    <xf numFmtId="0" fontId="51" fillId="0" borderId="56" xfId="1" applyFont="1" applyBorder="1"/>
    <xf numFmtId="0" fontId="21" fillId="0" borderId="54" xfId="1" applyFont="1" applyBorder="1" applyAlignment="1">
      <alignment horizontal="center"/>
    </xf>
    <xf numFmtId="0" fontId="51" fillId="0" borderId="57" xfId="1" applyFont="1" applyBorder="1"/>
    <xf numFmtId="0" fontId="20" fillId="0" borderId="54" xfId="1" applyFont="1" applyBorder="1" applyAlignment="1">
      <alignment horizontal="center"/>
    </xf>
    <xf numFmtId="0" fontId="16" fillId="0" borderId="53" xfId="1" applyFont="1" applyBorder="1" applyAlignment="1">
      <alignment horizontal="left" indent="1"/>
    </xf>
    <xf numFmtId="0" fontId="16" fillId="0" borderId="54" xfId="1" applyFont="1" applyBorder="1" applyAlignment="1">
      <alignment horizontal="right"/>
    </xf>
    <xf numFmtId="0" fontId="18" fillId="0" borderId="53" xfId="1" applyFont="1" applyBorder="1" applyAlignment="1">
      <alignment horizontal="right" wrapText="1"/>
    </xf>
    <xf numFmtId="0" fontId="18" fillId="0" borderId="53" xfId="1" applyFont="1" applyBorder="1" applyAlignment="1">
      <alignment horizontal="right"/>
    </xf>
    <xf numFmtId="0" fontId="12" fillId="0" borderId="54" xfId="1" applyFont="1" applyBorder="1"/>
    <xf numFmtId="0" fontId="16" fillId="3" borderId="59" xfId="1" applyFont="1" applyFill="1" applyBorder="1" applyProtection="1">
      <protection locked="0"/>
    </xf>
    <xf numFmtId="0" fontId="17" fillId="0" borderId="53" xfId="1" applyFont="1" applyBorder="1"/>
    <xf numFmtId="0" fontId="16" fillId="4" borderId="53" xfId="1" applyFont="1" applyFill="1" applyBorder="1"/>
    <xf numFmtId="0" fontId="14" fillId="0" borderId="53" xfId="1" applyFont="1" applyBorder="1" applyAlignment="1">
      <alignment horizontal="right" wrapText="1" indent="1"/>
    </xf>
    <xf numFmtId="0" fontId="15" fillId="3" borderId="55" xfId="1" applyFont="1" applyFill="1" applyBorder="1" applyAlignment="1" applyProtection="1">
      <alignment horizontal="center"/>
      <protection locked="0"/>
    </xf>
    <xf numFmtId="0" fontId="2" fillId="0" borderId="54" xfId="1" applyFont="1" applyBorder="1" applyAlignment="1" applyProtection="1">
      <alignment horizontal="center"/>
      <protection locked="0"/>
    </xf>
    <xf numFmtId="164" fontId="13" fillId="5" borderId="61" xfId="1" applyNumberFormat="1" applyFont="1" applyFill="1" applyBorder="1" applyAlignment="1">
      <alignment horizontal="center" vertical="center"/>
    </xf>
    <xf numFmtId="0" fontId="13" fillId="5" borderId="62" xfId="1" applyFont="1" applyFill="1" applyBorder="1" applyAlignment="1">
      <alignment horizontal="center" vertical="center"/>
    </xf>
    <xf numFmtId="44" fontId="12" fillId="4" borderId="64" xfId="1" applyNumberFormat="1" applyFont="1" applyFill="1" applyBorder="1" applyAlignment="1" applyProtection="1">
      <alignment horizontal="center"/>
      <protection locked="0"/>
    </xf>
    <xf numFmtId="44" fontId="12" fillId="4" borderId="66" xfId="1" applyNumberFormat="1" applyFont="1" applyFill="1" applyBorder="1" applyAlignment="1" applyProtection="1">
      <alignment horizontal="center"/>
      <protection locked="0"/>
    </xf>
    <xf numFmtId="0" fontId="12" fillId="4" borderId="53" xfId="1" applyFont="1" applyFill="1" applyBorder="1" applyProtection="1">
      <protection locked="0"/>
    </xf>
    <xf numFmtId="44" fontId="12" fillId="0" borderId="54" xfId="1" applyNumberFormat="1" applyFont="1" applyBorder="1" applyAlignment="1" applyProtection="1">
      <alignment horizontal="center"/>
      <protection locked="0"/>
    </xf>
    <xf numFmtId="0" fontId="4" fillId="0" borderId="53" xfId="1" applyFont="1" applyBorder="1"/>
    <xf numFmtId="0" fontId="10" fillId="0" borderId="54" xfId="1" applyFont="1" applyBorder="1" applyAlignment="1" applyProtection="1">
      <alignment horizontal="center"/>
      <protection locked="0"/>
    </xf>
    <xf numFmtId="44" fontId="9" fillId="3" borderId="54" xfId="1" applyNumberFormat="1" applyFont="1" applyFill="1" applyBorder="1" applyAlignment="1" applyProtection="1">
      <alignment horizontal="center"/>
      <protection locked="0"/>
    </xf>
    <xf numFmtId="44" fontId="5" fillId="2" borderId="54" xfId="1" applyNumberFormat="1" applyFont="1" applyFill="1" applyBorder="1"/>
    <xf numFmtId="0" fontId="4" fillId="0" borderId="67" xfId="1" applyFont="1" applyBorder="1"/>
    <xf numFmtId="0" fontId="4" fillId="0" borderId="68" xfId="1" applyFont="1" applyBorder="1"/>
    <xf numFmtId="0" fontId="4" fillId="0" borderId="69" xfId="1" applyFont="1" applyBorder="1"/>
    <xf numFmtId="0" fontId="10" fillId="0" borderId="70" xfId="1" applyFont="1" applyBorder="1" applyAlignment="1" applyProtection="1">
      <alignment horizontal="right"/>
      <protection locked="0"/>
    </xf>
    <xf numFmtId="0" fontId="10" fillId="0" borderId="71" xfId="1" applyFont="1" applyBorder="1" applyAlignment="1" applyProtection="1">
      <alignment horizontal="right"/>
      <protection locked="0"/>
    </xf>
    <xf numFmtId="44" fontId="12" fillId="3" borderId="72" xfId="1" applyNumberFormat="1" applyFont="1" applyFill="1" applyBorder="1" applyAlignment="1" applyProtection="1">
      <alignment horizontal="center"/>
      <protection locked="0"/>
    </xf>
    <xf numFmtId="0" fontId="10" fillId="0" borderId="53"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52" fillId="0" borderId="0" xfId="0" applyFont="1" applyAlignment="1">
      <alignment horizontal="left"/>
    </xf>
    <xf numFmtId="0" fontId="53" fillId="0" borderId="0" xfId="0" applyFont="1" applyAlignment="1">
      <alignment horizontal="left"/>
    </xf>
    <xf numFmtId="0" fontId="46" fillId="0" borderId="0" xfId="1" applyFont="1"/>
    <xf numFmtId="14" fontId="12" fillId="4" borderId="3" xfId="1" applyNumberFormat="1" applyFont="1" applyFill="1" applyBorder="1" applyAlignment="1" applyProtection="1">
      <alignment horizontal="center"/>
      <protection locked="0"/>
    </xf>
    <xf numFmtId="0" fontId="50" fillId="0" borderId="0" xfId="1" applyFont="1"/>
    <xf numFmtId="0" fontId="46" fillId="0" borderId="50" xfId="1" applyFont="1" applyBorder="1"/>
    <xf numFmtId="0" fontId="55" fillId="0" borderId="0" xfId="0" applyFont="1"/>
    <xf numFmtId="0" fontId="56" fillId="0" borderId="0" xfId="1" applyFont="1"/>
    <xf numFmtId="0" fontId="57" fillId="0" borderId="0" xfId="1" applyFont="1"/>
    <xf numFmtId="0" fontId="58" fillId="0" borderId="0" xfId="1" applyFont="1"/>
    <xf numFmtId="1" fontId="12" fillId="4" borderId="63" xfId="1" applyNumberFormat="1" applyFont="1" applyFill="1" applyBorder="1" applyAlignment="1" applyProtection="1">
      <alignment horizontal="center"/>
      <protection locked="0"/>
    </xf>
    <xf numFmtId="1" fontId="12" fillId="4" borderId="65"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49" xfId="1" applyNumberFormat="1" applyFont="1" applyFill="1" applyBorder="1" applyAlignment="1" applyProtection="1">
      <alignment horizontal="center"/>
      <protection locked="0"/>
    </xf>
    <xf numFmtId="14" fontId="56" fillId="0" borderId="0" xfId="1" applyNumberFormat="1" applyFont="1"/>
    <xf numFmtId="14" fontId="57" fillId="0" borderId="0" xfId="1" applyNumberFormat="1" applyFont="1"/>
    <xf numFmtId="44" fontId="59" fillId="0" borderId="0" xfId="1" applyNumberFormat="1" applyFont="1"/>
    <xf numFmtId="0" fontId="46" fillId="0" borderId="22" xfId="1" applyFont="1" applyBorder="1"/>
    <xf numFmtId="0" fontId="46" fillId="0" borderId="76" xfId="1" applyFont="1" applyBorder="1"/>
    <xf numFmtId="0" fontId="46" fillId="0" borderId="77" xfId="1" applyFont="1" applyBorder="1"/>
    <xf numFmtId="0" fontId="46" fillId="0" borderId="78" xfId="1" applyFont="1" applyBorder="1"/>
    <xf numFmtId="2" fontId="12" fillId="0" borderId="0" xfId="1" applyNumberFormat="1" applyFont="1"/>
    <xf numFmtId="0" fontId="11" fillId="0" borderId="79" xfId="1" applyFont="1" applyBorder="1" applyAlignment="1">
      <alignment horizontal="center"/>
    </xf>
    <xf numFmtId="14" fontId="11" fillId="0" borderId="80" xfId="1" applyNumberFormat="1" applyFont="1" applyBorder="1" applyAlignment="1">
      <alignment horizontal="center"/>
    </xf>
    <xf numFmtId="0" fontId="4" fillId="0" borderId="80" xfId="1" applyFont="1" applyBorder="1" applyAlignment="1">
      <alignment horizontal="center"/>
    </xf>
    <xf numFmtId="0" fontId="60" fillId="0" borderId="0" xfId="1" applyFont="1" applyAlignment="1">
      <alignment horizontal="center"/>
    </xf>
    <xf numFmtId="2" fontId="12" fillId="0" borderId="70" xfId="1" applyNumberFormat="1" applyFont="1" applyBorder="1"/>
    <xf numFmtId="2" fontId="12" fillId="0" borderId="73" xfId="1" applyNumberFormat="1" applyFont="1" applyBorder="1"/>
    <xf numFmtId="2" fontId="12" fillId="0" borderId="74" xfId="1" applyNumberFormat="1" applyFont="1" applyBorder="1"/>
    <xf numFmtId="2" fontId="12" fillId="0" borderId="75" xfId="1" applyNumberFormat="1" applyFont="1" applyBorder="1"/>
    <xf numFmtId="0" fontId="7" fillId="0" borderId="0" xfId="1" applyFont="1"/>
    <xf numFmtId="0" fontId="29" fillId="0" borderId="51" xfId="1" applyFont="1" applyBorder="1"/>
    <xf numFmtId="0" fontId="11" fillId="0" borderId="20" xfId="1" applyFont="1" applyBorder="1" applyAlignment="1">
      <alignment horizontal="center"/>
    </xf>
    <xf numFmtId="0" fontId="11" fillId="0" borderId="41" xfId="1" applyFont="1" applyBorder="1"/>
    <xf numFmtId="0" fontId="11" fillId="0" borderId="39" xfId="1" applyFont="1" applyBorder="1"/>
    <xf numFmtId="0" fontId="11" fillId="0" borderId="40" xfId="1" applyFont="1" applyBorder="1"/>
    <xf numFmtId="0" fontId="11" fillId="0" borderId="0" xfId="1" applyFont="1" applyAlignment="1">
      <alignment wrapText="1"/>
    </xf>
    <xf numFmtId="0" fontId="44" fillId="7" borderId="0" xfId="0" applyFont="1" applyFill="1" applyAlignment="1">
      <alignment horizontal="center"/>
    </xf>
    <xf numFmtId="168" fontId="41" fillId="0" borderId="81" xfId="0" applyNumberFormat="1" applyFont="1" applyBorder="1"/>
    <xf numFmtId="0" fontId="41" fillId="0" borderId="82" xfId="0" applyFont="1" applyBorder="1"/>
    <xf numFmtId="0" fontId="41" fillId="0" borderId="83" xfId="0" applyFont="1" applyBorder="1"/>
    <xf numFmtId="0" fontId="62" fillId="11" borderId="41" xfId="0" applyFont="1" applyFill="1" applyBorder="1" applyAlignment="1">
      <alignment horizontal="left" vertical="center" shrinkToFit="1"/>
    </xf>
    <xf numFmtId="0" fontId="62" fillId="12" borderId="20" xfId="0" applyFont="1" applyFill="1" applyBorder="1" applyAlignment="1">
      <alignment horizontal="left" vertical="center" shrinkToFit="1"/>
    </xf>
    <xf numFmtId="0" fontId="62" fillId="11" borderId="20" xfId="0" applyFont="1" applyFill="1" applyBorder="1" applyAlignment="1">
      <alignment horizontal="left" vertical="center" shrinkToFit="1"/>
    </xf>
    <xf numFmtId="14" fontId="62" fillId="11" borderId="20" xfId="0" applyNumberFormat="1" applyFont="1" applyFill="1" applyBorder="1" applyAlignment="1">
      <alignment horizontal="left" vertical="center" shrinkToFit="1"/>
    </xf>
    <xf numFmtId="166" fontId="62" fillId="11" borderId="20" xfId="0" applyNumberFormat="1" applyFont="1" applyFill="1" applyBorder="1" applyAlignment="1">
      <alignment horizontal="left" vertical="center" shrinkToFit="1"/>
    </xf>
    <xf numFmtId="0" fontId="62" fillId="0" borderId="20" xfId="0" applyFont="1" applyBorder="1" applyAlignment="1">
      <alignment horizontal="left" vertical="center" shrinkToFit="1"/>
    </xf>
    <xf numFmtId="14" fontId="62" fillId="0" borderId="20" xfId="0" applyNumberFormat="1" applyFont="1" applyBorder="1" applyAlignment="1">
      <alignment horizontal="left" vertical="center" shrinkToFit="1"/>
    </xf>
    <xf numFmtId="166" fontId="62" fillId="0" borderId="20" xfId="0" applyNumberFormat="1" applyFont="1" applyBorder="1" applyAlignment="1">
      <alignment horizontal="left" vertical="center" shrinkToFit="1"/>
    </xf>
    <xf numFmtId="14" fontId="63" fillId="11" borderId="20" xfId="1" applyNumberFormat="1" applyFont="1" applyFill="1" applyBorder="1"/>
    <xf numFmtId="0" fontId="63" fillId="11" borderId="20" xfId="1" applyFont="1" applyFill="1" applyBorder="1"/>
    <xf numFmtId="14" fontId="63" fillId="0" borderId="20" xfId="1" applyNumberFormat="1" applyFont="1" applyBorder="1"/>
    <xf numFmtId="0" fontId="63" fillId="0" borderId="20" xfId="1" applyFont="1" applyBorder="1"/>
    <xf numFmtId="0" fontId="46" fillId="11" borderId="71" xfId="1" applyFont="1" applyFill="1" applyBorder="1"/>
    <xf numFmtId="0" fontId="64" fillId="0" borderId="71" xfId="0" applyFont="1" applyBorder="1" applyAlignment="1">
      <alignment horizontal="left" vertical="center" shrinkToFit="1"/>
    </xf>
    <xf numFmtId="0" fontId="64" fillId="11" borderId="41" xfId="0" applyFont="1" applyFill="1" applyBorder="1" applyAlignment="1">
      <alignment horizontal="left" vertical="center" shrinkToFit="1"/>
    </xf>
    <xf numFmtId="0" fontId="64" fillId="0" borderId="41" xfId="0" applyFont="1" applyBorder="1" applyAlignment="1">
      <alignment horizontal="left" vertical="center" shrinkToFit="1"/>
    </xf>
    <xf numFmtId="0" fontId="65" fillId="7" borderId="0" xfId="0" applyFont="1" applyFill="1" applyAlignment="1">
      <alignment horizontal="center"/>
    </xf>
    <xf numFmtId="0" fontId="44" fillId="7" borderId="42" xfId="0" applyFont="1" applyFill="1" applyBorder="1" applyAlignment="1">
      <alignment horizontal="center"/>
    </xf>
    <xf numFmtId="164" fontId="44" fillId="7" borderId="42" xfId="0" applyNumberFormat="1" applyFont="1" applyFill="1" applyBorder="1" applyAlignment="1">
      <alignment horizontal="center"/>
    </xf>
    <xf numFmtId="40" fontId="44" fillId="7" borderId="42" xfId="0" applyNumberFormat="1" applyFont="1" applyFill="1" applyBorder="1" applyAlignment="1">
      <alignment horizontal="center"/>
    </xf>
    <xf numFmtId="0" fontId="44" fillId="8" borderId="42" xfId="0" applyFont="1" applyFill="1" applyBorder="1" applyAlignment="1">
      <alignment horizontal="center"/>
    </xf>
    <xf numFmtId="0" fontId="63" fillId="0" borderId="0" xfId="1" applyFont="1"/>
    <xf numFmtId="0" fontId="66" fillId="0" borderId="0" xfId="0" applyFont="1"/>
    <xf numFmtId="166" fontId="63" fillId="0" borderId="0" xfId="1" applyNumberFormat="1" applyFont="1"/>
    <xf numFmtId="0" fontId="44" fillId="7" borderId="84" xfId="0" applyFont="1" applyFill="1" applyBorder="1" applyAlignment="1">
      <alignment horizontal="center"/>
    </xf>
    <xf numFmtId="164" fontId="44" fillId="7" borderId="84" xfId="0" applyNumberFormat="1" applyFont="1" applyFill="1" applyBorder="1" applyAlignment="1">
      <alignment horizontal="center"/>
    </xf>
    <xf numFmtId="40" fontId="44" fillId="7" borderId="84" xfId="0" applyNumberFormat="1" applyFont="1" applyFill="1" applyBorder="1" applyAlignment="1">
      <alignment horizontal="center"/>
    </xf>
    <xf numFmtId="0" fontId="44" fillId="8" borderId="84" xfId="0" applyFont="1" applyFill="1" applyBorder="1" applyAlignment="1">
      <alignment horizontal="center"/>
    </xf>
    <xf numFmtId="0" fontId="44" fillId="8" borderId="85" xfId="0" applyFont="1" applyFill="1" applyBorder="1" applyAlignment="1">
      <alignment horizontal="left"/>
    </xf>
    <xf numFmtId="0" fontId="42" fillId="0" borderId="20" xfId="0" applyFont="1" applyBorder="1" applyAlignment="1">
      <alignment horizontal="left" vertical="center" shrinkToFit="1"/>
    </xf>
    <xf numFmtId="0" fontId="43" fillId="0" borderId="20" xfId="0" applyFont="1" applyBorder="1" applyAlignment="1">
      <alignment horizontal="left" vertical="center" shrinkToFit="1"/>
    </xf>
    <xf numFmtId="0" fontId="39" fillId="0" borderId="31" xfId="0" applyFont="1" applyBorder="1" applyAlignment="1">
      <alignment horizontal="left"/>
    </xf>
    <xf numFmtId="0" fontId="39" fillId="0" borderId="28" xfId="0" applyFont="1" applyBorder="1" applyAlignment="1">
      <alignment horizontal="left"/>
    </xf>
    <xf numFmtId="0" fontId="39" fillId="0" borderId="29" xfId="0" applyFont="1" applyBorder="1" applyAlignment="1">
      <alignment horizontal="left"/>
    </xf>
    <xf numFmtId="0" fontId="39" fillId="0" borderId="32" xfId="0" applyFont="1" applyBorder="1" applyAlignment="1">
      <alignment horizontal="left"/>
    </xf>
    <xf numFmtId="0" fontId="39" fillId="0" borderId="30" xfId="0" applyFont="1" applyBorder="1" applyAlignment="1">
      <alignment horizontal="left"/>
    </xf>
    <xf numFmtId="0" fontId="39" fillId="0" borderId="33" xfId="0" applyFont="1" applyBorder="1" applyAlignment="1">
      <alignment horizontal="left"/>
    </xf>
    <xf numFmtId="0" fontId="31" fillId="0" borderId="0" xfId="0" applyFont="1" applyAlignment="1" applyProtection="1">
      <alignment horizontal="center"/>
      <protection hidden="1"/>
    </xf>
    <xf numFmtId="0" fontId="4" fillId="4" borderId="47" xfId="1" applyFont="1" applyFill="1" applyBorder="1" applyAlignment="1" applyProtection="1">
      <alignment horizontal="left"/>
      <protection locked="0"/>
    </xf>
    <xf numFmtId="0" fontId="4" fillId="4" borderId="48" xfId="1" applyFont="1" applyFill="1" applyBorder="1" applyAlignment="1" applyProtection="1">
      <alignment horizontal="left"/>
      <protection locked="0"/>
    </xf>
    <xf numFmtId="0" fontId="61" fillId="0" borderId="70" xfId="1" applyFont="1" applyBorder="1" applyAlignment="1">
      <alignment horizontal="center"/>
    </xf>
    <xf numFmtId="0" fontId="61" fillId="0" borderId="71" xfId="1" applyFont="1" applyBorder="1" applyAlignment="1">
      <alignment horizontal="center"/>
    </xf>
    <xf numFmtId="0" fontId="61" fillId="0" borderId="72" xfId="1" applyFont="1" applyBorder="1" applyAlignment="1">
      <alignment horizontal="center"/>
    </xf>
    <xf numFmtId="0" fontId="12" fillId="0" borderId="6" xfId="1" applyFont="1" applyBorder="1" applyAlignment="1">
      <alignment horizontal="center"/>
    </xf>
    <xf numFmtId="0" fontId="22" fillId="0" borderId="0" xfId="1" applyFont="1" applyAlignment="1">
      <alignment horizontal="left" indent="1"/>
    </xf>
    <xf numFmtId="0" fontId="28" fillId="0" borderId="51" xfId="1" applyFont="1" applyBorder="1" applyAlignment="1">
      <alignment horizontal="center"/>
    </xf>
    <xf numFmtId="0" fontId="28" fillId="0" borderId="52" xfId="1" applyFont="1" applyBorder="1" applyAlignment="1">
      <alignment horizontal="center"/>
    </xf>
    <xf numFmtId="0" fontId="27" fillId="0" borderId="53"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55" xfId="1" applyFont="1" applyFill="1" applyBorder="1" applyAlignment="1">
      <alignment horizontal="center"/>
    </xf>
    <xf numFmtId="0" fontId="11" fillId="0" borderId="53"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53"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41" xfId="1" applyFont="1" applyBorder="1" applyAlignment="1">
      <alignment horizontal="center"/>
    </xf>
    <xf numFmtId="0" fontId="16" fillId="0" borderId="39" xfId="1" applyFont="1" applyBorder="1" applyAlignment="1">
      <alignment horizontal="center"/>
    </xf>
    <xf numFmtId="0" fontId="16" fillId="0" borderId="6" xfId="1" applyFont="1" applyBorder="1" applyAlignment="1">
      <alignment horizontal="center"/>
    </xf>
    <xf numFmtId="0" fontId="16" fillId="0" borderId="43"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55" xfId="1" applyFont="1" applyFill="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58" xfId="1" applyFont="1" applyFill="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60" xfId="1" applyFont="1" applyFill="1" applyBorder="1" applyAlignment="1" applyProtection="1">
      <alignment horizontal="center"/>
      <protection locked="0"/>
    </xf>
    <xf numFmtId="165" fontId="16" fillId="3" borderId="5" xfId="1" applyNumberFormat="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58" xfId="1" applyFont="1" applyFill="1" applyBorder="1" applyAlignment="1" applyProtection="1">
      <alignment horizontal="center"/>
      <protection locked="0"/>
    </xf>
    <xf numFmtId="164" fontId="11" fillId="0" borderId="53" xfId="1" applyNumberFormat="1" applyFont="1" applyBorder="1"/>
    <xf numFmtId="164" fontId="11" fillId="0" borderId="0" xfId="1" applyNumberFormat="1" applyFont="1"/>
    <xf numFmtId="0" fontId="11" fillId="0" borderId="0" xfId="1" applyFont="1"/>
    <xf numFmtId="0" fontId="11" fillId="0" borderId="54" xfId="1" applyFont="1" applyBorder="1"/>
    <xf numFmtId="164" fontId="13" fillId="5" borderId="44" xfId="1" applyNumberFormat="1" applyFont="1" applyFill="1" applyBorder="1" applyAlignment="1">
      <alignment horizontal="center" vertical="center"/>
    </xf>
    <xf numFmtId="164" fontId="13" fillId="5" borderId="45" xfId="1" applyNumberFormat="1" applyFont="1" applyFill="1" applyBorder="1" applyAlignment="1">
      <alignment horizontal="center" vertical="center"/>
    </xf>
    <xf numFmtId="0" fontId="7" fillId="0" borderId="0" xfId="1" applyFont="1" applyAlignment="1">
      <alignment horizontal="left" indent="1"/>
    </xf>
  </cellXfs>
  <cellStyles count="3">
    <cellStyle name="Normal" xfId="0" builtinId="0"/>
    <cellStyle name="Normal 2" xfId="1" xr:uid="{F1FDC4A7-59B1-674E-9761-EE3200EEA20F}"/>
    <cellStyle name="Normal_OFI MV BID v.6.1_1" xfId="2" xr:uid="{B917B692-F88F-6041-949B-558AE934CABD}"/>
  </cellStyles>
  <dxfs count="51">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indexed="64"/>
        </left>
        <right style="medium">
          <color indexed="64"/>
        </right>
        <top style="medium">
          <color indexed="64"/>
        </top>
        <bottom style="thin">
          <color auto="1"/>
        </bottom>
      </border>
    </dxf>
    <dxf>
      <numFmt numFmtId="169" formatCode=";;;"/>
    </dxf>
    <dxf>
      <numFmt numFmtId="169" formatCode=";;;"/>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L40:S49" totalsRowShown="0" tableBorderDxfId="48">
  <autoFilter ref="L40:S49" xr:uid="{4D6D6425-C385-6E43-AE33-4189C7CA529D}"/>
  <tableColumns count="8">
    <tableColumn id="1" xr3:uid="{5C2ADD1E-C256-024C-9733-C704D834A26C}" name="HHEADER" dataDxfId="47"/>
    <tableColumn id="2" xr3:uid="{192B304B-F713-8949-BB64-E457E96C367A}" name="LINE" dataDxfId="46"/>
    <tableColumn id="3" xr3:uid="{0255337F-F403-5247-99EF-BA78C2ADE147}" name="PAYEE" dataDxfId="45"/>
    <tableColumn id="4" xr3:uid="{5A53409B-B76D-F54F-847E-045DA41D5593}" name="PO" dataDxfId="44"/>
    <tableColumn id="5" xr3:uid="{1AF16A3B-6C13-5B47-9FE6-437F5BFF9145}" name="DATE"/>
    <tableColumn id="6" xr3:uid="{03D58825-9679-EF4B-A299-BB735896609E}" name="PAY ID"/>
    <tableColumn id="7" xr3:uid="{5523D66A-7B72-BC46-B4E7-107048CF5B70}" name="ACTUAL" dataDxfId="43"/>
    <tableColumn id="8" xr3:uid="{65621292-A5A4-E64F-ADC8-B5483F6779D4}" name="LINE DESCRIPTION" dataDxfId="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A1:A6" totalsRowShown="0" dataDxfId="41">
  <autoFilter ref="A1:A6" xr:uid="{EF457DCB-8490-FD46-ADA1-9529D7839E04}"/>
  <tableColumns count="1">
    <tableColumn id="1" xr3:uid="{0EAF6A37-D265-C145-9E97-323F27DEB41B}" name="PO" dataDxfId="4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68A50B15-5F6F-7440-BD55-940B463E1BB0}" name="2499-001_table" displayName="_2499_001_table" ref="L40:S49" totalsRowShown="0" tableBorderDxfId="38">
  <autoFilter ref="L40:S49" xr:uid="{4D6D6425-C385-6E43-AE33-4189C7CA529D}"/>
  <tableColumns count="8">
    <tableColumn id="1" xr3:uid="{10CDED59-FD87-864A-89B8-ED9FC4CCA4DA}" name="HHEADER" dataDxfId="37"/>
    <tableColumn id="2" xr3:uid="{98DCC72B-EC3E-A44A-A426-49C055C43C33}" name="LINE" dataDxfId="36"/>
    <tableColumn id="3" xr3:uid="{3882B507-BB43-964C-811B-20C59561C0CF}" name="PAYEE" dataDxfId="35">
      <calculatedColumnFormula>Vendor</calculatedColumnFormula>
    </tableColumn>
    <tableColumn id="4" xr3:uid="{D4AAAF61-6AA8-9F4F-A513-D886FF223200}" name="PO" dataDxfId="34"/>
    <tableColumn id="5" xr3:uid="{42DA7F29-1E25-1A42-8C08-0F6D811BE82D}" name="DATE"/>
    <tableColumn id="6" xr3:uid="{CFAB16BB-A367-8946-8701-4E416E93A5AD}" name="PAY ID"/>
    <tableColumn id="7" xr3:uid="{DDB0C2C6-61B5-474D-ABD4-9E9CB03B70A3}" name="ACTUAL" dataDxfId="33"/>
    <tableColumn id="8" xr3:uid="{51C6F72B-B0BD-8549-B1AA-CF3073A52962}" name="LINE DESCRIPTION" dataDxfId="3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FDEE988A-0C3B-2F41-A88E-33FFE1AF217E}" name="2499-002_table" displayName="_2499_002_table" ref="L40:S49" totalsRowShown="0" tableBorderDxfId="30">
  <autoFilter ref="L40:S49" xr:uid="{4D6D6425-C385-6E43-AE33-4189C7CA529D}"/>
  <tableColumns count="8">
    <tableColumn id="1" xr3:uid="{2AB989B5-A800-2E49-B983-D67361963DD9}" name="HHEADER" dataDxfId="29"/>
    <tableColumn id="2" xr3:uid="{3BFF46FF-FC85-1549-8F1E-FE54E89E931D}" name="LINE" dataDxfId="28"/>
    <tableColumn id="3" xr3:uid="{556FEE6F-50A2-304C-885E-F952C1FD3F71}" name="PAYEE" dataDxfId="27">
      <calculatedColumnFormula>Vendor</calculatedColumnFormula>
    </tableColumn>
    <tableColumn id="4" xr3:uid="{3522AFDD-4162-7045-8BD8-24D017763779}" name="PO" dataDxfId="26"/>
    <tableColumn id="5" xr3:uid="{DBBAB0E7-9A7C-2249-B904-F33390E19D73}" name="DATE"/>
    <tableColumn id="6" xr3:uid="{5171B20A-9203-C043-9238-33BF38E17EBA}" name="PAY ID"/>
    <tableColumn id="7" xr3:uid="{AA9B1391-873E-F04B-BE78-1C9403C5C7F4}" name="ACTUAL" dataDxfId="25"/>
    <tableColumn id="8" xr3:uid="{A475A788-7846-3E46-AA1C-2718FD92727C}" name="LINE DESCRIPTION"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4C040854-5482-2440-8296-22CFE5E87DCC}" name="2499-003_table" displayName="_2499_003_table" ref="L40:S49" totalsRowShown="0" tableBorderDxfId="22">
  <autoFilter ref="L40:S49" xr:uid="{4D6D6425-C385-6E43-AE33-4189C7CA529D}"/>
  <tableColumns count="8">
    <tableColumn id="1" xr3:uid="{D2AECCD5-47BF-A245-8AB7-C2EF6DC5FBDA}" name="HHEADER" dataDxfId="21"/>
    <tableColumn id="2" xr3:uid="{D777CF0F-5117-174D-93C5-3686E8BB02A6}" name="LINE" dataDxfId="20"/>
    <tableColumn id="3" xr3:uid="{298A10CD-3842-5942-9D37-5D1EC522CE3B}" name="PAYEE" dataDxfId="19">
      <calculatedColumnFormula>Vendor</calculatedColumnFormula>
    </tableColumn>
    <tableColumn id="4" xr3:uid="{1292333C-AC17-8346-A2B6-3DD9F38B1BC4}" name="PO" dataDxfId="18"/>
    <tableColumn id="5" xr3:uid="{91ED5353-B24E-9244-B248-E3094CA8D50B}" name="DATE"/>
    <tableColumn id="6" xr3:uid="{1099B6E7-70AB-F445-9F35-6DFF4C25ECF2}" name="PAY ID"/>
    <tableColumn id="7" xr3:uid="{1B703518-0747-AB4F-8646-9FF108C97E0D}" name="ACTUAL" dataDxfId="17"/>
    <tableColumn id="8" xr3:uid="{038C1B49-1207-034A-AD48-8C6D82E5D8D4}" name="LINE DESCRIPTION" dataDxfId="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296850A-9315-EF41-ADDD-B563C03D59FD}" name="2499-004_table" displayName="_2499_004_table" ref="L40:S49" totalsRowShown="0" tableBorderDxfId="14">
  <autoFilter ref="L40:S49" xr:uid="{4D6D6425-C385-6E43-AE33-4189C7CA529D}"/>
  <tableColumns count="8">
    <tableColumn id="1" xr3:uid="{844DDF89-C3CE-6944-995F-BBB53B8F4FD2}" name="HHEADER" dataDxfId="13"/>
    <tableColumn id="2" xr3:uid="{16A8C80D-8031-CC4B-AC67-5E836C66CD46}" name="LINE" dataDxfId="12"/>
    <tableColumn id="3" xr3:uid="{05892193-27D3-E445-A1DE-A5B7236E7EE3}" name="PAYEE" dataDxfId="11">
      <calculatedColumnFormula>Vendor</calculatedColumnFormula>
    </tableColumn>
    <tableColumn id="4" xr3:uid="{3062E82B-D7DE-3749-BE42-746697AC7CF7}" name="PO" dataDxfId="10"/>
    <tableColumn id="5" xr3:uid="{2A49793F-087D-EB40-BD73-6B11976B8C3C}" name="DATE"/>
    <tableColumn id="6" xr3:uid="{4B58848E-8C20-2246-8D3A-2480048ACFCD}" name="PAY ID"/>
    <tableColumn id="7" xr3:uid="{8277630C-23B7-4547-850F-E5C5346EADB0}" name="ACTUAL" dataDxfId="9"/>
    <tableColumn id="8" xr3:uid="{FEC15022-3952-9F45-B7E7-F26FA7422F9B}" name="LINE DESCRIPTION" dataDxfId="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50FFE8E-DA16-5A44-84CE-55D5F4FDBC2D}" name="2499-005_table" displayName="_2499_005_table" ref="L40:S49" totalsRowShown="0" tableBorderDxfId="6">
  <autoFilter ref="L40:S49" xr:uid="{4D6D6425-C385-6E43-AE33-4189C7CA529D}"/>
  <tableColumns count="8">
    <tableColumn id="1" xr3:uid="{12CF2E0E-BF3A-494C-BB70-9DC8EC1F03D4}" name="HHEADER" dataDxfId="5"/>
    <tableColumn id="2" xr3:uid="{BD9F00CE-6DCF-3248-8F87-454F726AF59D}" name="LINE" dataDxfId="4"/>
    <tableColumn id="3" xr3:uid="{E69281E8-C299-8F47-9609-4575DAC3F81E}" name="PAYEE" dataDxfId="3">
      <calculatedColumnFormula>Vendor</calculatedColumnFormula>
    </tableColumn>
    <tableColumn id="4" xr3:uid="{BF6A9961-40E2-7D40-A8B8-25273F574FD0}" name="PO" dataDxfId="2"/>
    <tableColumn id="5" xr3:uid="{358C0B0B-8946-CB44-AA31-E8B0F3EAD0F0}" name="DATE"/>
    <tableColumn id="6" xr3:uid="{8C460B0B-834A-E64E-9E4F-B7F40745DEF3}" name="PAY ID"/>
    <tableColumn id="7" xr3:uid="{DB6C9F8D-9702-664D-BAA6-23190AC01241}" name="ACTUAL" dataDxfId="1"/>
    <tableColumn id="8" xr3:uid="{C85BE769-E6E7-1C48-956D-53C84B5DEE91}" name="LINE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s>
  <sheetFormatPr baseColWidth="10" defaultRowHeight="16"/>
  <cols>
    <col min="1" max="1" width="3.83203125" style="149" customWidth="1"/>
    <col min="2" max="2" width="10.83203125" style="150"/>
  </cols>
  <sheetData>
    <row r="2" spans="1:2" ht="24">
      <c r="B2" s="151" t="s">
        <v>271</v>
      </c>
    </row>
    <row r="3" spans="1:2">
      <c r="A3" s="149" t="s">
        <v>273</v>
      </c>
      <c r="B3" s="150" t="s">
        <v>270</v>
      </c>
    </row>
    <row r="5" spans="1:2" ht="24">
      <c r="B5" s="151" t="s">
        <v>272</v>
      </c>
    </row>
    <row r="6" spans="1:2">
      <c r="A6" s="149" t="s">
        <v>273</v>
      </c>
      <c r="B6" s="150" t="s">
        <v>274</v>
      </c>
    </row>
    <row r="7" spans="1:2">
      <c r="A7" s="149" t="s">
        <v>273</v>
      </c>
      <c r="B7" s="150" t="s">
        <v>275</v>
      </c>
    </row>
    <row r="11" spans="1:2" ht="24">
      <c r="B11" s="151" t="s">
        <v>269</v>
      </c>
    </row>
    <row r="12" spans="1:2">
      <c r="A12" s="149" t="s">
        <v>273</v>
      </c>
      <c r="B12" s="150" t="s">
        <v>276</v>
      </c>
    </row>
    <row r="13" spans="1:2">
      <c r="A13" s="149" t="s">
        <v>273</v>
      </c>
      <c r="B13" s="150" t="s">
        <v>284</v>
      </c>
    </row>
    <row r="14" spans="1:2">
      <c r="A14" s="149" t="s">
        <v>273</v>
      </c>
      <c r="B14" s="150" t="s">
        <v>277</v>
      </c>
    </row>
    <row r="15" spans="1:2">
      <c r="A15" s="149" t="s">
        <v>273</v>
      </c>
      <c r="B15" s="150" t="s">
        <v>278</v>
      </c>
    </row>
    <row r="16" spans="1:2">
      <c r="A16" s="149" t="s">
        <v>273</v>
      </c>
      <c r="B16" s="150" t="s">
        <v>283</v>
      </c>
    </row>
    <row r="17" spans="1:3">
      <c r="A17" s="149" t="s">
        <v>273</v>
      </c>
      <c r="B17" s="150" t="s">
        <v>279</v>
      </c>
    </row>
    <row r="18" spans="1:3" ht="20">
      <c r="B18" s="152" t="s">
        <v>280</v>
      </c>
      <c r="C18" s="152"/>
    </row>
    <row r="19" spans="1:3">
      <c r="A19" s="149" t="s">
        <v>273</v>
      </c>
      <c r="B19" s="150" t="s">
        <v>281</v>
      </c>
    </row>
    <row r="20" spans="1:3">
      <c r="A20" s="149" t="s">
        <v>273</v>
      </c>
      <c r="B20" s="150" t="s">
        <v>282</v>
      </c>
    </row>
    <row r="21" spans="1:3">
      <c r="A21" s="149" t="s">
        <v>273</v>
      </c>
      <c r="B21" s="150" t="s">
        <v>285</v>
      </c>
    </row>
    <row r="22" spans="1:3">
      <c r="A22" s="149" t="s">
        <v>273</v>
      </c>
      <c r="B22" s="150" t="s">
        <v>286</v>
      </c>
    </row>
    <row r="23" spans="1:3">
      <c r="A23" s="149" t="s">
        <v>273</v>
      </c>
      <c r="B23" s="150" t="s">
        <v>287</v>
      </c>
    </row>
    <row r="25" spans="1:3" ht="24">
      <c r="B25" s="151" t="s">
        <v>288</v>
      </c>
    </row>
    <row r="26" spans="1:3">
      <c r="A26" s="149" t="s">
        <v>273</v>
      </c>
      <c r="B26" s="150" t="s">
        <v>289</v>
      </c>
    </row>
    <row r="27" spans="1:3">
      <c r="A27" s="149" t="s">
        <v>273</v>
      </c>
      <c r="B27" s="150" t="s">
        <v>290</v>
      </c>
    </row>
    <row r="28" spans="1:3">
      <c r="A28" s="149" t="s">
        <v>273</v>
      </c>
      <c r="B28" s="150" t="s">
        <v>291</v>
      </c>
    </row>
    <row r="29" spans="1:3">
      <c r="A29" s="149" t="s">
        <v>273</v>
      </c>
      <c r="B29" s="150" t="s">
        <v>292</v>
      </c>
    </row>
    <row r="30" spans="1:3">
      <c r="A30" s="149" t="s">
        <v>273</v>
      </c>
      <c r="B30" s="150" t="s">
        <v>294</v>
      </c>
    </row>
    <row r="31" spans="1:3">
      <c r="A31" s="149" t="s">
        <v>273</v>
      </c>
      <c r="B31" s="150" t="s">
        <v>295</v>
      </c>
    </row>
    <row r="32" spans="1:3">
      <c r="A32" s="149" t="s">
        <v>273</v>
      </c>
      <c r="B32" s="150" t="s">
        <v>293</v>
      </c>
    </row>
    <row r="34" spans="1:2" ht="24">
      <c r="B34" s="151" t="s">
        <v>296</v>
      </c>
    </row>
    <row r="35" spans="1:2">
      <c r="A35" s="149" t="s">
        <v>273</v>
      </c>
      <c r="B35" s="150" t="s">
        <v>297</v>
      </c>
    </row>
    <row r="36" spans="1:2">
      <c r="A36" s="149" t="s">
        <v>273</v>
      </c>
      <c r="B36" s="150" t="s">
        <v>298</v>
      </c>
    </row>
    <row r="37" spans="1:2">
      <c r="A37" s="149" t="s">
        <v>273</v>
      </c>
      <c r="B37" s="150" t="s">
        <v>299</v>
      </c>
    </row>
    <row r="38" spans="1:2">
      <c r="A38" s="149" t="s">
        <v>273</v>
      </c>
      <c r="B38" s="150" t="s">
        <v>300</v>
      </c>
    </row>
    <row r="39" spans="1:2">
      <c r="A39" s="149" t="s">
        <v>273</v>
      </c>
      <c r="B39" s="150" t="s">
        <v>301</v>
      </c>
    </row>
    <row r="40" spans="1:2">
      <c r="A40" s="149" t="s">
        <v>273</v>
      </c>
      <c r="B40" s="150" t="s">
        <v>302</v>
      </c>
    </row>
    <row r="41" spans="1:2">
      <c r="A41" s="149" t="s">
        <v>273</v>
      </c>
      <c r="B41" s="150" t="s">
        <v>303</v>
      </c>
    </row>
    <row r="43" spans="1:2">
      <c r="A43" s="149" t="s">
        <v>273</v>
      </c>
      <c r="B43" s="150" t="s">
        <v>304</v>
      </c>
    </row>
    <row r="44" spans="1:2">
      <c r="A44" s="149" t="s">
        <v>273</v>
      </c>
      <c r="B44" s="150" t="s">
        <v>305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42"/>
  <sheetViews>
    <sheetView workbookViewId="0"/>
  </sheetViews>
  <sheetFormatPr baseColWidth="10" defaultRowHeight="16"/>
  <cols>
    <col min="2" max="2" width="36.33203125" customWidth="1"/>
  </cols>
  <sheetData>
    <row r="1" spans="1:3">
      <c r="A1" s="18" t="s">
        <v>22</v>
      </c>
      <c r="B1" s="19" t="s">
        <v>23</v>
      </c>
      <c r="C1" s="20"/>
    </row>
    <row r="2" spans="1:3">
      <c r="A2" s="21">
        <v>1</v>
      </c>
      <c r="B2" s="22" t="s">
        <v>24</v>
      </c>
      <c r="C2" s="23"/>
    </row>
    <row r="3" spans="1:3">
      <c r="A3" s="21">
        <v>2</v>
      </c>
      <c r="B3" s="22" t="s">
        <v>25</v>
      </c>
      <c r="C3" s="23"/>
    </row>
    <row r="4" spans="1:3">
      <c r="A4" s="21">
        <v>3</v>
      </c>
      <c r="B4" s="22" t="s">
        <v>26</v>
      </c>
      <c r="C4" s="23"/>
    </row>
    <row r="5" spans="1:3">
      <c r="A5" s="21">
        <v>4</v>
      </c>
      <c r="B5" s="22" t="s">
        <v>27</v>
      </c>
      <c r="C5" s="23"/>
    </row>
    <row r="6" spans="1:3">
      <c r="A6" s="21">
        <v>5</v>
      </c>
      <c r="B6" s="22" t="s">
        <v>28</v>
      </c>
      <c r="C6" s="23"/>
    </row>
    <row r="7" spans="1:3">
      <c r="A7" s="21">
        <v>6</v>
      </c>
      <c r="B7" s="22" t="s">
        <v>29</v>
      </c>
      <c r="C7" s="23"/>
    </row>
    <row r="8" spans="1:3">
      <c r="A8" s="21">
        <v>7</v>
      </c>
      <c r="B8" s="22" t="s">
        <v>30</v>
      </c>
      <c r="C8" s="24"/>
    </row>
    <row r="9" spans="1:3">
      <c r="A9" s="21">
        <v>8</v>
      </c>
      <c r="B9" s="22" t="s">
        <v>31</v>
      </c>
      <c r="C9" s="23"/>
    </row>
    <row r="10" spans="1:3">
      <c r="A10" s="21">
        <v>9</v>
      </c>
      <c r="B10" s="22" t="s">
        <v>32</v>
      </c>
      <c r="C10" s="24"/>
    </row>
    <row r="11" spans="1:3">
      <c r="A11" s="21">
        <v>10</v>
      </c>
      <c r="B11" s="22" t="s">
        <v>33</v>
      </c>
      <c r="C11" s="24"/>
    </row>
    <row r="12" spans="1:3">
      <c r="A12" s="21">
        <v>11</v>
      </c>
      <c r="B12" s="22" t="s">
        <v>34</v>
      </c>
      <c r="C12" s="23"/>
    </row>
    <row r="13" spans="1:3">
      <c r="A13" s="21">
        <v>12</v>
      </c>
      <c r="B13" s="22" t="s">
        <v>35</v>
      </c>
      <c r="C13" s="23"/>
    </row>
    <row r="14" spans="1:3">
      <c r="A14" s="21">
        <v>13</v>
      </c>
      <c r="B14" s="22" t="s">
        <v>36</v>
      </c>
      <c r="C14" s="24"/>
    </row>
    <row r="15" spans="1:3">
      <c r="A15" s="21">
        <v>14</v>
      </c>
      <c r="B15" s="22" t="s">
        <v>37</v>
      </c>
      <c r="C15" s="24"/>
    </row>
    <row r="16" spans="1:3">
      <c r="A16" s="21">
        <v>15</v>
      </c>
      <c r="B16" s="22" t="s">
        <v>38</v>
      </c>
      <c r="C16" s="24"/>
    </row>
    <row r="17" spans="1:3">
      <c r="A17" s="21">
        <v>16</v>
      </c>
      <c r="B17" s="22" t="s">
        <v>39</v>
      </c>
      <c r="C17" s="23"/>
    </row>
    <row r="18" spans="1:3">
      <c r="A18" s="21">
        <v>17</v>
      </c>
      <c r="B18" s="22" t="s">
        <v>40</v>
      </c>
      <c r="C18" s="23"/>
    </row>
    <row r="19" spans="1:3">
      <c r="A19" s="21">
        <v>18</v>
      </c>
      <c r="B19" s="22" t="s">
        <v>41</v>
      </c>
      <c r="C19" s="23"/>
    </row>
    <row r="20" spans="1:3">
      <c r="A20" s="21">
        <v>19</v>
      </c>
      <c r="B20" s="22" t="s">
        <v>42</v>
      </c>
      <c r="C20" s="23"/>
    </row>
    <row r="21" spans="1:3">
      <c r="A21" s="21">
        <v>20</v>
      </c>
      <c r="B21" s="22" t="s">
        <v>43</v>
      </c>
      <c r="C21" s="23"/>
    </row>
    <row r="22" spans="1:3">
      <c r="A22" s="21">
        <v>21</v>
      </c>
      <c r="B22" s="22" t="s">
        <v>44</v>
      </c>
      <c r="C22" s="23"/>
    </row>
    <row r="23" spans="1:3">
      <c r="A23" s="21">
        <v>22</v>
      </c>
      <c r="B23" s="22" t="s">
        <v>45</v>
      </c>
      <c r="C23" s="23"/>
    </row>
    <row r="24" spans="1:3">
      <c r="A24" s="21">
        <v>23</v>
      </c>
      <c r="B24" s="22" t="s">
        <v>46</v>
      </c>
      <c r="C24" s="23"/>
    </row>
    <row r="25" spans="1:3">
      <c r="A25" s="21">
        <v>24</v>
      </c>
      <c r="B25" s="22" t="s">
        <v>47</v>
      </c>
      <c r="C25" s="23"/>
    </row>
    <row r="26" spans="1:3">
      <c r="A26" s="21">
        <v>25</v>
      </c>
      <c r="B26" s="22" t="s">
        <v>48</v>
      </c>
      <c r="C26" s="23"/>
    </row>
    <row r="27" spans="1:3">
      <c r="A27" s="21">
        <v>26</v>
      </c>
      <c r="B27" s="22" t="s">
        <v>49</v>
      </c>
      <c r="C27" s="23"/>
    </row>
    <row r="28" spans="1:3">
      <c r="A28" s="21">
        <v>27</v>
      </c>
      <c r="B28" s="22" t="s">
        <v>50</v>
      </c>
      <c r="C28" s="23"/>
    </row>
    <row r="29" spans="1:3">
      <c r="A29" s="21">
        <v>28</v>
      </c>
      <c r="B29" s="22" t="s">
        <v>51</v>
      </c>
      <c r="C29" s="23"/>
    </row>
    <row r="30" spans="1:3">
      <c r="A30" s="21">
        <v>29</v>
      </c>
      <c r="B30" s="22" t="s">
        <v>52</v>
      </c>
      <c r="C30" s="23"/>
    </row>
    <row r="31" spans="1:3">
      <c r="A31" s="21">
        <v>30</v>
      </c>
      <c r="B31" s="22" t="s">
        <v>53</v>
      </c>
      <c r="C31" s="23"/>
    </row>
    <row r="32" spans="1:3">
      <c r="A32" s="21">
        <v>31</v>
      </c>
      <c r="B32" s="22" t="s">
        <v>54</v>
      </c>
      <c r="C32" s="23"/>
    </row>
    <row r="33" spans="1:3">
      <c r="A33" s="21">
        <v>32</v>
      </c>
      <c r="B33" s="22" t="s">
        <v>55</v>
      </c>
      <c r="C33" s="23"/>
    </row>
    <row r="34" spans="1:3">
      <c r="A34" s="21">
        <v>33</v>
      </c>
      <c r="B34" s="22" t="s">
        <v>56</v>
      </c>
      <c r="C34" s="23"/>
    </row>
    <row r="35" spans="1:3">
      <c r="A35" s="21">
        <v>34</v>
      </c>
      <c r="B35" s="22" t="s">
        <v>57</v>
      </c>
      <c r="C35" s="23"/>
    </row>
    <row r="36" spans="1:3">
      <c r="A36" s="21">
        <v>35</v>
      </c>
      <c r="B36" s="22" t="s">
        <v>58</v>
      </c>
      <c r="C36" s="23"/>
    </row>
    <row r="37" spans="1:3">
      <c r="A37" s="21">
        <v>36</v>
      </c>
      <c r="B37" s="22" t="s">
        <v>59</v>
      </c>
      <c r="C37" s="23"/>
    </row>
    <row r="38" spans="1:3">
      <c r="A38" s="21">
        <v>37</v>
      </c>
      <c r="B38" s="22" t="s">
        <v>60</v>
      </c>
      <c r="C38" s="23"/>
    </row>
    <row r="39" spans="1:3">
      <c r="A39" s="21">
        <v>38</v>
      </c>
      <c r="B39" s="22" t="s">
        <v>61</v>
      </c>
      <c r="C39" s="23"/>
    </row>
    <row r="40" spans="1:3">
      <c r="A40" s="21">
        <v>39</v>
      </c>
      <c r="B40" s="22" t="s">
        <v>62</v>
      </c>
      <c r="C40" s="23"/>
    </row>
    <row r="41" spans="1:3">
      <c r="A41" s="21">
        <v>40</v>
      </c>
      <c r="B41" s="22" t="s">
        <v>63</v>
      </c>
      <c r="C41" s="23"/>
    </row>
    <row r="42" spans="1:3">
      <c r="A42" s="21">
        <v>41</v>
      </c>
      <c r="B42" s="22" t="s">
        <v>64</v>
      </c>
      <c r="C42" s="23"/>
    </row>
    <row r="43" spans="1:3">
      <c r="A43" s="21">
        <v>42</v>
      </c>
      <c r="B43" s="22" t="s">
        <v>65</v>
      </c>
      <c r="C43" s="23"/>
    </row>
    <row r="44" spans="1:3">
      <c r="A44" s="21">
        <v>43</v>
      </c>
      <c r="B44" s="22" t="s">
        <v>66</v>
      </c>
      <c r="C44" s="23"/>
    </row>
    <row r="45" spans="1:3">
      <c r="A45" s="21">
        <v>44</v>
      </c>
      <c r="B45" s="22" t="s">
        <v>67</v>
      </c>
      <c r="C45" s="23"/>
    </row>
    <row r="46" spans="1:3">
      <c r="A46" s="21">
        <v>45</v>
      </c>
      <c r="B46" s="22" t="s">
        <v>68</v>
      </c>
      <c r="C46" s="23"/>
    </row>
    <row r="47" spans="1:3">
      <c r="A47" s="21">
        <v>46</v>
      </c>
      <c r="B47" s="22" t="s">
        <v>68</v>
      </c>
      <c r="C47" s="24"/>
    </row>
    <row r="48" spans="1:3">
      <c r="A48" s="21">
        <v>47</v>
      </c>
      <c r="B48" s="22" t="s">
        <v>69</v>
      </c>
      <c r="C48" s="24"/>
    </row>
    <row r="49" spans="1:3">
      <c r="A49" s="21">
        <v>48</v>
      </c>
      <c r="B49" s="22" t="s">
        <v>70</v>
      </c>
      <c r="C49" s="20"/>
    </row>
    <row r="50" spans="1:3">
      <c r="A50" s="21">
        <v>49</v>
      </c>
      <c r="B50" s="22" t="s">
        <v>70</v>
      </c>
      <c r="C50" s="20"/>
    </row>
    <row r="51" spans="1:3">
      <c r="A51" s="21">
        <v>50</v>
      </c>
      <c r="B51" s="22"/>
      <c r="C51" s="20"/>
    </row>
    <row r="52" spans="1:3">
      <c r="A52" s="21">
        <v>51</v>
      </c>
      <c r="B52" s="22" t="s">
        <v>24</v>
      </c>
      <c r="C52" s="23"/>
    </row>
    <row r="53" spans="1:3">
      <c r="A53" s="21">
        <v>52</v>
      </c>
      <c r="B53" s="22" t="s">
        <v>25</v>
      </c>
      <c r="C53" s="23"/>
    </row>
    <row r="54" spans="1:3">
      <c r="A54" s="21">
        <v>53</v>
      </c>
      <c r="B54" s="22" t="s">
        <v>26</v>
      </c>
      <c r="C54" s="23"/>
    </row>
    <row r="55" spans="1:3">
      <c r="A55" s="21">
        <v>54</v>
      </c>
      <c r="B55" s="22" t="s">
        <v>27</v>
      </c>
      <c r="C55" s="23"/>
    </row>
    <row r="56" spans="1:3">
      <c r="A56" s="21">
        <v>55</v>
      </c>
      <c r="B56" s="22" t="s">
        <v>28</v>
      </c>
      <c r="C56" s="23"/>
    </row>
    <row r="57" spans="1:3">
      <c r="A57" s="21">
        <v>56</v>
      </c>
      <c r="B57" s="22" t="s">
        <v>29</v>
      </c>
      <c r="C57" s="23"/>
    </row>
    <row r="58" spans="1:3">
      <c r="A58" s="21">
        <v>57</v>
      </c>
      <c r="B58" s="22" t="s">
        <v>30</v>
      </c>
      <c r="C58" s="24"/>
    </row>
    <row r="59" spans="1:3">
      <c r="A59" s="21">
        <v>58</v>
      </c>
      <c r="B59" s="22" t="s">
        <v>31</v>
      </c>
      <c r="C59" s="23"/>
    </row>
    <row r="60" spans="1:3">
      <c r="A60" s="21">
        <v>59</v>
      </c>
      <c r="B60" s="22" t="s">
        <v>71</v>
      </c>
      <c r="C60" s="24"/>
    </row>
    <row r="61" spans="1:3">
      <c r="A61" s="21">
        <v>60</v>
      </c>
      <c r="B61" s="22" t="s">
        <v>33</v>
      </c>
      <c r="C61" s="24"/>
    </row>
    <row r="62" spans="1:3">
      <c r="A62" s="21">
        <v>61</v>
      </c>
      <c r="B62" s="22" t="s">
        <v>34</v>
      </c>
      <c r="C62" s="23"/>
    </row>
    <row r="63" spans="1:3">
      <c r="A63" s="21">
        <v>62</v>
      </c>
      <c r="B63" s="22" t="s">
        <v>35</v>
      </c>
      <c r="C63" s="23"/>
    </row>
    <row r="64" spans="1:3">
      <c r="A64" s="21">
        <v>63</v>
      </c>
      <c r="B64" s="22" t="s">
        <v>36</v>
      </c>
      <c r="C64" s="24"/>
    </row>
    <row r="65" spans="1:3">
      <c r="A65" s="21">
        <v>64</v>
      </c>
      <c r="B65" s="22" t="s">
        <v>72</v>
      </c>
      <c r="C65" s="24"/>
    </row>
    <row r="66" spans="1:3">
      <c r="A66" s="21">
        <v>65</v>
      </c>
      <c r="B66" s="22" t="s">
        <v>38</v>
      </c>
      <c r="C66" s="24"/>
    </row>
    <row r="67" spans="1:3">
      <c r="A67" s="21">
        <v>66</v>
      </c>
      <c r="B67" s="22" t="s">
        <v>39</v>
      </c>
      <c r="C67" s="23"/>
    </row>
    <row r="68" spans="1:3">
      <c r="A68" s="21">
        <v>67</v>
      </c>
      <c r="B68" s="22" t="s">
        <v>40</v>
      </c>
      <c r="C68" s="23"/>
    </row>
    <row r="69" spans="1:3">
      <c r="A69" s="21">
        <v>68</v>
      </c>
      <c r="B69" s="22" t="s">
        <v>41</v>
      </c>
      <c r="C69" s="23"/>
    </row>
    <row r="70" spans="1:3">
      <c r="A70" s="21">
        <v>69</v>
      </c>
      <c r="B70" s="22" t="s">
        <v>73</v>
      </c>
      <c r="C70" s="23"/>
    </row>
    <row r="71" spans="1:3">
      <c r="A71" s="21">
        <v>70</v>
      </c>
      <c r="B71" s="22" t="s">
        <v>74</v>
      </c>
      <c r="C71" s="23"/>
    </row>
    <row r="72" spans="1:3">
      <c r="A72" s="21">
        <v>71</v>
      </c>
      <c r="B72" s="22" t="s">
        <v>44</v>
      </c>
      <c r="C72" s="23"/>
    </row>
    <row r="73" spans="1:3">
      <c r="A73" s="21">
        <v>72</v>
      </c>
      <c r="B73" s="22" t="s">
        <v>45</v>
      </c>
      <c r="C73" s="23"/>
    </row>
    <row r="74" spans="1:3">
      <c r="A74" s="21">
        <v>73</v>
      </c>
      <c r="B74" s="22" t="s">
        <v>75</v>
      </c>
      <c r="C74" s="23"/>
    </row>
    <row r="75" spans="1:3">
      <c r="A75" s="21">
        <v>74</v>
      </c>
      <c r="B75" s="22" t="s">
        <v>76</v>
      </c>
      <c r="C75" s="23"/>
    </row>
    <row r="76" spans="1:3">
      <c r="A76" s="21">
        <v>75</v>
      </c>
      <c r="B76" s="22" t="s">
        <v>48</v>
      </c>
      <c r="C76" s="23"/>
    </row>
    <row r="77" spans="1:3">
      <c r="A77" s="21">
        <v>76</v>
      </c>
      <c r="B77" s="22" t="s">
        <v>49</v>
      </c>
      <c r="C77" s="23"/>
    </row>
    <row r="78" spans="1:3">
      <c r="A78" s="21">
        <v>77</v>
      </c>
      <c r="B78" s="22" t="s">
        <v>50</v>
      </c>
      <c r="C78" s="23"/>
    </row>
    <row r="79" spans="1:3">
      <c r="A79" s="21">
        <v>78</v>
      </c>
      <c r="B79" s="22" t="s">
        <v>51</v>
      </c>
      <c r="C79" s="23"/>
    </row>
    <row r="80" spans="1:3">
      <c r="A80" s="21">
        <v>79</v>
      </c>
      <c r="B80" s="22" t="s">
        <v>77</v>
      </c>
      <c r="C80" s="23"/>
    </row>
    <row r="81" spans="1:3">
      <c r="A81" s="21">
        <v>80</v>
      </c>
      <c r="B81" s="22" t="s">
        <v>53</v>
      </c>
      <c r="C81" s="23"/>
    </row>
    <row r="82" spans="1:3">
      <c r="A82" s="21">
        <v>81</v>
      </c>
      <c r="B82" s="22" t="s">
        <v>54</v>
      </c>
      <c r="C82" s="23"/>
    </row>
    <row r="83" spans="1:3">
      <c r="A83" s="21">
        <v>82</v>
      </c>
      <c r="B83" s="22" t="s">
        <v>78</v>
      </c>
      <c r="C83" s="23"/>
    </row>
    <row r="84" spans="1:3">
      <c r="A84" s="21">
        <v>83</v>
      </c>
      <c r="B84" s="22" t="s">
        <v>56</v>
      </c>
      <c r="C84" s="23"/>
    </row>
    <row r="85" spans="1:3">
      <c r="A85" s="21">
        <v>84</v>
      </c>
      <c r="B85" s="22" t="s">
        <v>52</v>
      </c>
      <c r="C85" s="23"/>
    </row>
    <row r="86" spans="1:3">
      <c r="A86" s="21">
        <v>85</v>
      </c>
      <c r="B86" s="22" t="s">
        <v>58</v>
      </c>
      <c r="C86" s="23"/>
    </row>
    <row r="87" spans="1:3">
      <c r="A87" s="21">
        <v>86</v>
      </c>
      <c r="B87" s="22" t="s">
        <v>59</v>
      </c>
      <c r="C87" s="23"/>
    </row>
    <row r="88" spans="1:3">
      <c r="A88" s="21">
        <v>87</v>
      </c>
      <c r="B88" s="22" t="s">
        <v>60</v>
      </c>
      <c r="C88" s="23"/>
    </row>
    <row r="89" spans="1:3">
      <c r="A89" s="21">
        <v>88</v>
      </c>
      <c r="B89" s="22" t="s">
        <v>61</v>
      </c>
      <c r="C89" s="23"/>
    </row>
    <row r="90" spans="1:3">
      <c r="A90" s="21">
        <v>89</v>
      </c>
      <c r="B90" s="22" t="s">
        <v>62</v>
      </c>
      <c r="C90" s="23"/>
    </row>
    <row r="91" spans="1:3">
      <c r="A91" s="21">
        <v>90</v>
      </c>
      <c r="B91" s="22" t="s">
        <v>63</v>
      </c>
      <c r="C91" s="23"/>
    </row>
    <row r="92" spans="1:3">
      <c r="A92" s="21">
        <v>91</v>
      </c>
      <c r="B92" s="22" t="s">
        <v>79</v>
      </c>
      <c r="C92" s="23"/>
    </row>
    <row r="93" spans="1:3">
      <c r="A93" s="21">
        <v>92</v>
      </c>
      <c r="B93" s="22" t="s">
        <v>64</v>
      </c>
      <c r="C93" s="23"/>
    </row>
    <row r="94" spans="1:3">
      <c r="A94" s="21">
        <v>93</v>
      </c>
      <c r="B94" s="22" t="s">
        <v>65</v>
      </c>
      <c r="C94" s="23"/>
    </row>
    <row r="95" spans="1:3">
      <c r="A95" s="21">
        <v>94</v>
      </c>
      <c r="B95" s="22" t="s">
        <v>80</v>
      </c>
      <c r="C95" s="23"/>
    </row>
    <row r="96" spans="1:3">
      <c r="A96" s="21">
        <v>95</v>
      </c>
      <c r="B96" s="22" t="s">
        <v>68</v>
      </c>
      <c r="C96" s="23"/>
    </row>
    <row r="97" spans="1:3">
      <c r="A97" s="21">
        <v>96</v>
      </c>
      <c r="B97" s="22" t="s">
        <v>68</v>
      </c>
      <c r="C97" s="24"/>
    </row>
    <row r="98" spans="1:3">
      <c r="A98" s="21">
        <v>97</v>
      </c>
      <c r="B98" s="22" t="s">
        <v>69</v>
      </c>
      <c r="C98" s="24"/>
    </row>
    <row r="99" spans="1:3">
      <c r="A99" s="21">
        <v>98</v>
      </c>
      <c r="B99" s="22" t="s">
        <v>70</v>
      </c>
      <c r="C99" s="24"/>
    </row>
    <row r="100" spans="1:3">
      <c r="A100" s="21">
        <v>99</v>
      </c>
      <c r="B100" s="22" t="s">
        <v>70</v>
      </c>
      <c r="C100" s="24"/>
    </row>
    <row r="101" spans="1:3">
      <c r="A101" s="21">
        <v>100</v>
      </c>
      <c r="B101" s="22" t="s">
        <v>81</v>
      </c>
      <c r="C101" s="20"/>
    </row>
    <row r="102" spans="1:3">
      <c r="A102" s="18" t="s">
        <v>82</v>
      </c>
      <c r="B102" s="19" t="s">
        <v>83</v>
      </c>
      <c r="C102" s="20"/>
    </row>
    <row r="103" spans="1:3">
      <c r="A103" s="25">
        <v>101</v>
      </c>
      <c r="B103" s="22" t="s">
        <v>84</v>
      </c>
      <c r="C103" s="24"/>
    </row>
    <row r="104" spans="1:3">
      <c r="A104" s="25">
        <v>102</v>
      </c>
      <c r="B104" s="22" t="s">
        <v>260</v>
      </c>
      <c r="C104" s="26"/>
    </row>
    <row r="105" spans="1:3">
      <c r="A105" s="25">
        <v>103</v>
      </c>
      <c r="B105" s="27" t="s">
        <v>85</v>
      </c>
      <c r="C105" s="28"/>
    </row>
    <row r="106" spans="1:3">
      <c r="A106" s="25">
        <v>104</v>
      </c>
      <c r="B106" s="27" t="s">
        <v>86</v>
      </c>
      <c r="C106" s="28"/>
    </row>
    <row r="107" spans="1:3">
      <c r="A107" s="25">
        <v>105</v>
      </c>
      <c r="B107" s="27" t="s">
        <v>87</v>
      </c>
      <c r="C107" s="28"/>
    </row>
    <row r="108" spans="1:3">
      <c r="A108" s="25">
        <v>106</v>
      </c>
      <c r="B108" s="27" t="s">
        <v>88</v>
      </c>
      <c r="C108" s="28"/>
    </row>
    <row r="109" spans="1:3">
      <c r="A109" s="25">
        <v>107</v>
      </c>
      <c r="B109" s="27" t="s">
        <v>89</v>
      </c>
      <c r="C109" s="28"/>
    </row>
    <row r="110" spans="1:3">
      <c r="A110" s="25">
        <v>108</v>
      </c>
      <c r="B110" s="27" t="s">
        <v>90</v>
      </c>
      <c r="C110" s="28"/>
    </row>
    <row r="111" spans="1:3">
      <c r="A111" s="25">
        <v>109</v>
      </c>
      <c r="B111" s="27" t="s">
        <v>91</v>
      </c>
      <c r="C111" s="28"/>
    </row>
    <row r="112" spans="1:3">
      <c r="A112" s="25">
        <v>110</v>
      </c>
      <c r="B112" s="27" t="s">
        <v>92</v>
      </c>
      <c r="C112" s="26"/>
    </row>
    <row r="113" spans="1:3">
      <c r="A113" s="25">
        <v>111</v>
      </c>
      <c r="B113" s="27" t="s">
        <v>93</v>
      </c>
      <c r="C113" s="28"/>
    </row>
    <row r="114" spans="1:3">
      <c r="A114" s="25">
        <v>112</v>
      </c>
      <c r="B114" s="27" t="s">
        <v>94</v>
      </c>
      <c r="C114" s="28"/>
    </row>
    <row r="115" spans="1:3">
      <c r="A115" s="25">
        <v>113</v>
      </c>
      <c r="B115" s="27" t="s">
        <v>95</v>
      </c>
      <c r="C115" s="28"/>
    </row>
    <row r="116" spans="1:3">
      <c r="A116" s="18" t="s">
        <v>96</v>
      </c>
      <c r="B116" s="29" t="s">
        <v>97</v>
      </c>
      <c r="C116" s="30"/>
    </row>
    <row r="117" spans="1:3">
      <c r="A117" s="21">
        <v>114</v>
      </c>
      <c r="B117" s="22" t="s">
        <v>98</v>
      </c>
      <c r="C117" s="24"/>
    </row>
    <row r="118" spans="1:3">
      <c r="A118" s="21">
        <v>115</v>
      </c>
      <c r="B118" s="22" t="s">
        <v>99</v>
      </c>
      <c r="C118" s="24"/>
    </row>
    <row r="119" spans="1:3">
      <c r="A119" s="21">
        <v>116</v>
      </c>
      <c r="B119" s="22" t="s">
        <v>100</v>
      </c>
      <c r="C119" s="26"/>
    </row>
    <row r="120" spans="1:3">
      <c r="A120" s="21">
        <v>117</v>
      </c>
      <c r="B120" s="22" t="s">
        <v>101</v>
      </c>
      <c r="C120" s="24"/>
    </row>
    <row r="121" spans="1:3">
      <c r="A121" s="21">
        <v>118</v>
      </c>
      <c r="B121" s="22" t="s">
        <v>102</v>
      </c>
      <c r="C121" s="24"/>
    </row>
    <row r="122" spans="1:3">
      <c r="A122" s="21">
        <v>119</v>
      </c>
      <c r="B122" s="22" t="s">
        <v>103</v>
      </c>
      <c r="C122" s="24"/>
    </row>
    <row r="123" spans="1:3">
      <c r="A123" s="21">
        <v>120</v>
      </c>
      <c r="B123" s="22" t="s">
        <v>104</v>
      </c>
      <c r="C123" s="24"/>
    </row>
    <row r="124" spans="1:3">
      <c r="A124" s="21">
        <v>121</v>
      </c>
      <c r="B124" s="22" t="s">
        <v>105</v>
      </c>
      <c r="C124" s="24"/>
    </row>
    <row r="125" spans="1:3">
      <c r="A125" s="21">
        <v>122</v>
      </c>
      <c r="B125" s="22" t="s">
        <v>106</v>
      </c>
      <c r="C125" s="24"/>
    </row>
    <row r="126" spans="1:3">
      <c r="A126" s="21">
        <v>123</v>
      </c>
      <c r="B126" s="22" t="s">
        <v>107</v>
      </c>
      <c r="C126" s="24"/>
    </row>
    <row r="127" spans="1:3">
      <c r="A127" s="21">
        <v>124</v>
      </c>
      <c r="B127" s="22" t="s">
        <v>108</v>
      </c>
      <c r="C127" s="24"/>
    </row>
    <row r="128" spans="1:3">
      <c r="A128" s="21">
        <v>125</v>
      </c>
      <c r="B128" s="22" t="s">
        <v>109</v>
      </c>
      <c r="C128" s="24"/>
    </row>
    <row r="129" spans="1:3">
      <c r="A129" s="21">
        <v>126</v>
      </c>
      <c r="B129" s="22" t="s">
        <v>110</v>
      </c>
      <c r="C129" s="24"/>
    </row>
    <row r="130" spans="1:3">
      <c r="A130" s="21">
        <v>127</v>
      </c>
      <c r="B130" s="22" t="s">
        <v>111</v>
      </c>
      <c r="C130" s="24"/>
    </row>
    <row r="131" spans="1:3">
      <c r="A131" s="21">
        <v>128</v>
      </c>
      <c r="B131" s="22" t="s">
        <v>259</v>
      </c>
      <c r="C131" s="24"/>
    </row>
    <row r="132" spans="1:3">
      <c r="A132" s="21">
        <v>129</v>
      </c>
      <c r="B132" s="22" t="s">
        <v>112</v>
      </c>
      <c r="C132" s="24"/>
    </row>
    <row r="133" spans="1:3">
      <c r="A133" s="21">
        <v>130</v>
      </c>
      <c r="B133" s="22" t="s">
        <v>113</v>
      </c>
      <c r="C133" s="24"/>
    </row>
    <row r="134" spans="1:3">
      <c r="A134" s="21">
        <v>131</v>
      </c>
      <c r="B134" s="22" t="s">
        <v>114</v>
      </c>
      <c r="C134" s="24"/>
    </row>
    <row r="135" spans="1:3">
      <c r="A135" s="21">
        <v>132</v>
      </c>
      <c r="B135" s="22" t="s">
        <v>115</v>
      </c>
      <c r="C135" s="24"/>
    </row>
    <row r="136" spans="1:3">
      <c r="A136" s="21">
        <v>133</v>
      </c>
      <c r="B136" s="22" t="s">
        <v>258</v>
      </c>
      <c r="C136" s="24"/>
    </row>
    <row r="137" spans="1:3">
      <c r="A137" s="21">
        <v>134</v>
      </c>
      <c r="B137" s="22" t="s">
        <v>116</v>
      </c>
      <c r="C137" s="26"/>
    </row>
    <row r="138" spans="1:3">
      <c r="A138" s="21">
        <v>135</v>
      </c>
      <c r="B138" s="22" t="s">
        <v>117</v>
      </c>
      <c r="C138" s="24"/>
    </row>
    <row r="139" spans="1:3">
      <c r="A139" s="21">
        <v>136</v>
      </c>
      <c r="B139" s="22" t="s">
        <v>118</v>
      </c>
      <c r="C139" s="24"/>
    </row>
    <row r="140" spans="1:3">
      <c r="A140" s="21">
        <v>137</v>
      </c>
      <c r="B140" s="22" t="s">
        <v>119</v>
      </c>
      <c r="C140" s="24"/>
    </row>
    <row r="141" spans="1:3">
      <c r="A141" s="21">
        <v>138</v>
      </c>
      <c r="B141" s="22" t="s">
        <v>120</v>
      </c>
      <c r="C141" s="24"/>
    </row>
    <row r="142" spans="1:3">
      <c r="A142" s="21">
        <v>139</v>
      </c>
      <c r="B142" s="22" t="s">
        <v>65</v>
      </c>
      <c r="C142" s="24"/>
    </row>
    <row r="143" spans="1:3">
      <c r="A143" s="18" t="s">
        <v>121</v>
      </c>
      <c r="B143" s="29" t="s">
        <v>122</v>
      </c>
      <c r="C143" s="20"/>
    </row>
    <row r="144" spans="1:3">
      <c r="A144" s="21">
        <v>140</v>
      </c>
      <c r="B144" s="22" t="s">
        <v>123</v>
      </c>
      <c r="C144" s="31"/>
    </row>
    <row r="145" spans="1:3">
      <c r="A145" s="21">
        <v>141</v>
      </c>
      <c r="B145" s="22" t="s">
        <v>124</v>
      </c>
      <c r="C145" s="32"/>
    </row>
    <row r="146" spans="1:3">
      <c r="A146" s="21">
        <v>142</v>
      </c>
      <c r="B146" s="22" t="s">
        <v>125</v>
      </c>
      <c r="C146" s="33"/>
    </row>
    <row r="147" spans="1:3">
      <c r="A147" s="21">
        <v>143</v>
      </c>
      <c r="B147" s="22" t="s">
        <v>125</v>
      </c>
      <c r="C147" s="31"/>
    </row>
    <row r="148" spans="1:3">
      <c r="A148" s="21">
        <v>144</v>
      </c>
      <c r="B148" s="22" t="s">
        <v>125</v>
      </c>
      <c r="C148" s="32"/>
    </row>
    <row r="149" spans="1:3">
      <c r="A149" s="21">
        <v>145</v>
      </c>
      <c r="B149" s="22" t="s">
        <v>126</v>
      </c>
      <c r="C149" s="33"/>
    </row>
    <row r="150" spans="1:3">
      <c r="A150" s="21">
        <v>146</v>
      </c>
      <c r="B150" s="22" t="s">
        <v>126</v>
      </c>
      <c r="C150" s="31"/>
    </row>
    <row r="151" spans="1:3">
      <c r="A151" s="21">
        <v>147</v>
      </c>
      <c r="B151" s="22" t="s">
        <v>127</v>
      </c>
      <c r="C151" s="32"/>
    </row>
    <row r="152" spans="1:3">
      <c r="A152" s="21">
        <v>148</v>
      </c>
      <c r="B152" s="22" t="s">
        <v>128</v>
      </c>
      <c r="C152" s="33"/>
    </row>
    <row r="153" spans="1:3">
      <c r="A153" s="21">
        <v>149</v>
      </c>
      <c r="B153" s="22" t="s">
        <v>129</v>
      </c>
      <c r="C153" s="31"/>
    </row>
    <row r="154" spans="1:3">
      <c r="A154" s="21">
        <v>150</v>
      </c>
      <c r="B154" s="22"/>
      <c r="C154" s="32"/>
    </row>
    <row r="155" spans="1:3">
      <c r="A155" s="18" t="s">
        <v>130</v>
      </c>
      <c r="B155" s="19" t="s">
        <v>131</v>
      </c>
      <c r="C155" s="34"/>
    </row>
    <row r="156" spans="1:3">
      <c r="A156" s="21">
        <v>151</v>
      </c>
      <c r="B156" s="22" t="s">
        <v>132</v>
      </c>
      <c r="C156" s="35"/>
    </row>
    <row r="157" spans="1:3">
      <c r="A157" s="21">
        <v>152</v>
      </c>
      <c r="B157" s="22" t="s">
        <v>133</v>
      </c>
      <c r="C157" s="35"/>
    </row>
    <row r="158" spans="1:3">
      <c r="A158" s="21">
        <v>153</v>
      </c>
      <c r="B158" s="22" t="s">
        <v>134</v>
      </c>
      <c r="C158" s="35"/>
    </row>
    <row r="159" spans="1:3">
      <c r="A159" s="21">
        <v>154</v>
      </c>
      <c r="B159" s="22" t="s">
        <v>135</v>
      </c>
      <c r="C159" s="35"/>
    </row>
    <row r="160" spans="1:3">
      <c r="A160" s="21">
        <v>155</v>
      </c>
      <c r="B160" s="22" t="s">
        <v>136</v>
      </c>
      <c r="C160" s="35"/>
    </row>
    <row r="161" spans="1:3">
      <c r="A161" s="21">
        <v>156</v>
      </c>
      <c r="B161" s="22" t="s">
        <v>137</v>
      </c>
      <c r="C161" s="35"/>
    </row>
    <row r="162" spans="1:3">
      <c r="A162" s="21">
        <v>157</v>
      </c>
      <c r="B162" s="22" t="s">
        <v>138</v>
      </c>
      <c r="C162" s="35"/>
    </row>
    <row r="163" spans="1:3">
      <c r="A163" s="21">
        <v>158</v>
      </c>
      <c r="B163" s="22" t="s">
        <v>139</v>
      </c>
      <c r="C163" s="35"/>
    </row>
    <row r="164" spans="1:3">
      <c r="A164" s="21">
        <v>159</v>
      </c>
      <c r="B164" s="22" t="s">
        <v>140</v>
      </c>
      <c r="C164" s="35"/>
    </row>
    <row r="165" spans="1:3">
      <c r="A165" s="21">
        <v>160</v>
      </c>
      <c r="B165" s="22" t="s">
        <v>141</v>
      </c>
      <c r="C165" s="35"/>
    </row>
    <row r="166" spans="1:3">
      <c r="A166" s="21">
        <v>161</v>
      </c>
      <c r="B166" s="22" t="s">
        <v>142</v>
      </c>
      <c r="C166" s="35"/>
    </row>
    <row r="167" spans="1:3">
      <c r="A167" s="21">
        <v>162</v>
      </c>
      <c r="B167" s="22" t="s">
        <v>143</v>
      </c>
      <c r="C167" s="35"/>
    </row>
    <row r="168" spans="1:3">
      <c r="A168" s="21">
        <v>163</v>
      </c>
      <c r="B168" s="22"/>
      <c r="C168" s="35"/>
    </row>
    <row r="169" spans="1:3">
      <c r="A169" s="21">
        <v>164</v>
      </c>
      <c r="B169" s="22"/>
      <c r="C169" s="36"/>
    </row>
    <row r="170" spans="1:3">
      <c r="A170" s="21">
        <v>165</v>
      </c>
      <c r="B170" s="22"/>
      <c r="C170" s="37"/>
    </row>
    <row r="171" spans="1:3">
      <c r="A171" s="21">
        <v>166</v>
      </c>
      <c r="B171" s="22"/>
      <c r="C171" s="36"/>
    </row>
    <row r="172" spans="1:3">
      <c r="A172" s="21">
        <v>167</v>
      </c>
      <c r="B172" s="22"/>
      <c r="C172" s="37"/>
    </row>
    <row r="173" spans="1:3">
      <c r="A173" s="38" t="s">
        <v>144</v>
      </c>
      <c r="B173" s="39" t="s">
        <v>145</v>
      </c>
      <c r="C173" s="37"/>
    </row>
    <row r="174" spans="1:3">
      <c r="A174" s="21">
        <v>168</v>
      </c>
      <c r="B174" s="22" t="s">
        <v>146</v>
      </c>
      <c r="C174" s="40"/>
    </row>
    <row r="175" spans="1:3">
      <c r="A175" s="21">
        <v>169</v>
      </c>
      <c r="B175" s="41" t="s">
        <v>147</v>
      </c>
      <c r="C175" s="40"/>
    </row>
    <row r="176" spans="1:3">
      <c r="A176" s="21">
        <v>170</v>
      </c>
      <c r="B176" s="41" t="s">
        <v>148</v>
      </c>
      <c r="C176" s="40"/>
    </row>
    <row r="177" spans="1:3">
      <c r="A177" s="21">
        <v>171</v>
      </c>
      <c r="B177" s="41" t="s">
        <v>149</v>
      </c>
      <c r="C177" s="40"/>
    </row>
    <row r="178" spans="1:3">
      <c r="A178" s="21">
        <v>172</v>
      </c>
      <c r="B178" s="41" t="s">
        <v>150</v>
      </c>
      <c r="C178" s="40"/>
    </row>
    <row r="179" spans="1:3">
      <c r="A179" s="21">
        <v>173</v>
      </c>
      <c r="B179" s="41" t="s">
        <v>151</v>
      </c>
      <c r="C179" s="40"/>
    </row>
    <row r="180" spans="1:3">
      <c r="A180" s="21">
        <v>174</v>
      </c>
      <c r="B180" s="41" t="s">
        <v>151</v>
      </c>
      <c r="C180" s="40"/>
    </row>
    <row r="181" spans="1:3">
      <c r="A181" s="21">
        <v>175</v>
      </c>
      <c r="B181" s="41" t="s">
        <v>152</v>
      </c>
      <c r="C181" s="40"/>
    </row>
    <row r="182" spans="1:3">
      <c r="A182" s="21">
        <v>176</v>
      </c>
      <c r="B182" s="41" t="s">
        <v>153</v>
      </c>
      <c r="C182" s="40"/>
    </row>
    <row r="183" spans="1:3">
      <c r="A183" s="21">
        <v>177</v>
      </c>
      <c r="B183" s="41" t="s">
        <v>154</v>
      </c>
      <c r="C183" s="40"/>
    </row>
    <row r="184" spans="1:3">
      <c r="A184" s="21">
        <v>178</v>
      </c>
      <c r="B184" s="41" t="s">
        <v>155</v>
      </c>
      <c r="C184" s="30"/>
    </row>
    <row r="185" spans="1:3">
      <c r="A185" s="21">
        <v>179</v>
      </c>
      <c r="B185" s="41" t="s">
        <v>156</v>
      </c>
      <c r="C185" s="30"/>
    </row>
    <row r="186" spans="1:3">
      <c r="A186" s="21">
        <v>180</v>
      </c>
      <c r="B186" s="41" t="s">
        <v>157</v>
      </c>
      <c r="C186" s="30"/>
    </row>
    <row r="187" spans="1:3">
      <c r="A187" s="18" t="s">
        <v>158</v>
      </c>
      <c r="B187" s="29" t="s">
        <v>159</v>
      </c>
      <c r="C187" s="30"/>
    </row>
    <row r="188" spans="1:3">
      <c r="A188" s="21">
        <v>181</v>
      </c>
      <c r="B188" s="22" t="s">
        <v>160</v>
      </c>
      <c r="C188" s="42"/>
    </row>
    <row r="189" spans="1:3">
      <c r="A189" s="21">
        <v>182</v>
      </c>
      <c r="B189" s="22" t="s">
        <v>161</v>
      </c>
      <c r="C189" s="42"/>
    </row>
    <row r="190" spans="1:3">
      <c r="A190" s="21">
        <v>183</v>
      </c>
      <c r="B190" s="22" t="s">
        <v>162</v>
      </c>
      <c r="C190" s="42"/>
    </row>
    <row r="191" spans="1:3">
      <c r="A191" s="21">
        <v>184</v>
      </c>
      <c r="B191" s="22" t="s">
        <v>163</v>
      </c>
      <c r="C191" s="42"/>
    </row>
    <row r="192" spans="1:3">
      <c r="A192" s="21">
        <v>185</v>
      </c>
      <c r="B192" s="22" t="s">
        <v>164</v>
      </c>
      <c r="C192" s="42"/>
    </row>
    <row r="193" spans="1:3">
      <c r="A193" s="21">
        <v>186</v>
      </c>
      <c r="B193" s="22" t="s">
        <v>165</v>
      </c>
      <c r="C193" s="40"/>
    </row>
    <row r="194" spans="1:3">
      <c r="A194" s="21">
        <v>187</v>
      </c>
      <c r="B194" s="22" t="s">
        <v>166</v>
      </c>
      <c r="C194" s="40"/>
    </row>
    <row r="195" spans="1:3">
      <c r="A195" s="21">
        <v>188</v>
      </c>
      <c r="B195" s="22" t="s">
        <v>167</v>
      </c>
      <c r="C195" s="40"/>
    </row>
    <row r="196" spans="1:3">
      <c r="A196" s="21">
        <v>189</v>
      </c>
      <c r="B196" s="22" t="s">
        <v>168</v>
      </c>
      <c r="C196" s="40"/>
    </row>
    <row r="197" spans="1:3">
      <c r="A197" s="21">
        <v>190</v>
      </c>
      <c r="B197" s="22" t="s">
        <v>169</v>
      </c>
      <c r="C197" s="40"/>
    </row>
    <row r="198" spans="1:3">
      <c r="A198" s="21">
        <v>191</v>
      </c>
      <c r="B198" s="22" t="s">
        <v>170</v>
      </c>
      <c r="C198" s="30"/>
    </row>
    <row r="199" spans="1:3">
      <c r="A199" s="21">
        <v>192</v>
      </c>
      <c r="B199" s="22" t="s">
        <v>171</v>
      </c>
      <c r="C199" s="30"/>
    </row>
    <row r="200" spans="1:3">
      <c r="A200" s="18" t="s">
        <v>172</v>
      </c>
      <c r="B200" s="19" t="s">
        <v>173</v>
      </c>
      <c r="C200" s="30"/>
    </row>
    <row r="201" spans="1:3">
      <c r="A201" s="43">
        <v>193</v>
      </c>
      <c r="B201" s="22" t="s">
        <v>174</v>
      </c>
      <c r="C201" s="40"/>
    </row>
    <row r="202" spans="1:3">
      <c r="A202" s="43">
        <v>194</v>
      </c>
      <c r="B202" s="22" t="s">
        <v>175</v>
      </c>
      <c r="C202" s="40"/>
    </row>
    <row r="203" spans="1:3">
      <c r="A203" s="43">
        <v>195</v>
      </c>
      <c r="B203" s="22" t="s">
        <v>176</v>
      </c>
      <c r="C203" s="40"/>
    </row>
    <row r="204" spans="1:3">
      <c r="A204" s="43">
        <v>196</v>
      </c>
      <c r="B204" s="22" t="s">
        <v>177</v>
      </c>
      <c r="C204" s="40"/>
    </row>
    <row r="205" spans="1:3">
      <c r="A205" s="43">
        <v>197</v>
      </c>
      <c r="B205" s="22" t="s">
        <v>178</v>
      </c>
      <c r="C205" s="40"/>
    </row>
    <row r="206" spans="1:3">
      <c r="A206" s="43">
        <v>198</v>
      </c>
      <c r="B206" s="22" t="s">
        <v>179</v>
      </c>
      <c r="C206" s="40"/>
    </row>
    <row r="207" spans="1:3">
      <c r="A207" s="43">
        <v>199</v>
      </c>
      <c r="B207" s="22" t="s">
        <v>180</v>
      </c>
      <c r="C207" s="40"/>
    </row>
    <row r="208" spans="1:3">
      <c r="A208" s="43">
        <v>200</v>
      </c>
      <c r="B208" s="22" t="s">
        <v>181</v>
      </c>
      <c r="C208" s="40"/>
    </row>
    <row r="209" spans="1:3">
      <c r="A209" s="43">
        <v>201</v>
      </c>
      <c r="B209" s="22" t="s">
        <v>182</v>
      </c>
      <c r="C209" s="40"/>
    </row>
    <row r="210" spans="1:3">
      <c r="A210" s="43">
        <v>202</v>
      </c>
      <c r="B210" s="22" t="s">
        <v>183</v>
      </c>
      <c r="C210" s="40"/>
    </row>
    <row r="211" spans="1:3">
      <c r="A211" s="43">
        <v>203</v>
      </c>
      <c r="B211" s="22" t="s">
        <v>184</v>
      </c>
      <c r="C211" s="40"/>
    </row>
    <row r="212" spans="1:3">
      <c r="A212" s="43">
        <v>204</v>
      </c>
      <c r="B212" s="22" t="s">
        <v>185</v>
      </c>
      <c r="C212" s="30"/>
    </row>
    <row r="213" spans="1:3">
      <c r="A213" s="43">
        <v>205</v>
      </c>
      <c r="B213" s="22" t="s">
        <v>186</v>
      </c>
      <c r="C213" s="30"/>
    </row>
    <row r="214" spans="1:3">
      <c r="A214" s="43">
        <v>206</v>
      </c>
      <c r="B214" s="22" t="s">
        <v>187</v>
      </c>
      <c r="C214" s="30"/>
    </row>
    <row r="215" spans="1:3">
      <c r="A215" s="43">
        <v>207</v>
      </c>
      <c r="B215" s="22" t="s">
        <v>188</v>
      </c>
      <c r="C215" s="30"/>
    </row>
    <row r="216" spans="1:3">
      <c r="A216" s="43">
        <v>208</v>
      </c>
      <c r="B216" s="22" t="s">
        <v>189</v>
      </c>
      <c r="C216" s="30"/>
    </row>
    <row r="217" spans="1:3">
      <c r="A217" s="43">
        <v>209</v>
      </c>
      <c r="B217" s="22" t="s">
        <v>190</v>
      </c>
      <c r="C217" s="30"/>
    </row>
    <row r="218" spans="1:3">
      <c r="A218" s="43">
        <v>210</v>
      </c>
      <c r="B218" s="22" t="s">
        <v>191</v>
      </c>
      <c r="C218" s="30"/>
    </row>
    <row r="219" spans="1:3">
      <c r="A219" s="44" t="s">
        <v>192</v>
      </c>
      <c r="B219" s="19" t="s">
        <v>193</v>
      </c>
      <c r="C219" s="30"/>
    </row>
    <row r="220" spans="1:3">
      <c r="A220" s="45">
        <v>211</v>
      </c>
      <c r="B220" s="22" t="s">
        <v>194</v>
      </c>
      <c r="C220" s="40"/>
    </row>
    <row r="221" spans="1:3">
      <c r="A221" s="45">
        <v>212</v>
      </c>
      <c r="B221" s="22" t="s">
        <v>195</v>
      </c>
      <c r="C221" s="40"/>
    </row>
    <row r="222" spans="1:3">
      <c r="A222" s="45">
        <v>213</v>
      </c>
      <c r="B222" s="22" t="s">
        <v>196</v>
      </c>
      <c r="C222" s="40"/>
    </row>
    <row r="223" spans="1:3">
      <c r="A223" s="45">
        <v>214</v>
      </c>
      <c r="B223" s="22" t="s">
        <v>197</v>
      </c>
      <c r="C223" s="40"/>
    </row>
    <row r="224" spans="1:3">
      <c r="A224" s="45">
        <v>215</v>
      </c>
      <c r="B224" s="22" t="s">
        <v>198</v>
      </c>
      <c r="C224" s="40"/>
    </row>
    <row r="225" spans="1:3">
      <c r="A225" s="45">
        <v>216</v>
      </c>
      <c r="B225" s="22" t="s">
        <v>199</v>
      </c>
      <c r="C225" s="40"/>
    </row>
    <row r="226" spans="1:3">
      <c r="A226" s="46" t="s">
        <v>200</v>
      </c>
      <c r="B226" s="19" t="s">
        <v>201</v>
      </c>
      <c r="C226" s="40"/>
    </row>
    <row r="227" spans="1:3">
      <c r="A227" s="47">
        <v>217</v>
      </c>
      <c r="B227" s="22" t="s">
        <v>202</v>
      </c>
      <c r="C227" s="40"/>
    </row>
    <row r="228" spans="1:3">
      <c r="A228" s="47">
        <v>218</v>
      </c>
      <c r="B228" s="22" t="s">
        <v>203</v>
      </c>
      <c r="C228" s="40"/>
    </row>
    <row r="229" spans="1:3">
      <c r="A229" s="47">
        <v>219</v>
      </c>
      <c r="B229" s="22" t="s">
        <v>204</v>
      </c>
      <c r="C229" s="40"/>
    </row>
    <row r="230" spans="1:3">
      <c r="A230" s="47">
        <v>220</v>
      </c>
      <c r="B230" s="22" t="s">
        <v>205</v>
      </c>
      <c r="C230" s="40"/>
    </row>
    <row r="231" spans="1:3">
      <c r="A231" s="47">
        <v>221</v>
      </c>
      <c r="B231" s="22" t="s">
        <v>206</v>
      </c>
      <c r="C231" s="40"/>
    </row>
    <row r="232" spans="1:3">
      <c r="A232" s="47">
        <v>222</v>
      </c>
      <c r="B232" s="22" t="s">
        <v>207</v>
      </c>
      <c r="C232" s="40"/>
    </row>
    <row r="233" spans="1:3">
      <c r="A233" s="47">
        <v>223</v>
      </c>
      <c r="B233" s="22" t="s">
        <v>208</v>
      </c>
      <c r="C233" s="40"/>
    </row>
    <row r="234" spans="1:3">
      <c r="A234" s="47">
        <v>224</v>
      </c>
      <c r="B234" s="22" t="s">
        <v>209</v>
      </c>
      <c r="C234" s="30"/>
    </row>
    <row r="235" spans="1:3">
      <c r="A235" s="47">
        <v>225</v>
      </c>
      <c r="B235" s="22" t="s">
        <v>210</v>
      </c>
      <c r="C235" s="30"/>
    </row>
    <row r="236" spans="1:3">
      <c r="A236" s="47">
        <v>226</v>
      </c>
      <c r="B236" s="22"/>
      <c r="C236" s="30"/>
    </row>
    <row r="237" spans="1:3">
      <c r="A237" s="46" t="s">
        <v>211</v>
      </c>
      <c r="B237" s="19" t="s">
        <v>212</v>
      </c>
      <c r="C237" s="30"/>
    </row>
    <row r="238" spans="1:3">
      <c r="A238" s="48">
        <v>227</v>
      </c>
      <c r="B238" s="22" t="s">
        <v>213</v>
      </c>
      <c r="C238" s="49"/>
    </row>
    <row r="239" spans="1:3">
      <c r="A239" s="48">
        <v>228</v>
      </c>
      <c r="B239" s="22" t="s">
        <v>214</v>
      </c>
      <c r="C239" s="49"/>
    </row>
    <row r="240" spans="1:3">
      <c r="A240" s="48">
        <v>229</v>
      </c>
      <c r="B240" s="22" t="s">
        <v>215</v>
      </c>
      <c r="C240" s="49"/>
    </row>
    <row r="241" spans="1:3">
      <c r="A241" s="48">
        <v>230</v>
      </c>
      <c r="B241" s="22" t="s">
        <v>216</v>
      </c>
      <c r="C241" s="49"/>
    </row>
    <row r="242" spans="1:3">
      <c r="A242" s="48">
        <v>231</v>
      </c>
      <c r="B242" s="22" t="s">
        <v>217</v>
      </c>
      <c r="C242" s="49"/>
    </row>
    <row r="243" spans="1:3">
      <c r="A243" s="48">
        <v>232</v>
      </c>
      <c r="B243" s="22" t="s">
        <v>67</v>
      </c>
      <c r="C243" s="49"/>
    </row>
    <row r="244" spans="1:3">
      <c r="A244" s="48">
        <v>233</v>
      </c>
      <c r="B244" s="22"/>
      <c r="C244" s="49"/>
    </row>
    <row r="245" spans="1:3">
      <c r="A245" s="46" t="s">
        <v>218</v>
      </c>
      <c r="B245" s="19" t="s">
        <v>219</v>
      </c>
      <c r="C245" s="30"/>
    </row>
    <row r="246" spans="1:3">
      <c r="A246" s="21">
        <v>236</v>
      </c>
      <c r="B246" s="22" t="s">
        <v>220</v>
      </c>
      <c r="C246" s="50"/>
    </row>
    <row r="247" spans="1:3">
      <c r="A247" s="21">
        <v>237</v>
      </c>
      <c r="B247" s="22" t="s">
        <v>220</v>
      </c>
      <c r="C247" s="50"/>
    </row>
    <row r="248" spans="1:3">
      <c r="A248" s="21">
        <v>238</v>
      </c>
      <c r="B248" s="22" t="s">
        <v>220</v>
      </c>
      <c r="C248" s="50"/>
    </row>
    <row r="249" spans="1:3">
      <c r="A249" s="21">
        <v>239</v>
      </c>
      <c r="B249" s="22" t="s">
        <v>220</v>
      </c>
      <c r="C249" s="50"/>
    </row>
    <row r="250" spans="1:3">
      <c r="A250" s="21">
        <v>240</v>
      </c>
      <c r="B250" s="22" t="s">
        <v>220</v>
      </c>
      <c r="C250" s="50"/>
    </row>
    <row r="251" spans="1:3">
      <c r="A251" s="21">
        <v>241</v>
      </c>
      <c r="B251" s="22" t="s">
        <v>220</v>
      </c>
      <c r="C251" s="50"/>
    </row>
    <row r="252" spans="1:3">
      <c r="A252" s="21">
        <v>242</v>
      </c>
      <c r="B252" s="22" t="s">
        <v>220</v>
      </c>
      <c r="C252" s="30"/>
    </row>
    <row r="253" spans="1:3">
      <c r="A253" s="21">
        <v>243</v>
      </c>
      <c r="B253" s="22" t="s">
        <v>220</v>
      </c>
      <c r="C253" s="50"/>
    </row>
    <row r="254" spans="1:3">
      <c r="A254" s="21">
        <v>244</v>
      </c>
      <c r="B254" s="22" t="s">
        <v>220</v>
      </c>
      <c r="C254" s="50"/>
    </row>
    <row r="255" spans="1:3">
      <c r="A255" s="21">
        <v>245</v>
      </c>
      <c r="B255" s="22" t="s">
        <v>220</v>
      </c>
      <c r="C255" s="50"/>
    </row>
    <row r="256" spans="1:3">
      <c r="A256" s="21">
        <v>246</v>
      </c>
      <c r="B256" s="22"/>
      <c r="C256" s="50"/>
    </row>
    <row r="257" spans="1:3">
      <c r="A257" s="21">
        <v>247</v>
      </c>
      <c r="B257" s="22"/>
      <c r="C257" s="50"/>
    </row>
    <row r="258" spans="1:3">
      <c r="A258" s="21">
        <v>248</v>
      </c>
      <c r="B258" s="22"/>
      <c r="C258" s="50"/>
    </row>
    <row r="259" spans="1:3">
      <c r="A259" s="21">
        <v>249</v>
      </c>
      <c r="B259" s="22" t="s">
        <v>221</v>
      </c>
      <c r="C259" s="50"/>
    </row>
    <row r="260" spans="1:3">
      <c r="A260" s="21">
        <v>250</v>
      </c>
      <c r="B260" s="22" t="s">
        <v>222</v>
      </c>
      <c r="C260" s="50"/>
    </row>
    <row r="261" spans="1:3">
      <c r="A261" s="21">
        <v>251</v>
      </c>
      <c r="B261" s="22" t="s">
        <v>223</v>
      </c>
      <c r="C261" s="50"/>
    </row>
    <row r="262" spans="1:3">
      <c r="A262" s="21">
        <v>252</v>
      </c>
      <c r="B262" s="22" t="s">
        <v>224</v>
      </c>
      <c r="C262" s="50"/>
    </row>
    <row r="263" spans="1:3">
      <c r="A263" s="21">
        <v>253</v>
      </c>
      <c r="B263" s="22" t="s">
        <v>225</v>
      </c>
      <c r="C263" s="50"/>
    </row>
    <row r="264" spans="1:3">
      <c r="A264" s="21">
        <v>254</v>
      </c>
      <c r="B264" s="22" t="s">
        <v>221</v>
      </c>
      <c r="C264" s="50"/>
    </row>
    <row r="265" spans="1:3">
      <c r="A265" s="21">
        <v>255</v>
      </c>
      <c r="B265" s="22"/>
      <c r="C265" s="30"/>
    </row>
    <row r="266" spans="1:3">
      <c r="A266" s="21">
        <v>256</v>
      </c>
      <c r="B266" s="22"/>
      <c r="C266" s="50"/>
    </row>
    <row r="267" spans="1:3">
      <c r="A267" s="21">
        <v>257</v>
      </c>
      <c r="B267" s="22"/>
      <c r="C267" s="50"/>
    </row>
    <row r="268" spans="1:3">
      <c r="A268" s="21">
        <v>258</v>
      </c>
      <c r="B268" s="22" t="s">
        <v>226</v>
      </c>
      <c r="C268" s="50"/>
    </row>
    <row r="269" spans="1:3">
      <c r="A269" s="21">
        <v>259</v>
      </c>
      <c r="B269" s="22"/>
      <c r="C269" s="50"/>
    </row>
    <row r="270" spans="1:3">
      <c r="A270" s="21">
        <v>260</v>
      </c>
      <c r="B270" s="22"/>
      <c r="C270" s="50"/>
    </row>
    <row r="271" spans="1:3">
      <c r="A271" s="21">
        <v>261</v>
      </c>
      <c r="B271" s="22" t="s">
        <v>227</v>
      </c>
      <c r="C271" s="50"/>
    </row>
    <row r="272" spans="1:3">
      <c r="A272" s="21">
        <v>262</v>
      </c>
      <c r="B272" s="22" t="s">
        <v>228</v>
      </c>
      <c r="C272" s="50"/>
    </row>
    <row r="273" spans="1:3">
      <c r="A273" s="21">
        <v>263</v>
      </c>
      <c r="B273" s="22" t="s">
        <v>228</v>
      </c>
      <c r="C273" s="50"/>
    </row>
    <row r="274" spans="1:3">
      <c r="A274" s="21">
        <v>264</v>
      </c>
      <c r="B274" s="22"/>
      <c r="C274" s="50"/>
    </row>
    <row r="275" spans="1:3">
      <c r="A275" s="21">
        <v>265</v>
      </c>
      <c r="B275" s="22" t="s">
        <v>229</v>
      </c>
      <c r="C275" s="50"/>
    </row>
    <row r="276" spans="1:3">
      <c r="A276" s="21">
        <v>266</v>
      </c>
      <c r="B276" s="22" t="s">
        <v>229</v>
      </c>
      <c r="C276" s="50"/>
    </row>
    <row r="277" spans="1:3">
      <c r="A277" s="21">
        <v>267</v>
      </c>
      <c r="B277" s="22"/>
      <c r="C277" s="50"/>
    </row>
    <row r="278" spans="1:3">
      <c r="A278" s="21">
        <v>268</v>
      </c>
      <c r="B278" s="22" t="s">
        <v>230</v>
      </c>
      <c r="C278" s="50"/>
    </row>
    <row r="279" spans="1:3">
      <c r="A279" s="21">
        <v>269</v>
      </c>
      <c r="B279" s="22" t="s">
        <v>231</v>
      </c>
      <c r="C279" s="50"/>
    </row>
    <row r="280" spans="1:3">
      <c r="A280" s="21">
        <v>270</v>
      </c>
      <c r="B280" s="22" t="s">
        <v>232</v>
      </c>
      <c r="C280" s="50"/>
    </row>
    <row r="281" spans="1:3">
      <c r="A281" s="46" t="s">
        <v>233</v>
      </c>
      <c r="B281" s="19" t="s">
        <v>234</v>
      </c>
      <c r="C281" s="30"/>
    </row>
    <row r="282" spans="1:3">
      <c r="A282" s="21">
        <v>271</v>
      </c>
      <c r="B282" s="27" t="s">
        <v>235</v>
      </c>
      <c r="C282" s="50"/>
    </row>
    <row r="283" spans="1:3">
      <c r="A283" s="21">
        <v>272</v>
      </c>
      <c r="B283" s="27" t="s">
        <v>236</v>
      </c>
      <c r="C283" s="50"/>
    </row>
    <row r="284" spans="1:3">
      <c r="A284" s="21">
        <v>273</v>
      </c>
      <c r="B284" s="27" t="s">
        <v>237</v>
      </c>
      <c r="C284" s="50"/>
    </row>
    <row r="285" spans="1:3">
      <c r="A285" s="21">
        <v>274</v>
      </c>
      <c r="B285" s="27" t="s">
        <v>234</v>
      </c>
      <c r="C285" s="50"/>
    </row>
    <row r="286" spans="1:3">
      <c r="A286" s="21">
        <v>275</v>
      </c>
      <c r="B286" s="22" t="s">
        <v>234</v>
      </c>
      <c r="C286" s="50"/>
    </row>
    <row r="287" spans="1:3">
      <c r="A287" s="21">
        <v>276</v>
      </c>
      <c r="B287" s="51"/>
      <c r="C287" s="50"/>
    </row>
    <row r="288" spans="1:3">
      <c r="A288" s="46" t="s">
        <v>238</v>
      </c>
      <c r="B288" s="19"/>
      <c r="C288" s="50"/>
    </row>
    <row r="289" spans="1:3">
      <c r="A289" s="21">
        <v>277</v>
      </c>
      <c r="B289" s="27"/>
      <c r="C289" s="50"/>
    </row>
    <row r="290" spans="1:3">
      <c r="A290" s="21">
        <v>278</v>
      </c>
      <c r="B290" s="27"/>
      <c r="C290" s="50"/>
    </row>
    <row r="291" spans="1:3">
      <c r="A291" s="21">
        <v>279</v>
      </c>
      <c r="B291" s="27"/>
      <c r="C291" s="50"/>
    </row>
    <row r="292" spans="1:3">
      <c r="A292" s="21">
        <v>280</v>
      </c>
      <c r="B292" s="27"/>
      <c r="C292" s="50"/>
    </row>
    <row r="293" spans="1:3">
      <c r="A293" s="21">
        <v>281</v>
      </c>
      <c r="B293" s="22"/>
      <c r="C293" s="50"/>
    </row>
    <row r="294" spans="1:3">
      <c r="A294" s="18" t="s">
        <v>239</v>
      </c>
      <c r="B294" s="19"/>
      <c r="C294" s="52"/>
    </row>
    <row r="295" spans="1:3">
      <c r="A295" s="21">
        <v>282</v>
      </c>
      <c r="B295" s="27"/>
      <c r="C295" s="53"/>
    </row>
    <row r="296" spans="1:3">
      <c r="A296" s="21">
        <v>283</v>
      </c>
      <c r="B296" s="27"/>
      <c r="C296" s="53"/>
    </row>
    <row r="297" spans="1:3">
      <c r="A297" s="21">
        <v>284</v>
      </c>
      <c r="B297" s="27"/>
      <c r="C297" s="53"/>
    </row>
    <row r="298" spans="1:3">
      <c r="A298" s="21">
        <v>285</v>
      </c>
      <c r="B298" s="27"/>
      <c r="C298" s="53"/>
    </row>
    <row r="299" spans="1:3">
      <c r="A299" s="21">
        <v>286</v>
      </c>
      <c r="B299" s="22"/>
      <c r="C299" s="53"/>
    </row>
    <row r="300" spans="1:3">
      <c r="A300" s="21">
        <v>287</v>
      </c>
      <c r="B300" s="22"/>
      <c r="C300" s="53"/>
    </row>
    <row r="301" spans="1:3">
      <c r="A301" s="21">
        <v>288</v>
      </c>
      <c r="B301" s="22"/>
      <c r="C301" s="20"/>
    </row>
    <row r="302" spans="1:3">
      <c r="A302" s="21">
        <v>289</v>
      </c>
      <c r="B302" s="22"/>
      <c r="C302" s="54"/>
    </row>
    <row r="303" spans="1:3">
      <c r="A303" s="21">
        <v>290</v>
      </c>
      <c r="B303" s="22"/>
      <c r="C303" s="20"/>
    </row>
    <row r="304" spans="1:3">
      <c r="A304" s="21">
        <v>291</v>
      </c>
      <c r="B304" s="55"/>
    </row>
    <row r="305" spans="1:2">
      <c r="A305" s="21">
        <v>292</v>
      </c>
      <c r="B305" s="55"/>
    </row>
    <row r="306" spans="1:2">
      <c r="A306" s="21">
        <v>293</v>
      </c>
      <c r="B306" s="55"/>
    </row>
    <row r="307" spans="1:2">
      <c r="A307" s="21">
        <v>294</v>
      </c>
      <c r="B307" s="55"/>
    </row>
    <row r="308" spans="1:2">
      <c r="A308" s="21">
        <v>295</v>
      </c>
      <c r="B308" s="55"/>
    </row>
    <row r="309" spans="1:2">
      <c r="A309" s="21">
        <v>296</v>
      </c>
      <c r="B309" s="41"/>
    </row>
    <row r="310" spans="1:2">
      <c r="A310" s="21">
        <v>297</v>
      </c>
      <c r="B310" s="22"/>
    </row>
    <row r="311" spans="1:2">
      <c r="A311" s="21">
        <v>298</v>
      </c>
      <c r="B311" s="22"/>
    </row>
    <row r="312" spans="1:2">
      <c r="A312" s="21">
        <v>299</v>
      </c>
      <c r="B312" s="22"/>
    </row>
    <row r="313" spans="1:2">
      <c r="A313" s="21">
        <v>300</v>
      </c>
      <c r="B313" s="22"/>
    </row>
    <row r="314" spans="1:2">
      <c r="A314" s="21">
        <v>301</v>
      </c>
      <c r="B314" s="22"/>
    </row>
    <row r="315" spans="1:2">
      <c r="A315" s="21">
        <v>302</v>
      </c>
      <c r="B315" s="22"/>
    </row>
    <row r="316" spans="1:2">
      <c r="A316" s="21">
        <v>303</v>
      </c>
      <c r="B316" s="22"/>
    </row>
    <row r="317" spans="1:2">
      <c r="A317" s="21">
        <v>304</v>
      </c>
      <c r="B317" s="22"/>
    </row>
    <row r="318" spans="1:2">
      <c r="A318" s="21">
        <v>305</v>
      </c>
      <c r="B318" s="22"/>
    </row>
    <row r="319" spans="1:2">
      <c r="A319" s="21">
        <v>306</v>
      </c>
      <c r="B319" s="22"/>
    </row>
    <row r="320" spans="1:2">
      <c r="A320" s="21">
        <v>307</v>
      </c>
      <c r="B320" s="22"/>
    </row>
    <row r="321" spans="1:2">
      <c r="A321" s="21">
        <v>308</v>
      </c>
      <c r="B321" s="22"/>
    </row>
    <row r="322" spans="1:2">
      <c r="A322" s="21">
        <v>309</v>
      </c>
      <c r="B322" s="22"/>
    </row>
    <row r="323" spans="1:2">
      <c r="A323" s="21">
        <v>310</v>
      </c>
      <c r="B323" s="22" t="s">
        <v>240</v>
      </c>
    </row>
    <row r="324" spans="1:2">
      <c r="A324" s="21">
        <v>311</v>
      </c>
      <c r="B324" s="22"/>
    </row>
    <row r="325" spans="1:2">
      <c r="A325" s="21">
        <v>312</v>
      </c>
      <c r="B325" s="22"/>
    </row>
    <row r="326" spans="1:2">
      <c r="A326" s="21">
        <v>313</v>
      </c>
      <c r="B326" s="22"/>
    </row>
    <row r="327" spans="1:2">
      <c r="A327" s="21">
        <v>314</v>
      </c>
      <c r="B327" s="22"/>
    </row>
    <row r="328" spans="1:2">
      <c r="A328" s="21">
        <v>315</v>
      </c>
      <c r="B328" s="22"/>
    </row>
    <row r="329" spans="1:2">
      <c r="A329" s="21">
        <v>316</v>
      </c>
      <c r="B329" s="22"/>
    </row>
    <row r="330" spans="1:2">
      <c r="A330" s="21">
        <v>317</v>
      </c>
      <c r="B330" s="22"/>
    </row>
    <row r="331" spans="1:2">
      <c r="A331" s="21">
        <v>318</v>
      </c>
      <c r="B331" s="22" t="s">
        <v>241</v>
      </c>
    </row>
    <row r="332" spans="1:2">
      <c r="A332" s="21">
        <v>319</v>
      </c>
      <c r="B332" s="22"/>
    </row>
    <row r="333" spans="1:2">
      <c r="A333" s="21">
        <v>320</v>
      </c>
      <c r="B333" s="22"/>
    </row>
    <row r="334" spans="1:2">
      <c r="A334" s="21">
        <v>321</v>
      </c>
      <c r="B334" s="22"/>
    </row>
    <row r="335" spans="1:2">
      <c r="A335" s="21">
        <v>322</v>
      </c>
      <c r="B335" s="22"/>
    </row>
    <row r="336" spans="1:2">
      <c r="A336" s="21">
        <v>323</v>
      </c>
      <c r="B336" s="22"/>
    </row>
    <row r="337" spans="1:2">
      <c r="A337" s="21">
        <v>324</v>
      </c>
      <c r="B337" s="22"/>
    </row>
    <row r="338" spans="1:2">
      <c r="A338" s="21">
        <v>325</v>
      </c>
      <c r="B338" s="22"/>
    </row>
    <row r="339" spans="1:2">
      <c r="A339" s="21">
        <v>326</v>
      </c>
      <c r="B339" s="22"/>
    </row>
    <row r="340" spans="1:2">
      <c r="A340" s="21">
        <v>327</v>
      </c>
      <c r="B340" s="22"/>
    </row>
    <row r="341" spans="1:2">
      <c r="A341" s="21">
        <v>328</v>
      </c>
      <c r="B341" s="22"/>
    </row>
    <row r="342" spans="1:2">
      <c r="A342" s="21">
        <v>329</v>
      </c>
      <c r="B342" s="22"/>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topLeftCell="B6" workbookViewId="0">
      <selection activeCell="I31" sqref="I31"/>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58" t="s">
        <v>244</v>
      </c>
      <c r="C1" s="58"/>
      <c r="D1" s="59"/>
    </row>
    <row r="2" spans="2:7" ht="17" thickBot="1">
      <c r="B2" s="60" t="s">
        <v>245</v>
      </c>
      <c r="C2" s="63"/>
      <c r="D2" s="57"/>
    </row>
    <row r="3" spans="2:7" ht="17" thickBot="1">
      <c r="B3" s="60" t="s">
        <v>246</v>
      </c>
      <c r="C3" s="63"/>
      <c r="D3" s="57"/>
    </row>
    <row r="5" spans="2:7">
      <c r="B5" s="58" t="s">
        <v>247</v>
      </c>
      <c r="C5" s="58"/>
      <c r="D5" s="59"/>
    </row>
    <row r="6" spans="2:7">
      <c r="B6" s="61" t="s">
        <v>249</v>
      </c>
      <c r="C6" s="61"/>
      <c r="D6" s="59"/>
    </row>
    <row r="7" spans="2:7" ht="17" thickBot="1">
      <c r="B7" s="64" t="s">
        <v>250</v>
      </c>
      <c r="C7" s="64"/>
    </row>
    <row r="8" spans="2:7" ht="17" thickBot="1">
      <c r="B8" s="62">
        <v>2403</v>
      </c>
      <c r="C8" s="64"/>
    </row>
    <row r="9" spans="2:7" ht="17" thickBot="1">
      <c r="B9" s="61" t="s">
        <v>251</v>
      </c>
      <c r="C9" s="61"/>
      <c r="D9" s="59"/>
    </row>
    <row r="10" spans="2:7" ht="17" thickBot="1">
      <c r="B10" s="56"/>
      <c r="C10" s="65">
        <v>1</v>
      </c>
      <c r="D10" s="65">
        <v>100</v>
      </c>
    </row>
    <row r="11" spans="2:7" ht="17" thickBot="1">
      <c r="B11" s="61" t="s">
        <v>252</v>
      </c>
      <c r="C11" s="66"/>
      <c r="D11" s="66"/>
    </row>
    <row r="12" spans="2:7" ht="17" thickBot="1">
      <c r="B12" s="56"/>
      <c r="C12" s="65" t="s">
        <v>253</v>
      </c>
      <c r="D12" s="65" t="s">
        <v>254</v>
      </c>
    </row>
    <row r="13" spans="2:7" ht="17" thickBot="1"/>
    <row r="14" spans="2:7" ht="17" thickBot="1">
      <c r="B14" s="223" t="s">
        <v>255</v>
      </c>
      <c r="C14" s="224"/>
      <c r="D14" s="225"/>
      <c r="F14" s="71" t="s">
        <v>248</v>
      </c>
      <c r="G14" s="56"/>
    </row>
    <row r="15" spans="2:7" ht="17" thickBot="1">
      <c r="B15" s="67">
        <v>2499</v>
      </c>
      <c r="F15" s="70" t="str" cm="1">
        <f t="array" ref="F15:F19">Prefix &amp; "-" &amp; TEXT(_xlfn.SEQUENCE(C17 - B17 + 1, 1, B17, 1), "000")</f>
        <v>2499-001</v>
      </c>
    </row>
    <row r="16" spans="2:7" ht="17" thickBot="1">
      <c r="B16" s="226" t="s">
        <v>256</v>
      </c>
      <c r="C16" s="227"/>
      <c r="D16" s="228"/>
      <c r="F16" s="72" t="str">
        <v>2499-002</v>
      </c>
    </row>
    <row r="17" spans="2:8" ht="17" thickBot="1">
      <c r="B17" s="68">
        <v>1</v>
      </c>
      <c r="C17" s="69">
        <v>5</v>
      </c>
      <c r="F17" s="73" t="str">
        <v>2499-003</v>
      </c>
    </row>
    <row r="18" spans="2:8">
      <c r="F18" s="73" t="str">
        <v>2499-004</v>
      </c>
    </row>
    <row r="19" spans="2:8">
      <c r="F19" s="73" t="str">
        <v>2499-005</v>
      </c>
      <c r="H19" s="56" t="s">
        <v>257</v>
      </c>
    </row>
    <row r="20" spans="2:8">
      <c r="F20" s="73"/>
    </row>
    <row r="21" spans="2:8">
      <c r="F21" s="73"/>
    </row>
    <row r="22" spans="2:8">
      <c r="F22" s="73"/>
    </row>
    <row r="23" spans="2:8">
      <c r="F23" s="73"/>
    </row>
    <row r="24" spans="2:8">
      <c r="F24" s="73"/>
    </row>
    <row r="25" spans="2:8">
      <c r="F25" s="73"/>
    </row>
    <row r="26" spans="2:8">
      <c r="F26" s="73"/>
    </row>
    <row r="27" spans="2:8">
      <c r="F27" s="73"/>
    </row>
    <row r="28" spans="2:8">
      <c r="F28" s="73"/>
    </row>
    <row r="29" spans="2:8">
      <c r="F29" s="73"/>
    </row>
    <row r="30" spans="2:8">
      <c r="F30" s="73"/>
    </row>
    <row r="31" spans="2:8">
      <c r="F31" s="73"/>
    </row>
    <row r="32" spans="2:8">
      <c r="F32" s="73"/>
    </row>
    <row r="33" spans="6:6">
      <c r="F33" s="73"/>
    </row>
    <row r="34" spans="6:6">
      <c r="F34" s="73"/>
    </row>
    <row r="35" spans="6:6">
      <c r="F35" s="73"/>
    </row>
    <row r="36" spans="6:6">
      <c r="F36" s="73"/>
    </row>
    <row r="37" spans="6:6">
      <c r="F37" s="73"/>
    </row>
    <row r="38" spans="6:6">
      <c r="F38" s="73"/>
    </row>
    <row r="39" spans="6:6">
      <c r="F39" s="73"/>
    </row>
    <row r="40" spans="6:6">
      <c r="F40" s="73"/>
    </row>
    <row r="41" spans="6:6">
      <c r="F41" s="73"/>
    </row>
    <row r="42" spans="6:6">
      <c r="F42" s="73"/>
    </row>
    <row r="43" spans="6:6">
      <c r="F43" s="73"/>
    </row>
    <row r="44" spans="6:6">
      <c r="F44" s="73"/>
    </row>
    <row r="45" spans="6:6">
      <c r="F45" s="73"/>
    </row>
    <row r="46" spans="6:6">
      <c r="F46" s="73"/>
    </row>
    <row r="47" spans="6:6">
      <c r="F47" s="73"/>
    </row>
    <row r="48" spans="6:6">
      <c r="F48" s="73"/>
    </row>
    <row r="49" spans="6:6">
      <c r="F49" s="73"/>
    </row>
    <row r="50" spans="6:6">
      <c r="F50" s="73"/>
    </row>
    <row r="51" spans="6:6">
      <c r="F51" s="73"/>
    </row>
    <row r="52" spans="6:6">
      <c r="F52" s="73"/>
    </row>
    <row r="53" spans="6:6">
      <c r="F53" s="73"/>
    </row>
    <row r="54" spans="6:6">
      <c r="F54" s="73"/>
    </row>
    <row r="55" spans="6:6">
      <c r="F55" s="73"/>
    </row>
    <row r="56" spans="6:6">
      <c r="F56" s="73"/>
    </row>
    <row r="57" spans="6:6">
      <c r="F57" s="73"/>
    </row>
    <row r="58" spans="6:6">
      <c r="F58" s="73"/>
    </row>
    <row r="59" spans="6:6">
      <c r="F59" s="73"/>
    </row>
    <row r="60" spans="6:6">
      <c r="F60" s="73"/>
    </row>
    <row r="61" spans="6:6">
      <c r="F61" s="73"/>
    </row>
    <row r="62" spans="6:6">
      <c r="F62" s="73"/>
    </row>
    <row r="63" spans="6:6">
      <c r="F63" s="73"/>
    </row>
    <row r="64" spans="6:6">
      <c r="F64" s="73"/>
    </row>
    <row r="65" spans="6:6">
      <c r="F65" s="73"/>
    </row>
    <row r="66" spans="6:6">
      <c r="F66" s="73"/>
    </row>
    <row r="67" spans="6:6">
      <c r="F67" s="73"/>
    </row>
    <row r="68" spans="6:6">
      <c r="F68" s="73"/>
    </row>
    <row r="69" spans="6:6">
      <c r="F69" s="73"/>
    </row>
    <row r="70" spans="6:6">
      <c r="F70" s="73"/>
    </row>
    <row r="71" spans="6:6">
      <c r="F71" s="73"/>
    </row>
    <row r="72" spans="6:6">
      <c r="F72" s="73"/>
    </row>
    <row r="73" spans="6:6">
      <c r="F73" s="73"/>
    </row>
    <row r="74" spans="6:6">
      <c r="F74" s="73"/>
    </row>
    <row r="75" spans="6:6">
      <c r="F75" s="73"/>
    </row>
    <row r="76" spans="6:6">
      <c r="F76" s="73"/>
    </row>
    <row r="77" spans="6:6">
      <c r="F77" s="73"/>
    </row>
    <row r="78" spans="6:6">
      <c r="F78" s="73"/>
    </row>
    <row r="79" spans="6:6">
      <c r="F79" s="73"/>
    </row>
    <row r="80" spans="6:6">
      <c r="F80" s="73"/>
    </row>
    <row r="81" spans="6:6">
      <c r="F81" s="73"/>
    </row>
    <row r="82" spans="6:6">
      <c r="F82" s="73"/>
    </row>
    <row r="83" spans="6:6">
      <c r="F83" s="73"/>
    </row>
    <row r="84" spans="6:6">
      <c r="F84" s="73"/>
    </row>
    <row r="85" spans="6:6">
      <c r="F85" s="73"/>
    </row>
    <row r="86" spans="6:6">
      <c r="F86" s="73"/>
    </row>
    <row r="87" spans="6:6">
      <c r="F87" s="73"/>
    </row>
    <row r="88" spans="6:6">
      <c r="F88" s="73"/>
    </row>
    <row r="89" spans="6:6">
      <c r="F89" s="73"/>
    </row>
    <row r="90" spans="6:6">
      <c r="F90" s="73"/>
    </row>
    <row r="91" spans="6:6">
      <c r="F91" s="73"/>
    </row>
    <row r="92" spans="6:6">
      <c r="F92" s="73"/>
    </row>
    <row r="93" spans="6:6">
      <c r="F93" s="73"/>
    </row>
    <row r="94" spans="6:6">
      <c r="F94" s="73"/>
    </row>
    <row r="95" spans="6:6">
      <c r="F95" s="73"/>
    </row>
    <row r="96" spans="6:6">
      <c r="F96" s="73"/>
    </row>
    <row r="97" spans="6:6">
      <c r="F97" s="73"/>
    </row>
    <row r="98" spans="6:6">
      <c r="F98" s="73"/>
    </row>
    <row r="99" spans="6:6">
      <c r="F99" s="73"/>
    </row>
    <row r="100" spans="6:6">
      <c r="F100" s="73"/>
    </row>
    <row r="101" spans="6:6">
      <c r="F101" s="73"/>
    </row>
    <row r="102" spans="6:6">
      <c r="F102" s="73"/>
    </row>
    <row r="103" spans="6:6">
      <c r="F103" s="73"/>
    </row>
    <row r="104" spans="6:6">
      <c r="F104" s="73"/>
    </row>
    <row r="105" spans="6:6">
      <c r="F105" s="73"/>
    </row>
    <row r="106" spans="6:6">
      <c r="F106" s="73"/>
    </row>
    <row r="107" spans="6:6">
      <c r="F107" s="73"/>
    </row>
    <row r="108" spans="6:6">
      <c r="F108" s="73"/>
    </row>
    <row r="109" spans="6:6">
      <c r="F109" s="73"/>
    </row>
    <row r="110" spans="6:6">
      <c r="F110" s="73"/>
    </row>
    <row r="111" spans="6:6">
      <c r="F111" s="73"/>
    </row>
    <row r="112" spans="6:6">
      <c r="F112" s="73"/>
    </row>
    <row r="113" spans="6:6">
      <c r="F113" s="73"/>
    </row>
    <row r="114" spans="6:6">
      <c r="F114" s="73"/>
    </row>
    <row r="115" spans="6:6">
      <c r="F115" s="73"/>
    </row>
    <row r="116" spans="6:6">
      <c r="F116" s="73"/>
    </row>
    <row r="117" spans="6:6">
      <c r="F117" s="73"/>
    </row>
    <row r="118" spans="6:6">
      <c r="F118" s="73"/>
    </row>
    <row r="119" spans="6:6">
      <c r="F119" s="73"/>
    </row>
    <row r="120" spans="6:6">
      <c r="F120" s="73"/>
    </row>
    <row r="121" spans="6:6">
      <c r="F121" s="73"/>
    </row>
    <row r="122" spans="6:6">
      <c r="F122" s="73"/>
    </row>
    <row r="123" spans="6:6">
      <c r="F123" s="73"/>
    </row>
    <row r="124" spans="6:6" ht="17" thickBot="1">
      <c r="F124" s="74"/>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I210"/>
  <sheetViews>
    <sheetView zoomScale="86" workbookViewId="0">
      <selection activeCell="A6" sqref="A6"/>
    </sheetView>
  </sheetViews>
  <sheetFormatPr baseColWidth="10" defaultRowHeight="16"/>
  <cols>
    <col min="1" max="1" width="12" customWidth="1"/>
    <col min="2" max="2" width="11" customWidth="1"/>
    <col min="3" max="3" width="28.1640625" customWidth="1"/>
    <col min="5" max="5" width="10.83203125" customWidth="1"/>
    <col min="6" max="6" width="15.33203125" customWidth="1"/>
    <col min="7" max="7" width="26.6640625" customWidth="1"/>
    <col min="8" max="8" width="41.5" customWidth="1"/>
    <col min="9" max="9" width="20.33203125" customWidth="1"/>
  </cols>
  <sheetData>
    <row r="1" spans="1:9" ht="29" customHeight="1">
      <c r="B1" s="8"/>
      <c r="C1" s="8"/>
      <c r="D1" s="8"/>
      <c r="E1" s="8"/>
      <c r="F1" s="8"/>
      <c r="G1" s="8"/>
      <c r="H1" s="8"/>
      <c r="I1" s="8"/>
    </row>
    <row r="2" spans="1:9">
      <c r="B2" s="10"/>
      <c r="C2" s="10"/>
      <c r="D2" s="11"/>
      <c r="E2" s="12"/>
      <c r="F2" s="10"/>
      <c r="G2" s="13"/>
      <c r="H2" s="10"/>
      <c r="I2" s="9"/>
    </row>
    <row r="3" spans="1:9" ht="23">
      <c r="B3" s="229" t="s">
        <v>15</v>
      </c>
      <c r="C3" s="229"/>
      <c r="D3" s="229"/>
      <c r="E3" s="229"/>
      <c r="F3" s="229"/>
      <c r="G3" s="229"/>
      <c r="H3" s="229"/>
      <c r="I3" s="229"/>
    </row>
    <row r="4" spans="1:9">
      <c r="B4" s="14"/>
      <c r="C4" s="14"/>
      <c r="D4" s="15"/>
      <c r="E4" s="16"/>
      <c r="F4" s="14"/>
      <c r="G4" s="17"/>
      <c r="H4" s="14"/>
      <c r="I4" s="9"/>
    </row>
    <row r="5" spans="1:9">
      <c r="B5" s="216" t="s">
        <v>4</v>
      </c>
      <c r="C5" s="216" t="s">
        <v>16</v>
      </c>
      <c r="D5" s="216" t="s">
        <v>17</v>
      </c>
      <c r="E5" s="217" t="s">
        <v>12</v>
      </c>
      <c r="F5" s="216" t="s">
        <v>18</v>
      </c>
      <c r="G5" s="218" t="s">
        <v>242</v>
      </c>
      <c r="H5" s="219" t="s">
        <v>19</v>
      </c>
      <c r="I5" s="220" t="s">
        <v>20</v>
      </c>
    </row>
    <row r="6" spans="1:9">
      <c r="A6" s="221" t="e" cm="1">
        <f t="array" aca="1" ref="A6" ca="1">_xlfn.LET(
    _xlpm.poList, PO_Index[PO],
    _xlpm.rowCounts,#REF!,
    _xlpm.firstPO, _xlfn.TAKE(
        INDIRECT( "'"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#REF!</v>
      </c>
      <c r="B6" s="222"/>
      <c r="C6" s="222"/>
      <c r="D6" s="222"/>
      <c r="E6" s="222"/>
      <c r="F6" s="222"/>
      <c r="G6" s="222"/>
      <c r="H6" s="222"/>
      <c r="I6" s="222"/>
    </row>
    <row r="7" spans="1:9">
      <c r="B7" s="222"/>
      <c r="C7" s="222"/>
      <c r="D7" s="222"/>
      <c r="E7" s="222"/>
      <c r="F7" s="222"/>
      <c r="G7" s="222"/>
      <c r="H7" s="222"/>
      <c r="I7" s="222"/>
    </row>
    <row r="8" spans="1:9">
      <c r="B8" s="222"/>
      <c r="C8" s="222"/>
      <c r="D8" s="222"/>
      <c r="E8" s="222"/>
      <c r="F8" s="222"/>
      <c r="G8" s="222"/>
      <c r="H8" s="222"/>
      <c r="I8" s="222"/>
    </row>
    <row r="9" spans="1:9">
      <c r="B9" s="222"/>
      <c r="C9" s="222"/>
      <c r="D9" s="222"/>
      <c r="E9" s="222"/>
      <c r="F9" s="222"/>
      <c r="G9" s="222"/>
      <c r="H9" s="222"/>
      <c r="I9" s="222"/>
    </row>
    <row r="10" spans="1:9">
      <c r="B10" s="222"/>
      <c r="C10" s="222"/>
      <c r="D10" s="222"/>
      <c r="E10" s="222"/>
      <c r="F10" s="222"/>
      <c r="G10" s="222"/>
      <c r="H10" s="222"/>
      <c r="I10" s="222"/>
    </row>
    <row r="11" spans="1:9">
      <c r="B11" s="222"/>
      <c r="C11" s="222"/>
      <c r="D11" s="222"/>
      <c r="E11" s="222"/>
      <c r="F11" s="222"/>
      <c r="G11" s="222"/>
      <c r="H11" s="222"/>
      <c r="I11" s="222"/>
    </row>
    <row r="12" spans="1:9">
      <c r="B12" s="222"/>
      <c r="C12" s="222"/>
      <c r="D12" s="222"/>
      <c r="E12" s="222"/>
      <c r="F12" s="222"/>
      <c r="G12" s="222"/>
      <c r="H12" s="222"/>
      <c r="I12" s="222"/>
    </row>
    <row r="13" spans="1:9">
      <c r="B13" s="222"/>
      <c r="C13" s="222"/>
      <c r="D13" s="222"/>
      <c r="E13" s="222"/>
      <c r="F13" s="222"/>
      <c r="G13" s="222"/>
      <c r="H13" s="222"/>
      <c r="I13" s="222"/>
    </row>
    <row r="14" spans="1:9">
      <c r="B14" s="222"/>
      <c r="C14" s="222"/>
      <c r="D14" s="222"/>
      <c r="E14" s="222"/>
      <c r="F14" s="222"/>
      <c r="G14" s="222"/>
      <c r="H14" s="222"/>
      <c r="I14" s="222"/>
    </row>
    <row r="15" spans="1:9">
      <c r="B15" s="222"/>
      <c r="C15" s="222"/>
      <c r="D15" s="222"/>
      <c r="E15" s="222"/>
      <c r="F15" s="222"/>
      <c r="G15" s="222"/>
      <c r="H15" s="222"/>
      <c r="I15" s="222"/>
    </row>
    <row r="16" spans="1:9">
      <c r="B16" s="222"/>
      <c r="C16" s="222"/>
      <c r="D16" s="222"/>
      <c r="E16" s="222"/>
      <c r="F16" s="222"/>
      <c r="G16" s="222"/>
      <c r="H16" s="222"/>
      <c r="I16" s="222"/>
    </row>
    <row r="17" spans="2:9">
      <c r="B17" s="222"/>
      <c r="C17" s="222"/>
      <c r="D17" s="222"/>
      <c r="E17" s="222"/>
      <c r="F17" s="222"/>
      <c r="G17" s="222"/>
      <c r="H17" s="222"/>
      <c r="I17" s="222"/>
    </row>
    <row r="18" spans="2:9">
      <c r="B18" s="222"/>
      <c r="C18" s="222"/>
      <c r="D18" s="222"/>
      <c r="E18" s="222"/>
      <c r="F18" s="222"/>
      <c r="G18" s="222"/>
      <c r="H18" s="222"/>
      <c r="I18" s="222"/>
    </row>
    <row r="19" spans="2:9">
      <c r="B19" s="222"/>
      <c r="C19" s="222"/>
      <c r="D19" s="222"/>
      <c r="E19" s="222"/>
      <c r="F19" s="222"/>
      <c r="G19" s="222"/>
      <c r="H19" s="222"/>
      <c r="I19" s="222"/>
    </row>
    <row r="20" spans="2:9">
      <c r="B20" s="222"/>
      <c r="C20" s="222"/>
      <c r="D20" s="222"/>
      <c r="E20" s="222"/>
      <c r="F20" s="222"/>
      <c r="G20" s="222"/>
      <c r="H20" s="222"/>
      <c r="I20" s="222"/>
    </row>
    <row r="21" spans="2:9">
      <c r="B21" s="222"/>
      <c r="C21" s="222"/>
      <c r="D21" s="222"/>
      <c r="E21" s="222"/>
      <c r="F21" s="222"/>
      <c r="G21" s="222"/>
      <c r="H21" s="222"/>
      <c r="I21" s="222"/>
    </row>
    <row r="22" spans="2:9">
      <c r="B22" s="222"/>
      <c r="C22" s="222"/>
      <c r="D22" s="222"/>
      <c r="E22" s="222"/>
      <c r="F22" s="222"/>
      <c r="G22" s="222"/>
      <c r="H22" s="222"/>
      <c r="I22" s="222"/>
    </row>
    <row r="23" spans="2:9">
      <c r="B23" s="222"/>
      <c r="C23" s="222"/>
      <c r="D23" s="222"/>
      <c r="E23" s="222"/>
      <c r="F23" s="222"/>
      <c r="G23" s="222"/>
      <c r="H23" s="222"/>
      <c r="I23" s="222"/>
    </row>
    <row r="24" spans="2:9">
      <c r="B24" s="222"/>
      <c r="C24" s="222"/>
      <c r="D24" s="222"/>
      <c r="E24" s="222"/>
      <c r="F24" s="222"/>
      <c r="G24" s="222"/>
      <c r="H24" s="222"/>
      <c r="I24" s="222"/>
    </row>
    <row r="25" spans="2:9">
      <c r="B25" s="222"/>
      <c r="C25" s="222"/>
      <c r="D25" s="222"/>
      <c r="E25" s="222"/>
      <c r="F25" s="222"/>
      <c r="G25" s="222"/>
      <c r="H25" s="222"/>
      <c r="I25" s="222"/>
    </row>
    <row r="26" spans="2:9">
      <c r="B26" s="222"/>
      <c r="C26" s="222"/>
      <c r="D26" s="222"/>
      <c r="E26" s="222"/>
      <c r="F26" s="222"/>
      <c r="G26" s="222"/>
      <c r="H26" s="222"/>
      <c r="I26" s="222"/>
    </row>
    <row r="27" spans="2:9">
      <c r="B27" s="222"/>
      <c r="C27" s="222"/>
      <c r="D27" s="222"/>
      <c r="E27" s="222"/>
      <c r="F27" s="222"/>
      <c r="G27" s="222"/>
      <c r="H27" s="222"/>
      <c r="I27" s="222"/>
    </row>
    <row r="28" spans="2:9">
      <c r="B28" s="222"/>
      <c r="C28" s="222"/>
      <c r="D28" s="222"/>
      <c r="E28" s="222"/>
      <c r="F28" s="222"/>
      <c r="G28" s="222"/>
      <c r="H28" s="222"/>
      <c r="I28" s="222"/>
    </row>
    <row r="29" spans="2:9">
      <c r="B29" s="222"/>
      <c r="C29" s="222"/>
      <c r="D29" s="222"/>
      <c r="E29" s="222"/>
      <c r="F29" s="222"/>
      <c r="G29" s="222"/>
      <c r="H29" s="222"/>
      <c r="I29" s="222"/>
    </row>
    <row r="30" spans="2:9">
      <c r="B30" s="222"/>
      <c r="C30" s="222"/>
      <c r="D30" s="222"/>
      <c r="E30" s="222"/>
      <c r="F30" s="222"/>
      <c r="G30" s="222"/>
      <c r="H30" s="222"/>
      <c r="I30" s="222"/>
    </row>
    <row r="31" spans="2:9">
      <c r="B31" s="222"/>
      <c r="C31" s="222"/>
      <c r="D31" s="222"/>
      <c r="E31" s="222"/>
      <c r="F31" s="222"/>
      <c r="G31" s="222"/>
      <c r="H31" s="222"/>
      <c r="I31" s="222"/>
    </row>
    <row r="32" spans="2:9">
      <c r="B32" s="222"/>
      <c r="C32" s="222"/>
      <c r="D32" s="222"/>
      <c r="E32" s="222"/>
      <c r="F32" s="222"/>
      <c r="G32" s="222"/>
      <c r="H32" s="222"/>
      <c r="I32" s="222"/>
    </row>
    <row r="33" spans="2:9">
      <c r="B33" s="222"/>
      <c r="C33" s="222"/>
      <c r="D33" s="222"/>
      <c r="E33" s="222"/>
      <c r="F33" s="222"/>
      <c r="G33" s="222"/>
      <c r="H33" s="222"/>
      <c r="I33" s="222"/>
    </row>
    <row r="34" spans="2:9">
      <c r="B34" s="222"/>
      <c r="C34" s="222"/>
      <c r="D34" s="222"/>
      <c r="E34" s="222"/>
      <c r="F34" s="222"/>
      <c r="G34" s="222"/>
      <c r="H34" s="222"/>
      <c r="I34" s="222"/>
    </row>
    <row r="35" spans="2:9">
      <c r="B35" s="222"/>
      <c r="C35" s="222"/>
      <c r="D35" s="222"/>
      <c r="E35" s="222"/>
      <c r="F35" s="222"/>
      <c r="G35" s="222"/>
      <c r="H35" s="222"/>
      <c r="I35" s="222"/>
    </row>
    <row r="36" spans="2:9">
      <c r="B36" s="222"/>
      <c r="C36" s="222"/>
      <c r="D36" s="222"/>
      <c r="E36" s="222"/>
      <c r="F36" s="222"/>
      <c r="G36" s="222"/>
      <c r="H36" s="222"/>
      <c r="I36" s="222"/>
    </row>
    <row r="37" spans="2:9">
      <c r="B37" s="222"/>
      <c r="C37" s="222"/>
      <c r="D37" s="222"/>
      <c r="E37" s="222"/>
      <c r="F37" s="222"/>
      <c r="G37" s="222"/>
      <c r="H37" s="222"/>
      <c r="I37" s="222"/>
    </row>
    <row r="38" spans="2:9">
      <c r="B38" s="222"/>
      <c r="C38" s="222"/>
      <c r="D38" s="222"/>
      <c r="E38" s="222"/>
      <c r="F38" s="222"/>
      <c r="G38" s="222"/>
      <c r="H38" s="222"/>
      <c r="I38" s="222"/>
    </row>
    <row r="39" spans="2:9">
      <c r="B39" s="222"/>
      <c r="C39" s="222"/>
      <c r="D39" s="222"/>
      <c r="E39" s="222"/>
      <c r="F39" s="222"/>
      <c r="G39" s="222"/>
      <c r="H39" s="222"/>
      <c r="I39" s="222"/>
    </row>
    <row r="40" spans="2:9">
      <c r="B40" s="222"/>
      <c r="C40" s="222"/>
      <c r="D40" s="222"/>
      <c r="E40" s="222"/>
      <c r="F40" s="222"/>
      <c r="G40" s="222"/>
      <c r="H40" s="222"/>
      <c r="I40" s="222"/>
    </row>
    <row r="41" spans="2:9">
      <c r="B41" s="222"/>
      <c r="C41" s="222"/>
      <c r="D41" s="222"/>
      <c r="E41" s="222"/>
      <c r="F41" s="222"/>
      <c r="G41" s="222"/>
      <c r="H41" s="222"/>
      <c r="I41" s="222"/>
    </row>
    <row r="42" spans="2:9">
      <c r="B42" s="222"/>
      <c r="C42" s="222"/>
      <c r="D42" s="222"/>
      <c r="E42" s="222"/>
      <c r="F42" s="222"/>
      <c r="G42" s="222"/>
      <c r="H42" s="222"/>
      <c r="I42" s="222"/>
    </row>
    <row r="43" spans="2:9">
      <c r="B43" s="222"/>
      <c r="C43" s="222"/>
      <c r="D43" s="222"/>
      <c r="E43" s="222"/>
      <c r="F43" s="222"/>
      <c r="G43" s="222"/>
      <c r="H43" s="222"/>
      <c r="I43" s="222"/>
    </row>
    <row r="44" spans="2:9">
      <c r="B44" s="222"/>
      <c r="C44" s="222"/>
      <c r="D44" s="222"/>
      <c r="E44" s="222"/>
      <c r="F44" s="222"/>
      <c r="G44" s="222"/>
      <c r="H44" s="222"/>
      <c r="I44" s="222"/>
    </row>
    <row r="45" spans="2:9">
      <c r="B45" s="222"/>
      <c r="C45" s="222"/>
      <c r="D45" s="222"/>
      <c r="E45" s="222"/>
      <c r="F45" s="222"/>
      <c r="G45" s="222"/>
      <c r="H45" s="222"/>
      <c r="I45" s="222"/>
    </row>
    <row r="46" spans="2:9">
      <c r="B46" s="222"/>
      <c r="C46" s="222"/>
      <c r="D46" s="222"/>
      <c r="E46" s="222"/>
      <c r="F46" s="222"/>
      <c r="G46" s="222"/>
      <c r="H46" s="222"/>
      <c r="I46" s="222"/>
    </row>
    <row r="47" spans="2:9">
      <c r="B47" s="222"/>
      <c r="C47" s="222"/>
      <c r="D47" s="222"/>
      <c r="E47" s="222"/>
      <c r="F47" s="222"/>
      <c r="G47" s="222"/>
      <c r="H47" s="222"/>
      <c r="I47" s="222"/>
    </row>
    <row r="48" spans="2:9">
      <c r="B48" s="222"/>
      <c r="C48" s="222"/>
      <c r="D48" s="222"/>
      <c r="E48" s="222"/>
      <c r="F48" s="222"/>
      <c r="G48" s="222"/>
      <c r="H48" s="222"/>
      <c r="I48" s="222"/>
    </row>
    <row r="49" spans="2:9">
      <c r="B49" s="222"/>
      <c r="C49" s="222"/>
      <c r="D49" s="222"/>
      <c r="E49" s="222"/>
      <c r="F49" s="222"/>
      <c r="G49" s="222"/>
      <c r="H49" s="222"/>
      <c r="I49" s="222"/>
    </row>
    <row r="50" spans="2:9">
      <c r="B50" s="222"/>
      <c r="C50" s="222"/>
      <c r="D50" s="222"/>
      <c r="E50" s="222"/>
      <c r="F50" s="222"/>
      <c r="G50" s="222"/>
      <c r="H50" s="222"/>
      <c r="I50" s="222"/>
    </row>
    <row r="51" spans="2:9">
      <c r="B51" s="222"/>
      <c r="C51" s="222"/>
      <c r="D51" s="222"/>
      <c r="E51" s="222"/>
      <c r="F51" s="222"/>
      <c r="G51" s="222"/>
      <c r="H51" s="222"/>
      <c r="I51" s="222"/>
    </row>
    <row r="52" spans="2:9">
      <c r="B52" s="222"/>
      <c r="C52" s="222"/>
      <c r="D52" s="222"/>
      <c r="E52" s="222"/>
      <c r="F52" s="222"/>
      <c r="G52" s="222"/>
      <c r="H52" s="222"/>
      <c r="I52" s="222"/>
    </row>
    <row r="53" spans="2:9">
      <c r="B53" s="222"/>
      <c r="C53" s="222"/>
      <c r="D53" s="222"/>
      <c r="E53" s="222"/>
      <c r="F53" s="222"/>
      <c r="G53" s="222"/>
      <c r="H53" s="222"/>
      <c r="I53" s="222"/>
    </row>
    <row r="54" spans="2:9">
      <c r="B54" s="222"/>
      <c r="C54" s="222"/>
      <c r="D54" s="222"/>
      <c r="E54" s="222"/>
      <c r="F54" s="222"/>
      <c r="G54" s="222"/>
      <c r="H54" s="222"/>
      <c r="I54" s="222"/>
    </row>
    <row r="55" spans="2:9">
      <c r="B55" s="222"/>
      <c r="C55" s="222"/>
      <c r="D55" s="222"/>
      <c r="E55" s="222"/>
      <c r="F55" s="222"/>
      <c r="G55" s="222"/>
      <c r="H55" s="222"/>
      <c r="I55" s="222"/>
    </row>
    <row r="56" spans="2:9">
      <c r="B56" s="222"/>
      <c r="C56" s="222"/>
      <c r="D56" s="222"/>
      <c r="E56" s="222"/>
      <c r="F56" s="222"/>
      <c r="G56" s="222"/>
      <c r="H56" s="222"/>
      <c r="I56" s="222"/>
    </row>
    <row r="57" spans="2:9">
      <c r="B57" s="222"/>
      <c r="C57" s="222"/>
      <c r="D57" s="222"/>
      <c r="E57" s="222"/>
      <c r="F57" s="222"/>
      <c r="G57" s="222"/>
      <c r="H57" s="222"/>
      <c r="I57" s="222"/>
    </row>
    <row r="58" spans="2:9">
      <c r="B58" s="222"/>
      <c r="C58" s="222"/>
      <c r="D58" s="222"/>
      <c r="E58" s="222"/>
      <c r="F58" s="222"/>
      <c r="G58" s="222"/>
      <c r="H58" s="222"/>
      <c r="I58" s="222"/>
    </row>
    <row r="59" spans="2:9">
      <c r="B59" s="222"/>
      <c r="C59" s="222"/>
      <c r="D59" s="222"/>
      <c r="E59" s="222"/>
      <c r="F59" s="222"/>
      <c r="G59" s="222"/>
      <c r="H59" s="222"/>
      <c r="I59" s="222"/>
    </row>
    <row r="60" spans="2:9">
      <c r="B60" s="222"/>
      <c r="C60" s="222"/>
      <c r="D60" s="222"/>
      <c r="E60" s="222"/>
      <c r="F60" s="222"/>
      <c r="G60" s="222"/>
      <c r="H60" s="222"/>
      <c r="I60" s="222"/>
    </row>
    <row r="61" spans="2:9">
      <c r="B61" s="222"/>
      <c r="C61" s="222"/>
      <c r="D61" s="222"/>
      <c r="E61" s="222"/>
      <c r="F61" s="222"/>
      <c r="G61" s="222"/>
      <c r="H61" s="222"/>
      <c r="I61" s="222"/>
    </row>
    <row r="62" spans="2:9">
      <c r="B62" s="222"/>
      <c r="C62" s="222"/>
      <c r="D62" s="222"/>
      <c r="E62" s="222"/>
      <c r="F62" s="222"/>
      <c r="G62" s="222"/>
      <c r="H62" s="222"/>
      <c r="I62" s="222"/>
    </row>
    <row r="63" spans="2:9">
      <c r="B63" s="222"/>
      <c r="C63" s="222"/>
      <c r="D63" s="222"/>
      <c r="E63" s="222"/>
      <c r="F63" s="222"/>
      <c r="G63" s="222"/>
      <c r="H63" s="222"/>
      <c r="I63" s="222"/>
    </row>
    <row r="64" spans="2:9">
      <c r="B64" s="222"/>
      <c r="C64" s="222"/>
      <c r="D64" s="222"/>
      <c r="E64" s="222"/>
      <c r="F64" s="222"/>
      <c r="G64" s="222"/>
      <c r="H64" s="222"/>
      <c r="I64" s="222"/>
    </row>
    <row r="65" spans="2:9">
      <c r="B65" s="222"/>
      <c r="C65" s="222"/>
      <c r="D65" s="222"/>
      <c r="E65" s="222"/>
      <c r="F65" s="222"/>
      <c r="G65" s="222"/>
      <c r="H65" s="222"/>
      <c r="I65" s="222"/>
    </row>
    <row r="66" spans="2:9">
      <c r="B66" s="222"/>
      <c r="C66" s="222"/>
      <c r="D66" s="222"/>
      <c r="E66" s="222"/>
      <c r="F66" s="222"/>
      <c r="G66" s="222"/>
      <c r="H66" s="222"/>
      <c r="I66" s="222"/>
    </row>
    <row r="67" spans="2:9">
      <c r="B67" s="222"/>
      <c r="C67" s="222"/>
      <c r="D67" s="222"/>
      <c r="E67" s="222"/>
      <c r="F67" s="222"/>
      <c r="G67" s="222"/>
      <c r="H67" s="222"/>
      <c r="I67" s="222"/>
    </row>
    <row r="68" spans="2:9">
      <c r="B68" s="222"/>
      <c r="C68" s="222"/>
      <c r="D68" s="222"/>
      <c r="E68" s="222"/>
      <c r="F68" s="222"/>
      <c r="G68" s="222"/>
      <c r="H68" s="222"/>
      <c r="I68" s="222"/>
    </row>
    <row r="69" spans="2:9">
      <c r="B69" s="222"/>
      <c r="C69" s="222"/>
      <c r="D69" s="222"/>
      <c r="E69" s="222"/>
      <c r="F69" s="222"/>
      <c r="G69" s="222"/>
      <c r="H69" s="222"/>
      <c r="I69" s="222"/>
    </row>
    <row r="70" spans="2:9">
      <c r="B70" s="222"/>
      <c r="C70" s="222"/>
      <c r="D70" s="222"/>
      <c r="E70" s="222"/>
      <c r="F70" s="222"/>
      <c r="G70" s="222"/>
      <c r="H70" s="222"/>
      <c r="I70" s="222"/>
    </row>
    <row r="71" spans="2:9">
      <c r="B71" s="222"/>
      <c r="C71" s="222"/>
      <c r="D71" s="222"/>
      <c r="E71" s="222"/>
      <c r="F71" s="222"/>
      <c r="G71" s="222"/>
      <c r="H71" s="222"/>
      <c r="I71" s="222"/>
    </row>
    <row r="72" spans="2:9">
      <c r="B72" s="222"/>
      <c r="C72" s="222"/>
      <c r="D72" s="222"/>
      <c r="E72" s="222"/>
      <c r="F72" s="222"/>
      <c r="G72" s="222"/>
      <c r="H72" s="222"/>
      <c r="I72" s="222"/>
    </row>
    <row r="73" spans="2:9">
      <c r="B73" s="222"/>
      <c r="C73" s="222"/>
      <c r="D73" s="222"/>
      <c r="E73" s="222"/>
      <c r="F73" s="222"/>
      <c r="G73" s="222"/>
      <c r="H73" s="222"/>
      <c r="I73" s="222"/>
    </row>
    <row r="74" spans="2:9">
      <c r="B74" s="222"/>
      <c r="C74" s="222"/>
      <c r="D74" s="222"/>
      <c r="E74" s="222"/>
      <c r="F74" s="222"/>
      <c r="G74" s="222"/>
      <c r="H74" s="222"/>
      <c r="I74" s="222"/>
    </row>
    <row r="75" spans="2:9">
      <c r="B75" s="222"/>
      <c r="C75" s="222"/>
      <c r="D75" s="222"/>
      <c r="E75" s="222"/>
      <c r="F75" s="222"/>
      <c r="G75" s="222"/>
      <c r="H75" s="222"/>
      <c r="I75" s="222"/>
    </row>
    <row r="76" spans="2:9">
      <c r="B76" s="222"/>
      <c r="C76" s="222"/>
      <c r="D76" s="222"/>
      <c r="E76" s="222"/>
      <c r="F76" s="222"/>
      <c r="G76" s="222"/>
      <c r="H76" s="222"/>
      <c r="I76" s="222"/>
    </row>
    <row r="77" spans="2:9">
      <c r="B77" s="222"/>
      <c r="C77" s="222"/>
      <c r="D77" s="222"/>
      <c r="E77" s="222"/>
      <c r="F77" s="222"/>
      <c r="G77" s="222"/>
      <c r="H77" s="222"/>
      <c r="I77" s="222"/>
    </row>
    <row r="78" spans="2:9">
      <c r="B78" s="222"/>
      <c r="C78" s="222"/>
      <c r="D78" s="222"/>
      <c r="E78" s="222"/>
      <c r="F78" s="222"/>
      <c r="G78" s="222"/>
      <c r="H78" s="222"/>
      <c r="I78" s="222"/>
    </row>
    <row r="79" spans="2:9">
      <c r="B79" s="222"/>
      <c r="C79" s="222"/>
      <c r="D79" s="222"/>
      <c r="E79" s="222"/>
      <c r="F79" s="222"/>
      <c r="G79" s="222"/>
      <c r="H79" s="222"/>
      <c r="I79" s="222"/>
    </row>
    <row r="80" spans="2:9">
      <c r="B80" s="222"/>
      <c r="C80" s="222"/>
      <c r="D80" s="222"/>
      <c r="E80" s="222"/>
      <c r="F80" s="222"/>
      <c r="G80" s="222"/>
      <c r="H80" s="222"/>
      <c r="I80" s="222"/>
    </row>
    <row r="81" spans="2:9">
      <c r="B81" s="222"/>
      <c r="C81" s="222"/>
      <c r="D81" s="222"/>
      <c r="E81" s="222"/>
      <c r="F81" s="222"/>
      <c r="G81" s="222"/>
      <c r="H81" s="222"/>
      <c r="I81" s="222"/>
    </row>
    <row r="82" spans="2:9">
      <c r="B82" s="222"/>
      <c r="C82" s="222"/>
      <c r="D82" s="222"/>
      <c r="E82" s="222"/>
      <c r="F82" s="222"/>
      <c r="G82" s="222"/>
      <c r="H82" s="222"/>
      <c r="I82" s="222"/>
    </row>
    <row r="83" spans="2:9">
      <c r="B83" s="222"/>
      <c r="C83" s="222"/>
      <c r="D83" s="222"/>
      <c r="E83" s="222"/>
      <c r="F83" s="222"/>
      <c r="G83" s="222"/>
      <c r="H83" s="222"/>
      <c r="I83" s="222"/>
    </row>
    <row r="84" spans="2:9">
      <c r="B84" s="222"/>
      <c r="C84" s="222"/>
      <c r="D84" s="222"/>
      <c r="E84" s="222"/>
      <c r="F84" s="222"/>
      <c r="G84" s="222"/>
      <c r="H84" s="222"/>
      <c r="I84" s="222"/>
    </row>
    <row r="85" spans="2:9">
      <c r="B85" s="222"/>
      <c r="C85" s="222"/>
      <c r="D85" s="222"/>
      <c r="E85" s="222"/>
      <c r="F85" s="222"/>
      <c r="G85" s="222"/>
      <c r="H85" s="222"/>
      <c r="I85" s="222"/>
    </row>
    <row r="86" spans="2:9">
      <c r="B86" s="222"/>
      <c r="C86" s="222"/>
      <c r="D86" s="222"/>
      <c r="E86" s="222"/>
      <c r="F86" s="222"/>
      <c r="G86" s="222"/>
      <c r="H86" s="222"/>
      <c r="I86" s="222"/>
    </row>
    <row r="87" spans="2:9">
      <c r="B87" s="222"/>
      <c r="C87" s="222"/>
      <c r="D87" s="222"/>
      <c r="E87" s="222"/>
      <c r="F87" s="222"/>
      <c r="G87" s="222"/>
      <c r="H87" s="222"/>
      <c r="I87" s="222"/>
    </row>
    <row r="88" spans="2:9">
      <c r="B88" s="222"/>
      <c r="C88" s="222"/>
      <c r="D88" s="222"/>
      <c r="E88" s="222"/>
      <c r="F88" s="222"/>
      <c r="G88" s="222"/>
      <c r="H88" s="222"/>
      <c r="I88" s="222"/>
    </row>
    <row r="89" spans="2:9">
      <c r="B89" s="222"/>
      <c r="C89" s="222"/>
      <c r="D89" s="222"/>
      <c r="E89" s="222"/>
      <c r="F89" s="222"/>
      <c r="G89" s="222"/>
      <c r="H89" s="222"/>
      <c r="I89" s="222"/>
    </row>
    <row r="90" spans="2:9">
      <c r="B90" s="222"/>
      <c r="C90" s="222"/>
      <c r="D90" s="222"/>
      <c r="E90" s="222"/>
      <c r="F90" s="222"/>
      <c r="G90" s="222"/>
      <c r="H90" s="222"/>
      <c r="I90" s="222"/>
    </row>
    <row r="91" spans="2:9">
      <c r="B91" s="222"/>
      <c r="C91" s="222"/>
      <c r="D91" s="222"/>
      <c r="E91" s="222"/>
      <c r="F91" s="222"/>
      <c r="G91" s="222"/>
      <c r="H91" s="222"/>
      <c r="I91" s="222"/>
    </row>
    <row r="92" spans="2:9">
      <c r="B92" s="222"/>
      <c r="C92" s="222"/>
      <c r="D92" s="222"/>
      <c r="E92" s="222"/>
      <c r="F92" s="222"/>
      <c r="G92" s="222"/>
      <c r="H92" s="222"/>
      <c r="I92" s="222"/>
    </row>
    <row r="93" spans="2:9">
      <c r="B93" s="222"/>
      <c r="C93" s="222"/>
      <c r="D93" s="222"/>
      <c r="E93" s="222"/>
      <c r="F93" s="222"/>
      <c r="G93" s="222"/>
      <c r="H93" s="222"/>
      <c r="I93" s="222"/>
    </row>
    <row r="94" spans="2:9">
      <c r="B94" s="222"/>
      <c r="C94" s="222"/>
      <c r="D94" s="222"/>
      <c r="E94" s="222"/>
      <c r="F94" s="222"/>
      <c r="G94" s="222"/>
      <c r="H94" s="222"/>
      <c r="I94" s="222"/>
    </row>
    <row r="95" spans="2:9">
      <c r="B95" s="222"/>
      <c r="C95" s="222"/>
      <c r="D95" s="222"/>
      <c r="E95" s="222"/>
      <c r="F95" s="222"/>
      <c r="G95" s="222"/>
      <c r="H95" s="222"/>
      <c r="I95" s="222"/>
    </row>
    <row r="96" spans="2:9">
      <c r="B96" s="222"/>
      <c r="C96" s="222"/>
      <c r="D96" s="222"/>
      <c r="E96" s="222"/>
      <c r="F96" s="222"/>
      <c r="G96" s="222"/>
      <c r="H96" s="222"/>
      <c r="I96" s="222"/>
    </row>
    <row r="97" spans="2:9">
      <c r="B97" s="222"/>
      <c r="C97" s="222"/>
      <c r="D97" s="222"/>
      <c r="E97" s="222"/>
      <c r="F97" s="222"/>
      <c r="G97" s="222"/>
      <c r="H97" s="222"/>
      <c r="I97" s="222"/>
    </row>
    <row r="98" spans="2:9">
      <c r="B98" s="222"/>
      <c r="C98" s="222"/>
      <c r="D98" s="222"/>
      <c r="E98" s="222"/>
      <c r="F98" s="222"/>
      <c r="G98" s="222"/>
      <c r="H98" s="222"/>
      <c r="I98" s="222"/>
    </row>
    <row r="99" spans="2:9">
      <c r="B99" s="222"/>
      <c r="C99" s="222"/>
      <c r="D99" s="222"/>
      <c r="E99" s="222"/>
      <c r="F99" s="222"/>
      <c r="G99" s="222"/>
      <c r="H99" s="222"/>
      <c r="I99" s="222"/>
    </row>
    <row r="100" spans="2:9">
      <c r="B100" s="222"/>
      <c r="C100" s="222"/>
      <c r="D100" s="222"/>
      <c r="E100" s="222"/>
      <c r="F100" s="222"/>
      <c r="G100" s="222"/>
      <c r="H100" s="222"/>
      <c r="I100" s="222"/>
    </row>
    <row r="101" spans="2:9">
      <c r="B101" s="222"/>
      <c r="C101" s="222"/>
      <c r="D101" s="222"/>
      <c r="E101" s="222"/>
      <c r="F101" s="222"/>
      <c r="G101" s="222"/>
      <c r="H101" s="222"/>
      <c r="I101" s="222"/>
    </row>
    <row r="102" spans="2:9">
      <c r="B102" s="222"/>
      <c r="C102" s="222"/>
      <c r="D102" s="222"/>
      <c r="E102" s="222"/>
      <c r="F102" s="222"/>
      <c r="G102" s="222"/>
      <c r="H102" s="222"/>
      <c r="I102" s="222"/>
    </row>
    <row r="103" spans="2:9">
      <c r="B103" s="222"/>
      <c r="C103" s="222"/>
      <c r="D103" s="222"/>
      <c r="E103" s="222"/>
      <c r="F103" s="222"/>
      <c r="G103" s="222"/>
      <c r="H103" s="222"/>
      <c r="I103" s="222"/>
    </row>
    <row r="104" spans="2:9">
      <c r="B104" s="222"/>
      <c r="C104" s="222"/>
      <c r="D104" s="222"/>
      <c r="E104" s="222"/>
      <c r="F104" s="222"/>
      <c r="G104" s="222"/>
      <c r="H104" s="222"/>
      <c r="I104" s="222"/>
    </row>
    <row r="105" spans="2:9">
      <c r="B105" s="222"/>
      <c r="C105" s="222"/>
      <c r="D105" s="222"/>
      <c r="E105" s="222"/>
      <c r="F105" s="222"/>
      <c r="G105" s="222"/>
      <c r="H105" s="222"/>
      <c r="I105" s="222"/>
    </row>
    <row r="106" spans="2:9">
      <c r="B106" s="222"/>
      <c r="C106" s="222"/>
      <c r="D106" s="222"/>
      <c r="E106" s="222"/>
      <c r="F106" s="222"/>
      <c r="G106" s="222"/>
      <c r="H106" s="222"/>
      <c r="I106" s="222"/>
    </row>
    <row r="107" spans="2:9">
      <c r="B107" s="222"/>
      <c r="C107" s="222"/>
      <c r="D107" s="222"/>
      <c r="E107" s="222"/>
      <c r="F107" s="222"/>
      <c r="G107" s="222"/>
      <c r="H107" s="222"/>
      <c r="I107" s="222"/>
    </row>
    <row r="108" spans="2:9">
      <c r="B108" s="222"/>
      <c r="C108" s="222"/>
      <c r="D108" s="222"/>
      <c r="E108" s="222"/>
      <c r="F108" s="222"/>
      <c r="G108" s="222"/>
      <c r="H108" s="222"/>
      <c r="I108" s="222"/>
    </row>
    <row r="109" spans="2:9">
      <c r="B109" s="222"/>
      <c r="C109" s="222"/>
      <c r="D109" s="222"/>
      <c r="E109" s="222"/>
      <c r="F109" s="222"/>
      <c r="G109" s="222"/>
      <c r="H109" s="222"/>
      <c r="I109" s="222"/>
    </row>
    <row r="110" spans="2:9">
      <c r="B110" s="222"/>
      <c r="C110" s="222"/>
      <c r="D110" s="222"/>
      <c r="E110" s="222"/>
      <c r="F110" s="222"/>
      <c r="G110" s="222"/>
      <c r="H110" s="222"/>
      <c r="I110" s="222"/>
    </row>
    <row r="111" spans="2:9">
      <c r="B111" s="222"/>
      <c r="C111" s="222"/>
      <c r="D111" s="222"/>
      <c r="E111" s="222"/>
      <c r="F111" s="222"/>
      <c r="G111" s="222"/>
      <c r="H111" s="222"/>
      <c r="I111" s="222"/>
    </row>
    <row r="112" spans="2:9">
      <c r="B112" s="222"/>
      <c r="C112" s="222"/>
      <c r="D112" s="222"/>
      <c r="E112" s="222"/>
      <c r="F112" s="222"/>
      <c r="G112" s="222"/>
      <c r="H112" s="222"/>
      <c r="I112" s="222"/>
    </row>
    <row r="113" spans="2:9">
      <c r="B113" s="222"/>
      <c r="C113" s="222"/>
      <c r="D113" s="222"/>
      <c r="E113" s="222"/>
      <c r="F113" s="222"/>
      <c r="G113" s="222"/>
      <c r="H113" s="222"/>
      <c r="I113" s="222"/>
    </row>
    <row r="114" spans="2:9">
      <c r="B114" s="222"/>
      <c r="C114" s="222"/>
      <c r="D114" s="222"/>
      <c r="E114" s="222"/>
      <c r="F114" s="222"/>
      <c r="G114" s="222"/>
      <c r="H114" s="222"/>
      <c r="I114" s="222"/>
    </row>
    <row r="115" spans="2:9">
      <c r="B115" s="222"/>
      <c r="C115" s="222"/>
      <c r="D115" s="222"/>
      <c r="E115" s="222"/>
      <c r="F115" s="222"/>
      <c r="G115" s="222"/>
      <c r="H115" s="222"/>
      <c r="I115" s="222"/>
    </row>
    <row r="116" spans="2:9">
      <c r="B116" s="222"/>
      <c r="C116" s="222"/>
      <c r="D116" s="222"/>
      <c r="E116" s="222"/>
      <c r="F116" s="222"/>
      <c r="G116" s="222"/>
      <c r="H116" s="222"/>
      <c r="I116" s="222"/>
    </row>
    <row r="117" spans="2:9">
      <c r="B117" s="222"/>
      <c r="C117" s="222"/>
      <c r="D117" s="222"/>
      <c r="E117" s="222"/>
      <c r="F117" s="222"/>
      <c r="G117" s="222"/>
      <c r="H117" s="222"/>
      <c r="I117" s="222"/>
    </row>
    <row r="118" spans="2:9">
      <c r="B118" s="222"/>
      <c r="C118" s="222"/>
      <c r="D118" s="222"/>
      <c r="E118" s="222"/>
      <c r="F118" s="222"/>
      <c r="G118" s="222"/>
      <c r="H118" s="222"/>
      <c r="I118" s="222"/>
    </row>
    <row r="119" spans="2:9">
      <c r="B119" s="222"/>
      <c r="C119" s="222"/>
      <c r="D119" s="222"/>
      <c r="E119" s="222"/>
      <c r="F119" s="222"/>
      <c r="G119" s="222"/>
      <c r="H119" s="222"/>
      <c r="I119" s="222"/>
    </row>
    <row r="120" spans="2:9">
      <c r="B120" s="222"/>
      <c r="C120" s="222"/>
      <c r="D120" s="222"/>
      <c r="E120" s="222"/>
      <c r="F120" s="222"/>
      <c r="G120" s="222"/>
      <c r="H120" s="222"/>
      <c r="I120" s="222"/>
    </row>
    <row r="121" spans="2:9">
      <c r="B121" s="222"/>
      <c r="C121" s="222"/>
      <c r="D121" s="222"/>
      <c r="E121" s="222"/>
      <c r="F121" s="222"/>
      <c r="G121" s="222"/>
      <c r="H121" s="222"/>
      <c r="I121" s="222"/>
    </row>
    <row r="122" spans="2:9">
      <c r="B122" s="222"/>
      <c r="C122" s="222"/>
      <c r="D122" s="222"/>
      <c r="E122" s="222"/>
      <c r="F122" s="222"/>
      <c r="G122" s="222"/>
      <c r="H122" s="222"/>
      <c r="I122" s="222"/>
    </row>
    <row r="123" spans="2:9">
      <c r="B123" s="222"/>
      <c r="C123" s="222"/>
      <c r="D123" s="222"/>
      <c r="E123" s="222"/>
      <c r="F123" s="222"/>
      <c r="G123" s="222"/>
      <c r="H123" s="222"/>
      <c r="I123" s="222"/>
    </row>
    <row r="124" spans="2:9">
      <c r="B124" s="222"/>
      <c r="C124" s="222"/>
      <c r="D124" s="222"/>
      <c r="E124" s="222"/>
      <c r="F124" s="222"/>
      <c r="G124" s="222"/>
      <c r="H124" s="222"/>
      <c r="I124" s="222"/>
    </row>
    <row r="125" spans="2:9">
      <c r="B125" s="222"/>
      <c r="C125" s="222"/>
      <c r="D125" s="222"/>
      <c r="E125" s="222"/>
      <c r="F125" s="222"/>
      <c r="G125" s="222"/>
      <c r="H125" s="222"/>
      <c r="I125" s="222"/>
    </row>
    <row r="126" spans="2:9">
      <c r="B126" s="222"/>
      <c r="C126" s="222"/>
      <c r="D126" s="222"/>
      <c r="E126" s="222"/>
      <c r="F126" s="222"/>
      <c r="G126" s="222"/>
      <c r="H126" s="222"/>
      <c r="I126" s="222"/>
    </row>
    <row r="127" spans="2:9">
      <c r="B127" s="222"/>
      <c r="C127" s="222"/>
      <c r="D127" s="222"/>
      <c r="E127" s="222"/>
      <c r="F127" s="222"/>
      <c r="G127" s="222"/>
      <c r="H127" s="222"/>
      <c r="I127" s="222"/>
    </row>
    <row r="128" spans="2:9">
      <c r="B128" s="222"/>
      <c r="C128" s="222"/>
      <c r="D128" s="222"/>
      <c r="E128" s="222"/>
      <c r="F128" s="222"/>
      <c r="G128" s="222"/>
      <c r="H128" s="222"/>
      <c r="I128" s="222"/>
    </row>
    <row r="129" spans="2:9">
      <c r="B129" s="222"/>
      <c r="C129" s="222"/>
      <c r="D129" s="222"/>
      <c r="E129" s="222"/>
      <c r="F129" s="222"/>
      <c r="G129" s="222"/>
      <c r="H129" s="222"/>
      <c r="I129" s="222"/>
    </row>
    <row r="130" spans="2:9">
      <c r="B130" s="222"/>
      <c r="C130" s="222"/>
      <c r="D130" s="222"/>
      <c r="E130" s="222"/>
      <c r="F130" s="222"/>
      <c r="G130" s="222"/>
      <c r="H130" s="222"/>
      <c r="I130" s="222"/>
    </row>
    <row r="131" spans="2:9">
      <c r="B131" s="222"/>
      <c r="C131" s="222"/>
      <c r="D131" s="222"/>
      <c r="E131" s="222"/>
      <c r="F131" s="222"/>
      <c r="G131" s="222"/>
      <c r="H131" s="222"/>
      <c r="I131" s="222"/>
    </row>
    <row r="132" spans="2:9">
      <c r="B132" s="222"/>
      <c r="C132" s="222"/>
      <c r="D132" s="222"/>
      <c r="E132" s="222"/>
      <c r="F132" s="222"/>
      <c r="G132" s="222"/>
      <c r="H132" s="222"/>
      <c r="I132" s="222"/>
    </row>
    <row r="133" spans="2:9">
      <c r="B133" s="222"/>
      <c r="C133" s="222"/>
      <c r="D133" s="222"/>
      <c r="E133" s="222"/>
      <c r="F133" s="222"/>
      <c r="G133" s="222"/>
      <c r="H133" s="222"/>
      <c r="I133" s="222"/>
    </row>
    <row r="134" spans="2:9">
      <c r="B134" s="222"/>
      <c r="C134" s="222"/>
      <c r="D134" s="222"/>
      <c r="E134" s="222"/>
      <c r="F134" s="222"/>
      <c r="G134" s="222"/>
      <c r="H134" s="222"/>
      <c r="I134" s="222"/>
    </row>
    <row r="135" spans="2:9">
      <c r="B135" s="222"/>
      <c r="C135" s="222"/>
      <c r="D135" s="222"/>
      <c r="E135" s="222"/>
      <c r="F135" s="222"/>
      <c r="G135" s="222"/>
      <c r="H135" s="222"/>
      <c r="I135" s="222"/>
    </row>
    <row r="136" spans="2:9">
      <c r="B136" s="222"/>
      <c r="C136" s="222"/>
      <c r="D136" s="222"/>
      <c r="E136" s="222"/>
      <c r="F136" s="222"/>
      <c r="G136" s="222"/>
      <c r="H136" s="222"/>
      <c r="I136" s="222"/>
    </row>
    <row r="137" spans="2:9">
      <c r="B137" s="222"/>
      <c r="C137" s="222"/>
      <c r="D137" s="222"/>
      <c r="E137" s="222"/>
      <c r="F137" s="222"/>
      <c r="G137" s="222"/>
      <c r="H137" s="222"/>
      <c r="I137" s="222"/>
    </row>
    <row r="138" spans="2:9">
      <c r="B138" s="222"/>
      <c r="C138" s="222"/>
      <c r="D138" s="222"/>
      <c r="E138" s="222"/>
      <c r="F138" s="222"/>
      <c r="G138" s="222"/>
      <c r="H138" s="222"/>
      <c r="I138" s="222"/>
    </row>
    <row r="139" spans="2:9">
      <c r="B139" s="222"/>
      <c r="C139" s="222"/>
      <c r="D139" s="222"/>
      <c r="E139" s="222"/>
      <c r="F139" s="222"/>
      <c r="G139" s="222"/>
      <c r="H139" s="222"/>
      <c r="I139" s="222"/>
    </row>
    <row r="140" spans="2:9">
      <c r="B140" s="222"/>
      <c r="C140" s="222"/>
      <c r="D140" s="222"/>
      <c r="E140" s="222"/>
      <c r="F140" s="222"/>
      <c r="G140" s="222"/>
      <c r="H140" s="222"/>
      <c r="I140" s="222"/>
    </row>
    <row r="141" spans="2:9">
      <c r="B141" s="222"/>
      <c r="C141" s="222"/>
      <c r="D141" s="222"/>
      <c r="E141" s="222"/>
      <c r="F141" s="222"/>
      <c r="G141" s="222"/>
      <c r="H141" s="222"/>
      <c r="I141" s="222"/>
    </row>
    <row r="142" spans="2:9">
      <c r="B142" s="222"/>
      <c r="C142" s="222"/>
      <c r="D142" s="222"/>
      <c r="E142" s="222"/>
      <c r="F142" s="222"/>
      <c r="G142" s="222"/>
      <c r="H142" s="222"/>
      <c r="I142" s="222"/>
    </row>
    <row r="143" spans="2:9">
      <c r="B143" s="222"/>
      <c r="C143" s="222"/>
      <c r="D143" s="222"/>
      <c r="E143" s="222"/>
      <c r="F143" s="222"/>
      <c r="G143" s="222"/>
      <c r="H143" s="222"/>
      <c r="I143" s="222"/>
    </row>
    <row r="144" spans="2:9">
      <c r="B144" s="222"/>
      <c r="C144" s="222"/>
      <c r="D144" s="222"/>
      <c r="E144" s="222"/>
      <c r="F144" s="222"/>
      <c r="G144" s="222"/>
      <c r="H144" s="222"/>
      <c r="I144" s="222"/>
    </row>
    <row r="145" spans="2:9">
      <c r="B145" s="222"/>
      <c r="C145" s="222"/>
      <c r="D145" s="222"/>
      <c r="E145" s="222"/>
      <c r="F145" s="222"/>
      <c r="G145" s="222"/>
      <c r="H145" s="222"/>
      <c r="I145" s="222"/>
    </row>
    <row r="146" spans="2:9">
      <c r="B146" s="222"/>
      <c r="C146" s="222"/>
      <c r="D146" s="222"/>
      <c r="E146" s="222"/>
      <c r="F146" s="222"/>
      <c r="G146" s="222"/>
      <c r="H146" s="222"/>
      <c r="I146" s="222"/>
    </row>
    <row r="147" spans="2:9">
      <c r="B147" s="222"/>
      <c r="C147" s="222"/>
      <c r="D147" s="222"/>
      <c r="E147" s="222"/>
      <c r="F147" s="222"/>
      <c r="G147" s="222"/>
      <c r="H147" s="222"/>
      <c r="I147" s="222"/>
    </row>
    <row r="148" spans="2:9">
      <c r="B148" s="222"/>
      <c r="C148" s="222"/>
      <c r="D148" s="222"/>
      <c r="E148" s="222"/>
      <c r="F148" s="222"/>
      <c r="G148" s="222"/>
      <c r="H148" s="222"/>
      <c r="I148" s="222"/>
    </row>
    <row r="149" spans="2:9">
      <c r="B149" s="222"/>
      <c r="C149" s="222"/>
      <c r="D149" s="222"/>
      <c r="E149" s="222"/>
      <c r="F149" s="222"/>
      <c r="G149" s="222"/>
      <c r="H149" s="222"/>
      <c r="I149" s="222"/>
    </row>
    <row r="150" spans="2:9">
      <c r="B150" s="222"/>
      <c r="C150" s="222"/>
      <c r="D150" s="222"/>
      <c r="E150" s="222"/>
      <c r="F150" s="222"/>
      <c r="G150" s="222"/>
      <c r="H150" s="222"/>
      <c r="I150" s="222"/>
    </row>
    <row r="151" spans="2:9">
      <c r="B151" s="222"/>
      <c r="C151" s="222"/>
      <c r="D151" s="222"/>
      <c r="E151" s="222"/>
      <c r="F151" s="222"/>
      <c r="G151" s="222"/>
      <c r="H151" s="222"/>
      <c r="I151" s="222"/>
    </row>
    <row r="152" spans="2:9">
      <c r="B152" s="222"/>
      <c r="C152" s="222"/>
      <c r="D152" s="222"/>
      <c r="E152" s="222"/>
      <c r="F152" s="222"/>
      <c r="G152" s="222"/>
      <c r="H152" s="222"/>
      <c r="I152" s="222"/>
    </row>
    <row r="153" spans="2:9">
      <c r="B153" s="222"/>
      <c r="C153" s="222"/>
      <c r="D153" s="222"/>
      <c r="E153" s="222"/>
      <c r="F153" s="222"/>
      <c r="G153" s="222"/>
      <c r="H153" s="222"/>
      <c r="I153" s="222"/>
    </row>
    <row r="154" spans="2:9">
      <c r="B154" s="222"/>
      <c r="C154" s="222"/>
      <c r="D154" s="222"/>
      <c r="E154" s="222"/>
      <c r="F154" s="222"/>
      <c r="G154" s="222"/>
      <c r="H154" s="222"/>
      <c r="I154" s="222"/>
    </row>
    <row r="155" spans="2:9">
      <c r="B155" s="222"/>
      <c r="C155" s="222"/>
      <c r="D155" s="222"/>
      <c r="E155" s="222"/>
      <c r="F155" s="222"/>
      <c r="G155" s="222"/>
      <c r="H155" s="222"/>
      <c r="I155" s="222"/>
    </row>
    <row r="156" spans="2:9">
      <c r="B156" s="222"/>
      <c r="C156" s="222"/>
      <c r="D156" s="222"/>
      <c r="E156" s="222"/>
      <c r="F156" s="222"/>
      <c r="G156" s="222"/>
      <c r="H156" s="222"/>
      <c r="I156" s="222"/>
    </row>
    <row r="157" spans="2:9">
      <c r="B157" s="222"/>
      <c r="C157" s="222"/>
      <c r="D157" s="222"/>
      <c r="E157" s="222"/>
      <c r="F157" s="222"/>
      <c r="G157" s="222"/>
      <c r="H157" s="222"/>
      <c r="I157" s="222"/>
    </row>
    <row r="158" spans="2:9">
      <c r="B158" s="222"/>
      <c r="C158" s="222"/>
      <c r="D158" s="222"/>
      <c r="E158" s="222"/>
      <c r="F158" s="222"/>
      <c r="G158" s="222"/>
      <c r="H158" s="222"/>
      <c r="I158" s="222"/>
    </row>
    <row r="159" spans="2:9">
      <c r="B159" s="222"/>
      <c r="C159" s="222"/>
      <c r="D159" s="222"/>
      <c r="E159" s="222"/>
      <c r="F159" s="222"/>
      <c r="G159" s="222"/>
      <c r="H159" s="222"/>
      <c r="I159" s="222"/>
    </row>
    <row r="160" spans="2:9">
      <c r="B160" s="222"/>
      <c r="C160" s="222"/>
      <c r="D160" s="222"/>
      <c r="E160" s="222"/>
      <c r="F160" s="222"/>
      <c r="G160" s="222"/>
      <c r="H160" s="222"/>
      <c r="I160" s="222"/>
    </row>
    <row r="161" spans="2:9">
      <c r="B161" s="222"/>
      <c r="C161" s="222"/>
      <c r="D161" s="222"/>
      <c r="E161" s="222"/>
      <c r="F161" s="222"/>
      <c r="G161" s="222"/>
      <c r="H161" s="222"/>
      <c r="I161" s="222"/>
    </row>
    <row r="162" spans="2:9">
      <c r="B162" s="222"/>
      <c r="C162" s="222"/>
      <c r="D162" s="222"/>
      <c r="E162" s="222"/>
      <c r="F162" s="222"/>
      <c r="G162" s="222"/>
      <c r="H162" s="222"/>
      <c r="I162" s="222"/>
    </row>
    <row r="163" spans="2:9">
      <c r="B163" s="222"/>
      <c r="C163" s="222"/>
      <c r="D163" s="222"/>
      <c r="E163" s="222"/>
      <c r="F163" s="222"/>
      <c r="G163" s="222"/>
      <c r="H163" s="222"/>
      <c r="I163" s="222"/>
    </row>
    <row r="164" spans="2:9">
      <c r="B164" s="222"/>
      <c r="C164" s="222"/>
      <c r="D164" s="222"/>
      <c r="E164" s="222"/>
      <c r="F164" s="222"/>
      <c r="G164" s="222"/>
      <c r="H164" s="222"/>
      <c r="I164" s="222"/>
    </row>
    <row r="165" spans="2:9">
      <c r="B165" s="222"/>
      <c r="C165" s="222"/>
      <c r="D165" s="222"/>
      <c r="E165" s="222"/>
      <c r="F165" s="222"/>
      <c r="G165" s="222"/>
      <c r="H165" s="222"/>
      <c r="I165" s="222"/>
    </row>
    <row r="166" spans="2:9" s="77" customFormat="1">
      <c r="B166" s="222"/>
      <c r="C166" s="222"/>
      <c r="D166" s="222"/>
      <c r="E166" s="222"/>
      <c r="F166" s="222"/>
      <c r="G166" s="222"/>
      <c r="H166" s="222"/>
      <c r="I166" s="222"/>
    </row>
    <row r="167" spans="2:9">
      <c r="B167" s="222"/>
      <c r="C167" s="222"/>
      <c r="D167" s="222"/>
      <c r="E167" s="222"/>
      <c r="F167" s="222"/>
      <c r="G167" s="222"/>
      <c r="H167" s="222"/>
      <c r="I167" s="222"/>
    </row>
    <row r="168" spans="2:9">
      <c r="B168" s="222"/>
      <c r="C168" s="222"/>
      <c r="D168" s="222"/>
      <c r="E168" s="222"/>
      <c r="F168" s="222"/>
      <c r="G168" s="222"/>
      <c r="H168" s="222"/>
      <c r="I168" s="222"/>
    </row>
    <row r="169" spans="2:9">
      <c r="B169" s="222"/>
      <c r="C169" s="222"/>
      <c r="D169" s="222"/>
      <c r="E169" s="222"/>
      <c r="F169" s="222"/>
      <c r="G169" s="222"/>
      <c r="H169" s="222"/>
      <c r="I169" s="222"/>
    </row>
    <row r="170" spans="2:9">
      <c r="B170" s="222"/>
      <c r="C170" s="222"/>
      <c r="D170" s="222"/>
      <c r="E170" s="222"/>
      <c r="F170" s="222"/>
      <c r="G170" s="222"/>
      <c r="H170" s="222"/>
      <c r="I170" s="222"/>
    </row>
    <row r="171" spans="2:9">
      <c r="B171" s="222"/>
      <c r="C171" s="222"/>
      <c r="D171" s="222"/>
      <c r="E171" s="222"/>
      <c r="F171" s="222"/>
      <c r="G171" s="222"/>
      <c r="H171" s="222"/>
      <c r="I171" s="222"/>
    </row>
    <row r="172" spans="2:9">
      <c r="B172" s="222"/>
      <c r="C172" s="222"/>
      <c r="D172" s="222"/>
      <c r="E172" s="222"/>
      <c r="F172" s="222"/>
      <c r="G172" s="222"/>
      <c r="H172" s="222"/>
      <c r="I172" s="222"/>
    </row>
    <row r="173" spans="2:9">
      <c r="B173" s="222"/>
      <c r="C173" s="222"/>
      <c r="D173" s="222"/>
      <c r="E173" s="222"/>
      <c r="F173" s="222"/>
      <c r="G173" s="222"/>
      <c r="H173" s="222"/>
      <c r="I173" s="222"/>
    </row>
    <row r="174" spans="2:9">
      <c r="B174" s="222"/>
      <c r="C174" s="222"/>
      <c r="D174" s="222"/>
      <c r="E174" s="222"/>
      <c r="F174" s="222"/>
      <c r="G174" s="222"/>
      <c r="H174" s="222"/>
      <c r="I174" s="222"/>
    </row>
    <row r="175" spans="2:9">
      <c r="B175" s="222"/>
      <c r="C175" s="222"/>
      <c r="D175" s="222"/>
      <c r="E175" s="222"/>
      <c r="F175" s="222"/>
      <c r="G175" s="222"/>
      <c r="H175" s="222"/>
      <c r="I175" s="222"/>
    </row>
    <row r="176" spans="2:9">
      <c r="B176" s="222"/>
      <c r="C176" s="222"/>
      <c r="D176" s="222"/>
      <c r="E176" s="222"/>
      <c r="F176" s="222"/>
      <c r="G176" s="222"/>
      <c r="H176" s="222"/>
      <c r="I176" s="222"/>
    </row>
    <row r="177" spans="2:9">
      <c r="B177" s="222"/>
      <c r="C177" s="222"/>
      <c r="D177" s="222"/>
      <c r="E177" s="222"/>
      <c r="F177" s="222"/>
      <c r="G177" s="222"/>
      <c r="H177" s="222"/>
      <c r="I177" s="222"/>
    </row>
    <row r="178" spans="2:9">
      <c r="B178" s="222"/>
      <c r="C178" s="222"/>
      <c r="D178" s="222"/>
      <c r="E178" s="222"/>
      <c r="F178" s="222"/>
      <c r="G178" s="222"/>
      <c r="H178" s="222"/>
      <c r="I178" s="222"/>
    </row>
    <row r="179" spans="2:9">
      <c r="B179" s="222"/>
      <c r="C179" s="222"/>
      <c r="D179" s="222"/>
      <c r="E179" s="222"/>
      <c r="F179" s="222"/>
      <c r="G179" s="222"/>
      <c r="H179" s="222"/>
      <c r="I179" s="222"/>
    </row>
    <row r="180" spans="2:9">
      <c r="B180" s="222"/>
      <c r="C180" s="222"/>
      <c r="D180" s="222"/>
      <c r="E180" s="222"/>
      <c r="F180" s="222"/>
      <c r="G180" s="222"/>
      <c r="H180" s="222"/>
      <c r="I180" s="222"/>
    </row>
    <row r="181" spans="2:9">
      <c r="B181" s="222"/>
      <c r="C181" s="222"/>
      <c r="D181" s="222"/>
      <c r="E181" s="222"/>
      <c r="F181" s="222"/>
      <c r="G181" s="222"/>
      <c r="H181" s="222"/>
      <c r="I181" s="222"/>
    </row>
    <row r="182" spans="2:9">
      <c r="B182" s="222"/>
      <c r="C182" s="222"/>
      <c r="D182" s="222"/>
      <c r="E182" s="222"/>
      <c r="F182" s="222"/>
      <c r="G182" s="222"/>
      <c r="H182" s="222"/>
      <c r="I182" s="222"/>
    </row>
    <row r="183" spans="2:9">
      <c r="B183" s="222"/>
      <c r="C183" s="222"/>
      <c r="D183" s="222"/>
      <c r="E183" s="222"/>
      <c r="F183" s="222"/>
      <c r="G183" s="222"/>
      <c r="H183" s="222"/>
      <c r="I183" s="222"/>
    </row>
    <row r="184" spans="2:9">
      <c r="B184" s="222"/>
      <c r="C184" s="222"/>
      <c r="D184" s="222"/>
      <c r="E184" s="222"/>
      <c r="F184" s="222"/>
      <c r="G184" s="222"/>
      <c r="H184" s="222"/>
      <c r="I184" s="222"/>
    </row>
    <row r="185" spans="2:9">
      <c r="B185" s="222"/>
      <c r="C185" s="222"/>
      <c r="D185" s="222"/>
      <c r="E185" s="222"/>
      <c r="F185" s="222"/>
      <c r="G185" s="222"/>
      <c r="H185" s="222"/>
      <c r="I185" s="222"/>
    </row>
    <row r="186" spans="2:9">
      <c r="B186" s="222"/>
      <c r="C186" s="222"/>
      <c r="D186" s="222"/>
      <c r="E186" s="222"/>
      <c r="F186" s="222"/>
      <c r="G186" s="222"/>
      <c r="H186" s="222"/>
      <c r="I186" s="222"/>
    </row>
    <row r="187" spans="2:9">
      <c r="B187" s="222"/>
      <c r="C187" s="222"/>
      <c r="D187" s="222"/>
      <c r="E187" s="222"/>
      <c r="F187" s="222"/>
      <c r="G187" s="222"/>
      <c r="H187" s="222"/>
      <c r="I187" s="222"/>
    </row>
    <row r="188" spans="2:9">
      <c r="B188" s="222"/>
      <c r="C188" s="222"/>
      <c r="D188" s="222"/>
      <c r="E188" s="222"/>
      <c r="F188" s="222"/>
      <c r="G188" s="222"/>
      <c r="H188" s="222"/>
      <c r="I188" s="222"/>
    </row>
    <row r="189" spans="2:9">
      <c r="B189" s="222"/>
      <c r="C189" s="222"/>
      <c r="D189" s="222"/>
      <c r="E189" s="222"/>
      <c r="F189" s="222"/>
      <c r="G189" s="222"/>
      <c r="H189" s="222"/>
      <c r="I189" s="222"/>
    </row>
    <row r="190" spans="2:9">
      <c r="B190" s="222"/>
      <c r="C190" s="222"/>
      <c r="D190" s="222"/>
      <c r="E190" s="222"/>
      <c r="F190" s="222"/>
      <c r="G190" s="222"/>
      <c r="H190" s="222"/>
      <c r="I190" s="222"/>
    </row>
    <row r="191" spans="2:9">
      <c r="B191" s="222"/>
      <c r="C191" s="222"/>
      <c r="D191" s="222"/>
      <c r="E191" s="222"/>
      <c r="F191" s="222"/>
      <c r="G191" s="222"/>
      <c r="H191" s="222"/>
      <c r="I191" s="222"/>
    </row>
    <row r="192" spans="2:9">
      <c r="B192" s="222"/>
      <c r="C192" s="222"/>
      <c r="D192" s="222"/>
      <c r="E192" s="222"/>
      <c r="F192" s="222"/>
      <c r="G192" s="222"/>
      <c r="H192" s="222"/>
      <c r="I192" s="222"/>
    </row>
    <row r="193" spans="2:9">
      <c r="B193" s="222"/>
      <c r="C193" s="222"/>
      <c r="D193" s="222"/>
      <c r="E193" s="222"/>
      <c r="F193" s="222"/>
      <c r="G193" s="222"/>
      <c r="H193" s="222"/>
      <c r="I193" s="222"/>
    </row>
    <row r="194" spans="2:9">
      <c r="B194" s="222"/>
      <c r="C194" s="222"/>
      <c r="D194" s="222"/>
      <c r="E194" s="222"/>
      <c r="F194" s="222"/>
      <c r="G194" s="222"/>
      <c r="H194" s="222"/>
      <c r="I194" s="222"/>
    </row>
    <row r="195" spans="2:9">
      <c r="B195" s="222"/>
      <c r="C195" s="222"/>
      <c r="D195" s="222"/>
      <c r="E195" s="222"/>
      <c r="F195" s="222"/>
      <c r="G195" s="222"/>
      <c r="H195" s="222"/>
      <c r="I195" s="222"/>
    </row>
    <row r="196" spans="2:9">
      <c r="B196" s="222"/>
      <c r="C196" s="222"/>
      <c r="D196" s="222"/>
      <c r="E196" s="222"/>
      <c r="F196" s="222"/>
      <c r="G196" s="222"/>
      <c r="H196" s="222"/>
      <c r="I196" s="222"/>
    </row>
    <row r="197" spans="2:9">
      <c r="B197" s="222"/>
      <c r="C197" s="222"/>
      <c r="D197" s="222"/>
      <c r="E197" s="222"/>
      <c r="F197" s="222"/>
      <c r="G197" s="222"/>
      <c r="H197" s="222"/>
      <c r="I197" s="222"/>
    </row>
    <row r="198" spans="2:9">
      <c r="B198" s="222"/>
      <c r="C198" s="222"/>
      <c r="D198" s="222"/>
      <c r="E198" s="222"/>
      <c r="F198" s="222"/>
      <c r="G198" s="222"/>
      <c r="H198" s="222"/>
      <c r="I198" s="222"/>
    </row>
    <row r="199" spans="2:9">
      <c r="B199" s="222"/>
      <c r="C199" s="222"/>
      <c r="D199" s="222"/>
      <c r="E199" s="222"/>
      <c r="F199" s="222"/>
      <c r="G199" s="222"/>
      <c r="H199" s="222"/>
      <c r="I199" s="222"/>
    </row>
    <row r="200" spans="2:9">
      <c r="B200" s="222"/>
      <c r="C200" s="222"/>
      <c r="D200" s="222"/>
      <c r="E200" s="222"/>
      <c r="F200" s="222"/>
      <c r="G200" s="222"/>
      <c r="H200" s="222"/>
      <c r="I200" s="222"/>
    </row>
    <row r="201" spans="2:9">
      <c r="B201" s="222"/>
      <c r="C201" s="222"/>
      <c r="D201" s="222"/>
      <c r="E201" s="222"/>
      <c r="F201" s="222"/>
      <c r="G201" s="222"/>
      <c r="H201" s="222"/>
      <c r="I201" s="222"/>
    </row>
    <row r="202" spans="2:9">
      <c r="B202" s="222"/>
      <c r="C202" s="222"/>
      <c r="D202" s="222"/>
      <c r="E202" s="222"/>
      <c r="F202" s="222"/>
      <c r="G202" s="222"/>
      <c r="H202" s="222"/>
      <c r="I202" s="222"/>
    </row>
    <row r="203" spans="2:9">
      <c r="B203" s="222"/>
      <c r="C203" s="222"/>
      <c r="D203" s="222"/>
      <c r="E203" s="222"/>
      <c r="F203" s="222"/>
      <c r="G203" s="222"/>
      <c r="H203" s="222"/>
      <c r="I203" s="222"/>
    </row>
    <row r="204" spans="2:9">
      <c r="B204" s="222"/>
      <c r="C204" s="222"/>
      <c r="D204" s="222"/>
      <c r="E204" s="222"/>
      <c r="F204" s="222"/>
      <c r="G204" s="222"/>
      <c r="H204" s="222"/>
      <c r="I204" s="222"/>
    </row>
    <row r="205" spans="2:9">
      <c r="B205" s="222"/>
      <c r="C205" s="222"/>
      <c r="D205" s="222"/>
      <c r="E205" s="222"/>
      <c r="F205" s="222"/>
      <c r="G205" s="222"/>
      <c r="H205" s="222"/>
      <c r="I205" s="222"/>
    </row>
    <row r="206" spans="2:9">
      <c r="B206" s="222"/>
      <c r="C206" s="222"/>
      <c r="D206" s="222"/>
      <c r="E206" s="222"/>
      <c r="F206" s="222"/>
      <c r="G206" s="222"/>
      <c r="H206" s="222"/>
      <c r="I206" s="222"/>
    </row>
    <row r="207" spans="2:9">
      <c r="B207" s="222"/>
      <c r="C207" s="222"/>
      <c r="D207" s="222"/>
      <c r="E207" s="222"/>
      <c r="F207" s="222"/>
      <c r="G207" s="222"/>
      <c r="H207" s="222"/>
      <c r="I207" s="222"/>
    </row>
    <row r="208" spans="2:9">
      <c r="B208" s="222"/>
      <c r="C208" s="222"/>
      <c r="D208" s="222"/>
      <c r="E208" s="222"/>
      <c r="F208" s="222"/>
      <c r="G208" s="222"/>
      <c r="H208" s="222"/>
      <c r="I208" s="222"/>
    </row>
    <row r="210" spans="6:7">
      <c r="F210" s="76" t="s">
        <v>21</v>
      </c>
      <c r="G210" s="75">
        <f>SUM('PO Log'!$G$6:$G$208)</f>
        <v>0</v>
      </c>
    </row>
  </sheetData>
  <mergeCells count="1">
    <mergeCell ref="B3:I3"/>
  </mergeCells>
  <conditionalFormatting sqref="H6:H208">
    <cfRule type="containsText" dxfId="50" priority="1" operator="containsText" text="zzzz">
      <formula>NOT(ISERROR(SEARCH("zzzz",H6)))</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K50"/>
  <sheetViews>
    <sheetView tabSelected="1" topLeftCell="R1" zoomScale="44" workbookViewId="0">
      <selection activeCell="U27" sqref="U27"/>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0" width="98.83203125" style="1" bestFit="1" customWidth="1"/>
    <col min="21" max="22" width="8.83203125" style="1"/>
    <col min="23" max="23" width="49.6640625" style="1" bestFit="1" customWidth="1"/>
    <col min="24" max="25" width="8.83203125" style="1"/>
    <col min="26" max="26" width="12.5" style="1" bestFit="1" customWidth="1"/>
    <col min="27" max="27" width="8.83203125" style="1" customWidth="1"/>
    <col min="28" max="16384" width="8.83203125" style="1"/>
  </cols>
  <sheetData>
    <row r="1" spans="1:37" ht="45" customHeight="1">
      <c r="A1" s="79"/>
      <c r="B1" s="182" t="s">
        <v>261</v>
      </c>
      <c r="C1" s="182"/>
      <c r="D1" s="182"/>
      <c r="E1" s="182"/>
      <c r="G1" s="237"/>
      <c r="H1" s="237"/>
      <c r="I1" s="238"/>
      <c r="X1" s="160" t="s">
        <v>324</v>
      </c>
    </row>
    <row r="2" spans="1:37" ht="12.75" customHeight="1">
      <c r="A2" s="80"/>
      <c r="B2" s="239"/>
      <c r="C2" s="240"/>
      <c r="D2" s="241"/>
      <c r="E2" s="241"/>
      <c r="F2" s="241"/>
      <c r="G2" s="241"/>
      <c r="I2" s="114"/>
      <c r="S2" s="160" t="s">
        <v>326</v>
      </c>
      <c r="X2" s="1" t="s">
        <v>325</v>
      </c>
    </row>
    <row r="3" spans="1:37" ht="22">
      <c r="A3" s="80"/>
      <c r="B3" s="115" t="s">
        <v>14</v>
      </c>
      <c r="C3" s="81"/>
      <c r="D3" s="82"/>
      <c r="E3" s="82"/>
      <c r="F3" s="83" t="s">
        <v>13</v>
      </c>
      <c r="G3" s="242" t="s">
        <v>243</v>
      </c>
      <c r="H3" s="242"/>
      <c r="I3" s="243"/>
      <c r="J3" s="236"/>
      <c r="K3" s="236"/>
      <c r="L3" s="236"/>
      <c r="M3" s="153" t="s">
        <v>311</v>
      </c>
      <c r="N3" s="155" t="s">
        <v>312</v>
      </c>
      <c r="O3" s="155" t="s">
        <v>313</v>
      </c>
      <c r="P3" s="155" t="s">
        <v>314</v>
      </c>
      <c r="S3" s="153" t="s">
        <v>322</v>
      </c>
      <c r="AB3" s="1" t="s">
        <v>327</v>
      </c>
    </row>
    <row r="4" spans="1:37" s="3" customFormat="1" ht="29" customHeight="1">
      <c r="A4" s="84"/>
      <c r="B4" s="244"/>
      <c r="C4" s="245"/>
      <c r="D4" s="245"/>
      <c r="E4" s="245"/>
      <c r="F4" s="245"/>
      <c r="G4" s="245"/>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0"/>
      <c r="D5" s="251"/>
      <c r="E5" s="246"/>
      <c r="F5" s="246"/>
      <c r="G5" s="246"/>
      <c r="H5" s="246"/>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2"/>
      <c r="D6" s="253"/>
      <c r="E6" s="246"/>
      <c r="F6" s="246"/>
      <c r="G6" s="246"/>
      <c r="H6" s="246"/>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7"/>
      <c r="C7" s="248"/>
      <c r="D7" s="249"/>
      <c r="E7" s="249"/>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4" t="str">
        <f>IFERROR(
    IF(ISNUMBER(MATCH(Sheet_PO,#REF!, 0)),
       IF(INDEX(#REF!, MATCH(Sheet_PO,#REF!, 0)) = "", "",
          INDEX(#REF!, MATCH(Sheet_PO,#REF!, 0))),
       ""),
    "No match found")</f>
        <v/>
      </c>
      <c r="D9" s="254"/>
      <c r="E9" s="90" t="s">
        <v>11</v>
      </c>
      <c r="F9" s="255" t="str">
        <f>IF(TRIM(Job_Number)="", "", Job_Number)</f>
        <v/>
      </c>
      <c r="G9" s="255"/>
      <c r="H9" s="255"/>
      <c r="I9" s="256"/>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7" t="s">
        <v>335</v>
      </c>
      <c r="D10" s="257"/>
      <c r="E10" s="90" t="s">
        <v>9</v>
      </c>
      <c r="F10" s="258" t="str">
        <f>IF(TRIM(Job_Name)="", "", Job_Name)</f>
        <v/>
      </c>
      <c r="G10" s="258"/>
      <c r="H10" s="258"/>
      <c r="I10" s="259"/>
      <c r="L10" s="3"/>
      <c r="P10" s="4" t="str" cm="1">
        <f t="array" ref="P10">IF(O10="","",IFERROR(INDEX(Description, MATCH(O10, Line, 0)), "Not Found"))</f>
        <v/>
      </c>
      <c r="W10" s="4" t="b">
        <v>1</v>
      </c>
      <c r="X10" s="4" t="b">
        <v>1</v>
      </c>
      <c r="Y10" s="4" t="b">
        <v>1</v>
      </c>
    </row>
    <row r="11" spans="1:37" s="4" customFormat="1" ht="17">
      <c r="A11" s="86"/>
      <c r="B11" s="124"/>
      <c r="C11" s="257"/>
      <c r="D11" s="257"/>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7"/>
      <c r="D12" s="257"/>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7"/>
      <c r="D13" s="257"/>
      <c r="F13" s="262"/>
      <c r="G13" s="263"/>
      <c r="H13" s="263"/>
      <c r="I13" s="264"/>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5"/>
      <c r="D14" s="265"/>
      <c r="E14" s="90" t="s">
        <v>268</v>
      </c>
      <c r="F14" s="262"/>
      <c r="G14" s="263"/>
      <c r="H14" s="263"/>
      <c r="I14" s="264"/>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6"/>
      <c r="D18" s="266"/>
      <c r="E18" s="266"/>
      <c r="F18" s="266"/>
      <c r="G18" s="266"/>
      <c r="H18" s="266"/>
      <c r="I18" s="267"/>
    </row>
    <row r="19" spans="1:30" s="3" customFormat="1" ht="13" customHeight="1" thickBot="1">
      <c r="A19" s="84"/>
      <c r="B19" s="129"/>
      <c r="C19" s="266"/>
      <c r="D19" s="266"/>
      <c r="E19" s="266"/>
      <c r="F19" s="266"/>
      <c r="G19" s="266"/>
      <c r="H19" s="266"/>
      <c r="I19" s="267"/>
      <c r="T19" s="235" t="s">
        <v>336</v>
      </c>
      <c r="U19" s="235"/>
      <c r="V19" s="235"/>
      <c r="W19" s="235"/>
      <c r="X19" s="235"/>
      <c r="Y19" s="235"/>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8"/>
      <c r="C22" s="269"/>
      <c r="D22" s="270"/>
      <c r="E22" s="270"/>
      <c r="F22" s="270"/>
      <c r="G22" s="270"/>
      <c r="H22" s="270"/>
      <c r="I22" s="271"/>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2" t="s">
        <v>3</v>
      </c>
      <c r="D23" s="273"/>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0" t="s">
        <v>315</v>
      </c>
      <c r="D24" s="261"/>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0"/>
      <c r="D25" s="261"/>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0" t="s">
        <v>329</v>
      </c>
      <c r="D26" s="261"/>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0" t="s">
        <v>315</v>
      </c>
      <c r="D27" s="261"/>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0" t="s">
        <v>339</v>
      </c>
      <c r="D28" s="261"/>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0" t="s">
        <v>315</v>
      </c>
      <c r="D29" s="261"/>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0" t="s">
        <v>315</v>
      </c>
      <c r="D30" s="261"/>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0" t="s">
        <v>315</v>
      </c>
      <c r="D31" s="261"/>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0" t="s">
        <v>315</v>
      </c>
      <c r="D32" s="261"/>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0" t="s">
        <v>315</v>
      </c>
      <c r="D33" s="261"/>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0" t="s">
        <v>315</v>
      </c>
      <c r="D34" s="261"/>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0"/>
      <c r="D35" s="231"/>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4"/>
      <c r="D38" s="274"/>
      <c r="E38" s="99"/>
      <c r="F38" s="98"/>
      <c r="G38" s="148"/>
      <c r="H38" s="95"/>
      <c r="I38" s="139"/>
    </row>
    <row r="39" spans="1:19" s="4" customFormat="1" ht="16" customHeight="1">
      <c r="A39" s="86"/>
      <c r="B39" s="138"/>
      <c r="C39" s="1"/>
      <c r="D39" s="1"/>
      <c r="E39" s="98"/>
      <c r="F39" s="98"/>
      <c r="G39" s="148" t="s">
        <v>263</v>
      </c>
      <c r="H39" s="98" t="s">
        <v>265</v>
      </c>
      <c r="I39" s="140"/>
      <c r="L39" s="232" t="s">
        <v>334</v>
      </c>
      <c r="M39" s="233"/>
      <c r="N39" s="233"/>
      <c r="O39" s="233"/>
      <c r="P39" s="233"/>
      <c r="Q39" s="233"/>
      <c r="R39" s="234"/>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IF('TEMPLATE-SHEET'!$L41="#A", L20,"")</f>
        <v>204</v>
      </c>
      <c r="N41" s="193" t="str">
        <f t="shared" ref="N41:N49" si="6">Vendor</f>
        <v>Vendor</v>
      </c>
      <c r="O41" s="194" t="str">
        <f>IF('TEMPLATE-SHEET'!$L41="#A", Sheet_PO,"")</f>
        <v>{{PO_NUMBER}}</v>
      </c>
      <c r="P41" s="195">
        <f>IF('TEMPLATE-SHEET'!$L41="#A", L$21,"")</f>
        <v>45849</v>
      </c>
      <c r="Q41" s="194" t="str">
        <f>IF('TEMPLATE-SHEET'!$L41="#A", L$22,"")</f>
        <v>CC 2456</v>
      </c>
      <c r="R41" s="196">
        <f>IF('TEMPLATE-SHEET'!$L41="#A", L$36,"")</f>
        <v>800</v>
      </c>
      <c r="S41" s="194" t="str">
        <f>IF('TEMPLATE-SHEET'!$L41="#A",
      INDEX('Line No'!$B$1:$B$342, MATCH('TEMPLATE-SHEET'!$M41, 'Line No'!$A$1:$A$342, 0)),
      "")</f>
        <v>Production Supplies</v>
      </c>
    </row>
    <row r="42" spans="1:19" ht="16" customHeight="1">
      <c r="L42" s="205" t="str">
        <f>IF(SUM($M$24:$M$34), "#B", "")</f>
        <v>#B</v>
      </c>
      <c r="M42" s="197">
        <f>IF('TEMPLATE-SHEET'!$L42="#B", L20,"")</f>
        <v>204</v>
      </c>
      <c r="N42" s="197" t="str">
        <f t="shared" si="6"/>
        <v>Vendor</v>
      </c>
      <c r="O42" s="197" t="str">
        <f>IF('TEMPLATE-SHEET'!$L42="#B", Sheet_PO,"")</f>
        <v>{{PO_NUMBER}}</v>
      </c>
      <c r="P42" s="198">
        <f>IF('TEMPLATE-SHEET'!$L42="#B", M21,"")</f>
        <v>45849</v>
      </c>
      <c r="Q42" s="197" t="str">
        <f>IF('TEMPLATE-SHEET'!$L42="#B", M22,"")</f>
        <v>CC 2456</v>
      </c>
      <c r="R42" s="199">
        <f>IF('TEMPLATE-SHEET'!$L42="#B", M36,"")</f>
        <v>50</v>
      </c>
      <c r="S42" s="197" t="str">
        <f>IF('TEMPLATE-SHEET'!$L42="#B",
      INDEX('Line No'!$B$1:$B$342, MATCH('TEMPLATE-SHEET'!$M42, 'Line No'!$A$1:$A$342, 0)),
      "")</f>
        <v>Production Supplies</v>
      </c>
    </row>
    <row r="43" spans="1:19" ht="16" customHeight="1">
      <c r="G43" s="111"/>
      <c r="H43" s="111"/>
      <c r="I43" s="111"/>
      <c r="L43" s="206" t="str">
        <f>IF(SUM($N$24:$N$34), "#C", "")</f>
        <v>#C</v>
      </c>
      <c r="M43" s="194">
        <f>IF('TEMPLATE-SHEET'!$L43="#C", M20,"")</f>
        <v>205</v>
      </c>
      <c r="N43" s="193" t="str">
        <f t="shared" si="6"/>
        <v>Vendor</v>
      </c>
      <c r="O43" s="194" t="str">
        <f>IF('TEMPLATE-SHEET'!$L43="#C", Sheet_PO,"")</f>
        <v>{{PO_NUMBER}}</v>
      </c>
      <c r="P43" s="195">
        <f>IF('TEMPLATE-SHEET'!$L43="#C", N21,"")</f>
        <v>45848</v>
      </c>
      <c r="Q43" s="194" t="str">
        <f>IF('TEMPLATE-SHEET'!$L43="#C", N22,"")</f>
        <v>CHK 101</v>
      </c>
      <c r="R43" s="196">
        <f>IF('TEMPLATE-SHEET'!$L43="#C", N36,"")</f>
        <v>1000</v>
      </c>
      <c r="S43" s="194" t="str">
        <f>IF('TEMPLATE-SHEET'!$L43="#C",
      INDEX('Line No'!$B$1:$B$342, MATCH('TEMPLATE-SHEET'!$M43, 'Line No'!$A$1:$A$342, 0)),
      "")</f>
        <v>Location Supplies</v>
      </c>
    </row>
    <row r="44" spans="1:19" ht="16" customHeight="1">
      <c r="G44" s="111"/>
      <c r="H44" s="167"/>
      <c r="I44" s="111"/>
      <c r="L44" s="207" t="str">
        <f>IF(SUM($O$24:$O$34), "#D", "")</f>
        <v>#D</v>
      </c>
      <c r="M44" s="197">
        <f>IF('TEMPLATE-SHEET'!$L44="#D", N20,"")</f>
        <v>112</v>
      </c>
      <c r="N44" s="197" t="str">
        <f t="shared" si="6"/>
        <v>Vendor</v>
      </c>
      <c r="O44" s="197" t="str">
        <f>IF('TEMPLATE-SHEET'!$L44="#D", Sheet_PO,"")</f>
        <v>{{PO_NUMBER}}</v>
      </c>
      <c r="P44" s="198">
        <f>IF('TEMPLATE-SHEET'!$L44="#D", O21,"")</f>
        <v>45849</v>
      </c>
      <c r="Q44" s="197" t="str">
        <f>IF('TEMPLATE-SHEET'!$L44="#D", O22,"")</f>
        <v>CASH</v>
      </c>
      <c r="R44" s="199">
        <f>IF('TEMPLATE-SHEET'!$L44="#D", O36,"")</f>
        <v>1000</v>
      </c>
      <c r="S44" s="197" t="str">
        <f>IF('TEMPLATE-SHEET'!$L44="#D",
      INDEX('Line No'!$B$1:$B$342, MATCH('TEMPLATE-SHEET'!$M44, 'Line No'!$A$1:$A$342, 0)),
      "")</f>
        <v>Pre Pro Meals</v>
      </c>
    </row>
    <row r="45" spans="1:19" ht="16" customHeight="1">
      <c r="C45" s="181"/>
      <c r="D45" s="181"/>
      <c r="E45" s="181"/>
      <c r="F45" s="181"/>
      <c r="G45" s="112"/>
      <c r="H45" s="112"/>
      <c r="I45" s="113"/>
      <c r="L45" s="206" t="str">
        <f>IF(SUM($P$24:$P$34), "#E", "")</f>
        <v/>
      </c>
      <c r="M45" s="194" t="str">
        <f>IF('TEMPLATE-SHEET'!$L45="#E", O20,"")</f>
        <v/>
      </c>
      <c r="N45" s="193" t="str">
        <f t="shared" si="6"/>
        <v>Vendor</v>
      </c>
      <c r="O45" s="194" t="str">
        <f>IF('TEMPLATE-SHEET'!$L45="#E", Sheet_PO,"")</f>
        <v/>
      </c>
      <c r="P45" s="195" t="str">
        <f>IF('TEMPLATE-SHEET'!$L45="#E", P21,"")</f>
        <v/>
      </c>
      <c r="Q45" s="194" t="str">
        <f>IF('TEMPLATE-SHEET'!$L45="#E", P22,"")</f>
        <v/>
      </c>
      <c r="R45" s="196" t="str">
        <f>IF('TEMPLATE-SHEET'!$L45="#E", P36,"")</f>
        <v/>
      </c>
      <c r="S45" s="194" t="str">
        <f>IF('TEMPLATE-SHEET'!$L45="#E",
      INDEX('Line No'!$B$1:$B$342, MATCH('TEMPLATE-SHEET'!$M45, 'Line No'!$A$1:$A$342, 0)),
      "")</f>
        <v/>
      </c>
    </row>
    <row r="46" spans="1:19" ht="16" customHeight="1">
      <c r="L46" s="207" t="str">
        <f>IF(SUM($Q$24:$Q$34), "#F", "")</f>
        <v/>
      </c>
      <c r="M46" s="197" t="str">
        <f>IF('TEMPLATE-SHEET'!$L46="#F", P20,"")</f>
        <v/>
      </c>
      <c r="N46" s="197" t="str">
        <f t="shared" si="6"/>
        <v>Vendor</v>
      </c>
      <c r="O46" s="197" t="str">
        <f>IF('TEMPLATE-SHEET'!$L46="#F", Sheet_PO,"")</f>
        <v/>
      </c>
      <c r="P46" s="198" t="str">
        <f>IF('TEMPLATE-SHEET'!$L46="#F", Q21,"")</f>
        <v/>
      </c>
      <c r="Q46" s="197" t="str">
        <f>IF('TEMPLATE-SHEET'!$L46="#F", Q22,"")</f>
        <v/>
      </c>
      <c r="R46" s="199" t="str">
        <f>IF('TEMPLATE-SHEET'!$L46="#F", Q36,"")</f>
        <v/>
      </c>
      <c r="S46" s="197" t="str">
        <f>IF('TEMPLATE-SHEET'!$L46="#F",
      INDEX('Line No'!$B$1:$B$342, MATCH('TEMPLATE-SHEET'!$M46, 'Line No'!$A$1:$A$342, 0)),
      "")</f>
        <v/>
      </c>
    </row>
    <row r="47" spans="1:19" ht="16" customHeight="1">
      <c r="L47" s="206" t="str">
        <f>IF(SUM($R$24:$R$34), "#G", "")</f>
        <v/>
      </c>
      <c r="M47" s="194" t="str">
        <f>IF('TEMPLATE-SHEET'!$L47="#G", Q20,"")</f>
        <v/>
      </c>
      <c r="N47" s="193" t="str">
        <f t="shared" si="6"/>
        <v>Vendor</v>
      </c>
      <c r="O47" s="194" t="str">
        <f>IF('TEMPLATE-SHEET'!$L47="#G", Sheet_PO,"")</f>
        <v/>
      </c>
      <c r="P47" s="200" t="str">
        <f>IF('TEMPLATE-SHEET'!$L47="#G", R21,"")</f>
        <v/>
      </c>
      <c r="Q47" s="201" t="str">
        <f>IF('TEMPLATE-SHEET'!$L47="#G", R22,"")</f>
        <v/>
      </c>
      <c r="R47" s="196" t="str">
        <f>IF('TEMPLATE-SHEET'!$L47="#G", R36,"")</f>
        <v/>
      </c>
      <c r="S47" s="194" t="str">
        <f>IF('TEMPLATE-SHEET'!$L47="#G",
      INDEX('Line No'!$B$1:$B$342, MATCH('TEMPLATE-SHEET'!$M47, 'Line No'!$A$1:$A$342, 0)),
      "")</f>
        <v/>
      </c>
    </row>
    <row r="48" spans="1:19" ht="16" customHeight="1">
      <c r="L48" s="207" t="str">
        <f>IF(SUM($S$24:$S$34), "#H", "")</f>
        <v/>
      </c>
      <c r="M48" s="197" t="str">
        <f>IF('TEMPLATE-SHEET'!$L48="#H", R20,"")</f>
        <v/>
      </c>
      <c r="N48" s="197" t="str">
        <f t="shared" si="6"/>
        <v>Vendor</v>
      </c>
      <c r="O48" s="197" t="str">
        <f>IF('TEMPLATE-SHEET'!$L48="#H", Sheet_PO,"")</f>
        <v/>
      </c>
      <c r="P48" s="202" t="str">
        <f>IF('TEMPLATE-SHEET'!$L48="#H", T21,"")</f>
        <v/>
      </c>
      <c r="Q48" s="203" t="str">
        <f>IF('TEMPLATE-SHEET'!$L48="#H", T22,"")</f>
        <v/>
      </c>
      <c r="R48" s="199" t="str">
        <f>IF('TEMPLATE-SHEET'!$L48="#H", T36,"")</f>
        <v/>
      </c>
      <c r="S48" s="197" t="str">
        <f>IF('TEMPLATE-SHEET'!$L48="#H",
      INDEX('Line No'!$B$1:$B$342, MATCH('TEMPLATE-SHEET'!$M48, 'Line No'!$A$1:$A$342, 0)),
      "")</f>
        <v/>
      </c>
    </row>
    <row r="49" spans="11:19" ht="16" customHeight="1">
      <c r="K49" s="1" cm="1">
        <f t="array" ref="K49">SUMPRODUCT(--(L41:L49&lt;&gt;""))</f>
        <v>4</v>
      </c>
      <c r="L49" s="206" t="str">
        <f>IF(SUM($T$24:$T$34), "#OTHER", "")</f>
        <v/>
      </c>
      <c r="M49" s="194" t="str">
        <f>IF('TEMPLATE-SHEET'!$L49="#I", T20,"")</f>
        <v/>
      </c>
      <c r="N49" s="193" t="str">
        <f t="shared" si="6"/>
        <v>Vendor</v>
      </c>
      <c r="O49" s="194" t="str">
        <f>IF('TEMPLATE-SHEET'!$L49="#I", Sheet_PO,"")</f>
        <v/>
      </c>
      <c r="P49" s="200" t="str">
        <f>IF('TEMPLATE-SHEET'!$L49="#I", U21,"")</f>
        <v/>
      </c>
      <c r="Q49" s="201" t="str">
        <f>IF('TEMPLATE-SHEET'!$L49="#I", U22,"")</f>
        <v/>
      </c>
      <c r="R49" s="196" t="str">
        <f>IF('TEMPLATE-SHEET'!$L49="#I", U36,"")</f>
        <v/>
      </c>
      <c r="S49" s="194" t="str">
        <f>IF('TEMPLATE-SHEET'!$L49="#I",
      INDEX('Line No'!$B$1:$B$342, MATCH('TEMPLATE-SHEET'!$M49,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C32:D32"/>
    <mergeCell ref="C33:D33"/>
    <mergeCell ref="C34:D34"/>
    <mergeCell ref="C38:D38"/>
    <mergeCell ref="C31:D31"/>
    <mergeCell ref="B22:I22"/>
    <mergeCell ref="C23:D23"/>
    <mergeCell ref="F14:I14"/>
    <mergeCell ref="C19:E19"/>
    <mergeCell ref="C25:D25"/>
    <mergeCell ref="C26:D26"/>
    <mergeCell ref="C27:D27"/>
    <mergeCell ref="C28:D28"/>
    <mergeCell ref="C29:D29"/>
    <mergeCell ref="C30:D30"/>
    <mergeCell ref="C18:E18"/>
    <mergeCell ref="F18:I18"/>
    <mergeCell ref="C10:D10"/>
    <mergeCell ref="F10:I10"/>
    <mergeCell ref="C24:D24"/>
    <mergeCell ref="C11:D11"/>
    <mergeCell ref="C12:D12"/>
    <mergeCell ref="C13:D13"/>
    <mergeCell ref="F13:I13"/>
    <mergeCell ref="C14:D14"/>
    <mergeCell ref="F19:I19"/>
    <mergeCell ref="C35:D35"/>
    <mergeCell ref="L39:R39"/>
    <mergeCell ref="T19:Y19"/>
    <mergeCell ref="J3:L3"/>
    <mergeCell ref="G1:I1"/>
    <mergeCell ref="B2:C2"/>
    <mergeCell ref="D2:G2"/>
    <mergeCell ref="G3:I3"/>
    <mergeCell ref="B4:G4"/>
    <mergeCell ref="E5:H6"/>
    <mergeCell ref="B7:C7"/>
    <mergeCell ref="D7:E7"/>
    <mergeCell ref="C5:D5"/>
    <mergeCell ref="C6:D6"/>
    <mergeCell ref="C9:D9"/>
    <mergeCell ref="F9:I9"/>
  </mergeCells>
  <conditionalFormatting sqref="S41:S49">
    <cfRule type="containsText" dxfId="49"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8A20-B08C-3748-A3FD-632EC1BFDF43}">
  <sheetPr codeName="Sheet5"/>
  <dimension ref="A1:A6"/>
  <sheetViews>
    <sheetView workbookViewId="0">
      <selection activeCell="C10" sqref="C10"/>
    </sheetView>
  </sheetViews>
  <sheetFormatPr baseColWidth="10" defaultRowHeight="16"/>
  <sheetData>
    <row r="1" spans="1:1" ht="17" thickBot="1">
      <c r="A1" t="s">
        <v>17</v>
      </c>
    </row>
    <row r="2" spans="1:1">
      <c r="A2" s="189" t="s">
        <v>310</v>
      </c>
    </row>
    <row r="3" spans="1:1">
      <c r="A3" s="190" t="s">
        <v>309</v>
      </c>
    </row>
    <row r="4" spans="1:1">
      <c r="A4" s="191" t="s">
        <v>308</v>
      </c>
    </row>
    <row r="5" spans="1:1">
      <c r="A5" s="191" t="s">
        <v>307</v>
      </c>
    </row>
    <row r="6" spans="1:1">
      <c r="A6" s="191" t="s">
        <v>306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449E2-03D0-FC47-9A9B-44A5BFC7DD31}">
  <sheetPr codeName="Sheet7">
    <pageSetUpPr fitToPage="1"/>
  </sheetPr>
  <dimension ref="A1:AK50"/>
  <sheetViews>
    <sheetView workbookViewId="0">
      <selection activeCell="C10" sqref="C10:D10"/>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7"/>
      <c r="H1" s="237"/>
      <c r="I1" s="238"/>
      <c r="X1" s="160" t="s">
        <v>324</v>
      </c>
    </row>
    <row r="2" spans="1:37" ht="12.75" customHeight="1">
      <c r="A2" s="80"/>
      <c r="B2" s="239"/>
      <c r="C2" s="240"/>
      <c r="D2" s="241"/>
      <c r="E2" s="241"/>
      <c r="F2" s="241"/>
      <c r="G2" s="241"/>
      <c r="I2" s="114"/>
      <c r="S2" s="160" t="s">
        <v>326</v>
      </c>
      <c r="X2" s="1" t="s">
        <v>325</v>
      </c>
    </row>
    <row r="3" spans="1:37" ht="22">
      <c r="A3" s="80"/>
      <c r="B3" s="115" t="s">
        <v>14</v>
      </c>
      <c r="C3" s="81"/>
      <c r="D3" s="82"/>
      <c r="E3" s="82"/>
      <c r="F3" s="83" t="s">
        <v>13</v>
      </c>
      <c r="G3" s="242" t="s">
        <v>310</v>
      </c>
      <c r="H3" s="242"/>
      <c r="I3" s="243"/>
      <c r="J3" s="236"/>
      <c r="K3" s="236"/>
      <c r="L3" s="236"/>
      <c r="M3" s="153" t="s">
        <v>311</v>
      </c>
      <c r="N3" s="155" t="s">
        <v>312</v>
      </c>
      <c r="O3" s="155" t="s">
        <v>313</v>
      </c>
      <c r="P3" s="155" t="s">
        <v>314</v>
      </c>
      <c r="S3" s="153" t="s">
        <v>322</v>
      </c>
      <c r="AB3" s="1" t="s">
        <v>327</v>
      </c>
    </row>
    <row r="4" spans="1:37" s="3" customFormat="1" ht="29" customHeight="1">
      <c r="A4" s="84"/>
      <c r="B4" s="244"/>
      <c r="C4" s="245"/>
      <c r="D4" s="245"/>
      <c r="E4" s="245"/>
      <c r="F4" s="245"/>
      <c r="G4" s="245"/>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0"/>
      <c r="D5" s="251"/>
      <c r="E5" s="246"/>
      <c r="F5" s="246"/>
      <c r="G5" s="246"/>
      <c r="H5" s="246"/>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2"/>
      <c r="D6" s="253"/>
      <c r="E6" s="246"/>
      <c r="F6" s="246"/>
      <c r="G6" s="246"/>
      <c r="H6" s="246"/>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7"/>
      <c r="C7" s="248"/>
      <c r="D7" s="249"/>
      <c r="E7" s="249"/>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4" t="str">
        <f>IFERROR(
    IF(ISNUMBER(MATCH(Sheet_PO,#REF!, 0)),
       IF(INDEX(#REF!, MATCH(Sheet_PO,#REF!, 0)) = "", "",
          INDEX(#REF!, MATCH(Sheet_PO,#REF!, 0))),
       ""),
    "No match found")</f>
        <v/>
      </c>
      <c r="D9" s="254"/>
      <c r="E9" s="90" t="s">
        <v>11</v>
      </c>
      <c r="F9" s="255" t="str">
        <f>IF(TRIM(Job_Number)="", "", Job_Number)</f>
        <v/>
      </c>
      <c r="G9" s="255"/>
      <c r="H9" s="255"/>
      <c r="I9" s="256"/>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7" t="s">
        <v>335</v>
      </c>
      <c r="D10" s="257"/>
      <c r="E10" s="90" t="s">
        <v>9</v>
      </c>
      <c r="F10" s="258" t="str">
        <f>IF(TRIM(Job_Name)="", "", Job_Name)</f>
        <v/>
      </c>
      <c r="G10" s="258"/>
      <c r="H10" s="258"/>
      <c r="I10" s="259"/>
      <c r="L10" s="3"/>
      <c r="P10" s="4" t="str" cm="1">
        <f t="array" ref="P10">IF(O10="","",IFERROR(INDEX(Description, MATCH(O10, Line, 0)), "Not Found"))</f>
        <v/>
      </c>
      <c r="W10" s="4" t="b">
        <v>1</v>
      </c>
      <c r="X10" s="4" t="b">
        <v>1</v>
      </c>
      <c r="Y10" s="4" t="b">
        <v>1</v>
      </c>
    </row>
    <row r="11" spans="1:37" s="4" customFormat="1" ht="17">
      <c r="A11" s="86"/>
      <c r="B11" s="124"/>
      <c r="C11" s="257"/>
      <c r="D11" s="257"/>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7"/>
      <c r="D12" s="257"/>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7"/>
      <c r="D13" s="257"/>
      <c r="F13" s="262"/>
      <c r="G13" s="263"/>
      <c r="H13" s="263"/>
      <c r="I13" s="264"/>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5"/>
      <c r="D14" s="265"/>
      <c r="E14" s="90" t="s">
        <v>268</v>
      </c>
      <c r="F14" s="262"/>
      <c r="G14" s="263"/>
      <c r="H14" s="263"/>
      <c r="I14" s="264"/>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6"/>
      <c r="D18" s="266"/>
      <c r="E18" s="266"/>
      <c r="F18" s="266"/>
      <c r="G18" s="266"/>
      <c r="H18" s="266"/>
      <c r="I18" s="267"/>
    </row>
    <row r="19" spans="1:30" s="3" customFormat="1" ht="13" customHeight="1" thickBot="1">
      <c r="A19" s="84"/>
      <c r="B19" s="129"/>
      <c r="C19" s="266"/>
      <c r="D19" s="266"/>
      <c r="E19" s="266"/>
      <c r="F19" s="266"/>
      <c r="G19" s="266"/>
      <c r="H19" s="266"/>
      <c r="I19" s="267"/>
      <c r="T19" s="235" t="s">
        <v>336</v>
      </c>
      <c r="U19" s="235"/>
      <c r="V19" s="235"/>
      <c r="W19" s="235"/>
      <c r="X19" s="235"/>
      <c r="Y19" s="235"/>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8"/>
      <c r="C22" s="269"/>
      <c r="D22" s="270"/>
      <c r="E22" s="270"/>
      <c r="F22" s="270"/>
      <c r="G22" s="270"/>
      <c r="H22" s="270"/>
      <c r="I22" s="271"/>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2" t="s">
        <v>3</v>
      </c>
      <c r="D23" s="273"/>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0" t="s">
        <v>315</v>
      </c>
      <c r="D24" s="261"/>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0"/>
      <c r="D25" s="261"/>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0" t="s">
        <v>329</v>
      </c>
      <c r="D26" s="261"/>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0" t="s">
        <v>315</v>
      </c>
      <c r="D27" s="261"/>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0" t="s">
        <v>339</v>
      </c>
      <c r="D28" s="261"/>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0" t="s">
        <v>315</v>
      </c>
      <c r="D29" s="261"/>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0" t="s">
        <v>315</v>
      </c>
      <c r="D30" s="261"/>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0" t="s">
        <v>315</v>
      </c>
      <c r="D31" s="261"/>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0" t="s">
        <v>315</v>
      </c>
      <c r="D32" s="261"/>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0" t="s">
        <v>315</v>
      </c>
      <c r="D33" s="261"/>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0" t="s">
        <v>315</v>
      </c>
      <c r="D34" s="261"/>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0"/>
      <c r="D35" s="231"/>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4"/>
      <c r="D38" s="274"/>
      <c r="E38" s="99"/>
      <c r="F38" s="98"/>
      <c r="G38" s="148"/>
      <c r="H38" s="95"/>
      <c r="I38" s="139"/>
    </row>
    <row r="39" spans="1:19" s="4" customFormat="1" ht="16" customHeight="1">
      <c r="A39" s="86"/>
      <c r="B39" s="138"/>
      <c r="C39" s="1"/>
      <c r="D39" s="1"/>
      <c r="E39" s="98"/>
      <c r="F39" s="98"/>
      <c r="G39" s="148" t="s">
        <v>263</v>
      </c>
      <c r="H39" s="98" t="s">
        <v>265</v>
      </c>
      <c r="I39" s="140"/>
      <c r="L39" s="232" t="s">
        <v>334</v>
      </c>
      <c r="M39" s="233"/>
      <c r="N39" s="233"/>
      <c r="O39" s="233"/>
      <c r="P39" s="233"/>
      <c r="Q39" s="233"/>
      <c r="R39" s="234"/>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IF('2499-001'!$L41="#A", L20,"")</f>
        <v>204</v>
      </c>
      <c r="N41" s="193" t="str">
        <f t="shared" ref="N41:N49" si="6">Vendor</f>
        <v>Vendor</v>
      </c>
      <c r="O41" s="194" t="str">
        <f>IF('2499-001'!$L41="#A", Sheet_PO,"")</f>
        <v>2499-001</v>
      </c>
      <c r="P41" s="195">
        <f>IF('2499-001'!$L41="#A", L$21,"")</f>
        <v>45849</v>
      </c>
      <c r="Q41" s="194" t="str">
        <f>IF('2499-001'!$L41="#A", L$22,"")</f>
        <v>CC 2456</v>
      </c>
      <c r="R41" s="196">
        <f>IF('2499-001'!$L41="#A", L$36,"")</f>
        <v>800</v>
      </c>
      <c r="S41" s="194" t="str">
        <f>IF('2499-001'!$L41="#A",
      INDEX('Line No'!$B$1:$B$342, MATCH('2499-001'!$M41, 'Line No'!$A$1:$A$342, 0)),
      "")</f>
        <v>Production Supplies</v>
      </c>
    </row>
    <row r="42" spans="1:19" ht="16" customHeight="1">
      <c r="L42" s="205" t="str">
        <f>IF(SUM($M$24:$M$34), "#B", "")</f>
        <v>#B</v>
      </c>
      <c r="M42" s="197">
        <f>IF('2499-001'!$L42="#B", L20,"")</f>
        <v>204</v>
      </c>
      <c r="N42" s="197" t="str">
        <f t="shared" si="6"/>
        <v>Vendor</v>
      </c>
      <c r="O42" s="197" t="str">
        <f>IF('2499-001'!$L42="#B", Sheet_PO,"")</f>
        <v>2499-001</v>
      </c>
      <c r="P42" s="198">
        <f>IF('2499-001'!$L42="#B", M21,"")</f>
        <v>45849</v>
      </c>
      <c r="Q42" s="197" t="str">
        <f>IF('2499-001'!$L42="#B", M22,"")</f>
        <v>CC 2456</v>
      </c>
      <c r="R42" s="199">
        <f>IF('2499-001'!$L42="#B", M36,"")</f>
        <v>50</v>
      </c>
      <c r="S42" s="197" t="str">
        <f>IF('2499-001'!$L42="#B",
      INDEX('Line No'!$B$1:$B$342, MATCH('2499-001'!$M42, 'Line No'!$A$1:$A$342, 0)),
      "")</f>
        <v>Production Supplies</v>
      </c>
    </row>
    <row r="43" spans="1:19" ht="16" customHeight="1">
      <c r="G43" s="111"/>
      <c r="H43" s="111"/>
      <c r="I43" s="111"/>
      <c r="L43" s="206" t="str">
        <f>IF(SUM($N$24:$N$34), "#C", "")</f>
        <v>#C</v>
      </c>
      <c r="M43" s="194">
        <f>IF('2499-001'!$L43="#C", M20,"")</f>
        <v>205</v>
      </c>
      <c r="N43" s="193" t="str">
        <f t="shared" si="6"/>
        <v>Vendor</v>
      </c>
      <c r="O43" s="194" t="str">
        <f>IF('2499-001'!$L43="#C", Sheet_PO,"")</f>
        <v>2499-001</v>
      </c>
      <c r="P43" s="195">
        <f>IF('2499-001'!$L43="#C", N21,"")</f>
        <v>45848</v>
      </c>
      <c r="Q43" s="194" t="str">
        <f>IF('2499-001'!$L43="#C", N22,"")</f>
        <v>CHK 101</v>
      </c>
      <c r="R43" s="196">
        <f>IF('2499-001'!$L43="#C", N36,"")</f>
        <v>1000</v>
      </c>
      <c r="S43" s="194" t="str">
        <f>IF('2499-001'!$L43="#C",
      INDEX('Line No'!$B$1:$B$342, MATCH('2499-001'!$M43, 'Line No'!$A$1:$A$342, 0)),
      "")</f>
        <v>Location Supplies</v>
      </c>
    </row>
    <row r="44" spans="1:19" ht="16" customHeight="1">
      <c r="G44" s="111"/>
      <c r="H44" s="167"/>
      <c r="I44" s="111"/>
      <c r="L44" s="207" t="str">
        <f>IF(SUM($O$24:$O$34), "#D", "")</f>
        <v>#D</v>
      </c>
      <c r="M44" s="197">
        <f>IF('2499-001'!$L44="#D", N20,"")</f>
        <v>112</v>
      </c>
      <c r="N44" s="197" t="str">
        <f t="shared" si="6"/>
        <v>Vendor</v>
      </c>
      <c r="O44" s="197" t="str">
        <f>IF('2499-001'!$L44="#D", Sheet_PO,"")</f>
        <v>2499-001</v>
      </c>
      <c r="P44" s="198">
        <f>IF('2499-001'!$L44="#D", O21,"")</f>
        <v>45849</v>
      </c>
      <c r="Q44" s="197" t="str">
        <f>IF('2499-001'!$L44="#D", O22,"")</f>
        <v>CASH</v>
      </c>
      <c r="R44" s="199">
        <f>IF('2499-001'!$L44="#D", O36,"")</f>
        <v>1000</v>
      </c>
      <c r="S44" s="197" t="str">
        <f>IF('2499-001'!$L44="#D",
      INDEX('Line No'!$B$1:$B$342, MATCH('2499-001'!$M44, 'Line No'!$A$1:$A$342, 0)),
      "")</f>
        <v>Pre Pro Meals</v>
      </c>
    </row>
    <row r="45" spans="1:19" ht="16" customHeight="1">
      <c r="C45" s="181"/>
      <c r="D45" s="181"/>
      <c r="E45" s="181"/>
      <c r="F45" s="181"/>
      <c r="G45" s="112"/>
      <c r="H45" s="112"/>
      <c r="I45" s="113"/>
      <c r="L45" s="206" t="str">
        <f>IF(SUM($P$24:$P$34), "#E", "")</f>
        <v/>
      </c>
      <c r="M45" s="194" t="str">
        <f>IF('2499-001'!$L45="#E", O20,"")</f>
        <v/>
      </c>
      <c r="N45" s="193" t="str">
        <f t="shared" si="6"/>
        <v>Vendor</v>
      </c>
      <c r="O45" s="194" t="str">
        <f>IF('2499-001'!$L45="#E", Sheet_PO,"")</f>
        <v/>
      </c>
      <c r="P45" s="195" t="str">
        <f>IF('2499-001'!$L45="#E", P21,"")</f>
        <v/>
      </c>
      <c r="Q45" s="194" t="str">
        <f>IF('2499-001'!$L45="#E", P22,"")</f>
        <v/>
      </c>
      <c r="R45" s="196" t="str">
        <f>IF('2499-001'!$L45="#E", P36,"")</f>
        <v/>
      </c>
      <c r="S45" s="194" t="str">
        <f>IF('2499-001'!$L45="#E",
      INDEX('Line No'!$B$1:$B$342, MATCH('2499-001'!$M45, 'Line No'!$A$1:$A$342, 0)),
      "")</f>
        <v/>
      </c>
    </row>
    <row r="46" spans="1:19" ht="16" customHeight="1">
      <c r="L46" s="207" t="str">
        <f>IF(SUM($Q$24:$Q$34), "#F", "")</f>
        <v/>
      </c>
      <c r="M46" s="197" t="str">
        <f>IF('2499-001'!$L46="#F", P20,"")</f>
        <v/>
      </c>
      <c r="N46" s="197" t="str">
        <f t="shared" si="6"/>
        <v>Vendor</v>
      </c>
      <c r="O46" s="197" t="str">
        <f>IF('2499-001'!$L46="#F", Sheet_PO,"")</f>
        <v/>
      </c>
      <c r="P46" s="198" t="str">
        <f>IF('2499-001'!$L46="#F", Q21,"")</f>
        <v/>
      </c>
      <c r="Q46" s="197" t="str">
        <f>IF('2499-001'!$L46="#F", Q22,"")</f>
        <v/>
      </c>
      <c r="R46" s="199" t="str">
        <f>IF('2499-001'!$L46="#F", Q36,"")</f>
        <v/>
      </c>
      <c r="S46" s="197" t="str">
        <f>IF('2499-001'!$L46="#F",
      INDEX('Line No'!$B$1:$B$342, MATCH('2499-001'!$M46, 'Line No'!$A$1:$A$342, 0)),
      "")</f>
        <v/>
      </c>
    </row>
    <row r="47" spans="1:19" ht="16" customHeight="1">
      <c r="L47" s="206" t="str">
        <f>IF(SUM($R$24:$R$34), "#G", "")</f>
        <v/>
      </c>
      <c r="M47" s="194" t="str">
        <f>IF('2499-001'!$L47="#G", Q20,"")</f>
        <v/>
      </c>
      <c r="N47" s="193" t="str">
        <f t="shared" si="6"/>
        <v>Vendor</v>
      </c>
      <c r="O47" s="194" t="str">
        <f>IF('2499-001'!$L47="#G", Sheet_PO,"")</f>
        <v/>
      </c>
      <c r="P47" s="200" t="str">
        <f>IF('2499-001'!$L47="#G", R21,"")</f>
        <v/>
      </c>
      <c r="Q47" s="201" t="str">
        <f>IF('2499-001'!$L47="#G", R22,"")</f>
        <v/>
      </c>
      <c r="R47" s="196" t="str">
        <f>IF('2499-001'!$L47="#G", R36,"")</f>
        <v/>
      </c>
      <c r="S47" s="194" t="str">
        <f>IF('2499-001'!$L47="#G",
      INDEX('Line No'!$B$1:$B$342, MATCH('2499-001'!$M47, 'Line No'!$A$1:$A$342, 0)),
      "")</f>
        <v/>
      </c>
    </row>
    <row r="48" spans="1:19" ht="16" customHeight="1">
      <c r="L48" s="207" t="str">
        <f>IF(SUM($S$24:$S$34), "#H", "")</f>
        <v/>
      </c>
      <c r="M48" s="197" t="str">
        <f>IF('2499-001'!$L48="#H", R20,"")</f>
        <v/>
      </c>
      <c r="N48" s="197" t="str">
        <f t="shared" si="6"/>
        <v>Vendor</v>
      </c>
      <c r="O48" s="197" t="str">
        <f>IF('2499-001'!$L48="#H", Sheet_PO,"")</f>
        <v/>
      </c>
      <c r="P48" s="202" t="str">
        <f>IF('2499-001'!$L48="#H", T21,"")</f>
        <v/>
      </c>
      <c r="Q48" s="203" t="str">
        <f>IF('2499-001'!$L48="#H", T22,"")</f>
        <v/>
      </c>
      <c r="R48" s="199" t="str">
        <f>IF('2499-001'!$L48="#H", T36,"")</f>
        <v/>
      </c>
      <c r="S48" s="197" t="str">
        <f>IF('2499-001'!$L48="#H",
      INDEX('Line No'!$B$1:$B$342, MATCH('2499-001'!$M48, 'Line No'!$A$1:$A$342, 0)),
      "")</f>
        <v/>
      </c>
    </row>
    <row r="49" spans="11:19" ht="16" customHeight="1">
      <c r="K49" s="1" cm="1">
        <f t="array" ref="K49">SUMPRODUCT(--(L41:L49&lt;&gt;""))</f>
        <v>4</v>
      </c>
      <c r="L49" s="206" t="str">
        <f>IF(SUM($T$24:$T$34), "#OTHER", "")</f>
        <v/>
      </c>
      <c r="M49" s="194" t="str">
        <f>IF('2499-001'!$L49="#I", T20,"")</f>
        <v/>
      </c>
      <c r="N49" s="193" t="str">
        <f t="shared" si="6"/>
        <v>Vendor</v>
      </c>
      <c r="O49" s="194" t="str">
        <f>IF('2499-001'!$L49="#I", Sheet_PO,"")</f>
        <v/>
      </c>
      <c r="P49" s="200" t="str">
        <f>IF('2499-001'!$L49="#I", U21,"")</f>
        <v/>
      </c>
      <c r="Q49" s="201" t="str">
        <f>IF('2499-001'!$L49="#I", U22,"")</f>
        <v/>
      </c>
      <c r="R49" s="196" t="str">
        <f>IF('2499-001'!$L49="#I", U36,"")</f>
        <v/>
      </c>
      <c r="S49" s="194" t="str">
        <f>IF('2499-001'!$L49="#I",
      INDEX('Line No'!$B$1:$B$342, MATCH('2499-001'!$M49,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39"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35D66-B8DD-D843-B909-964F01F4B97C}">
  <sheetPr codeName="Sheet8">
    <pageSetUpPr fitToPage="1"/>
  </sheetPr>
  <dimension ref="A1:AK50"/>
  <sheetViews>
    <sheetView topLeftCell="A26" workbookViewId="0">
      <selection activeCell="M45" sqref="M45"/>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7"/>
      <c r="H1" s="237"/>
      <c r="I1" s="238"/>
      <c r="X1" s="160" t="s">
        <v>324</v>
      </c>
    </row>
    <row r="2" spans="1:37" ht="12.75" customHeight="1">
      <c r="A2" s="80"/>
      <c r="B2" s="239"/>
      <c r="C2" s="240"/>
      <c r="D2" s="241"/>
      <c r="E2" s="241"/>
      <c r="F2" s="241"/>
      <c r="G2" s="241"/>
      <c r="I2" s="114"/>
      <c r="S2" s="160" t="s">
        <v>326</v>
      </c>
      <c r="X2" s="1" t="s">
        <v>325</v>
      </c>
    </row>
    <row r="3" spans="1:37" ht="22">
      <c r="A3" s="80"/>
      <c r="B3" s="115" t="s">
        <v>14</v>
      </c>
      <c r="C3" s="81"/>
      <c r="D3" s="82"/>
      <c r="E3" s="82"/>
      <c r="F3" s="83" t="s">
        <v>13</v>
      </c>
      <c r="G3" s="242" t="s">
        <v>309</v>
      </c>
      <c r="H3" s="242"/>
      <c r="I3" s="243"/>
      <c r="J3" s="236"/>
      <c r="K3" s="236"/>
      <c r="L3" s="236"/>
      <c r="M3" s="153" t="s">
        <v>311</v>
      </c>
      <c r="N3" s="155" t="s">
        <v>312</v>
      </c>
      <c r="O3" s="155" t="s">
        <v>313</v>
      </c>
      <c r="P3" s="155" t="s">
        <v>314</v>
      </c>
      <c r="S3" s="153" t="s">
        <v>322</v>
      </c>
      <c r="AB3" s="1" t="s">
        <v>327</v>
      </c>
    </row>
    <row r="4" spans="1:37" s="3" customFormat="1" ht="29" customHeight="1">
      <c r="A4" s="84"/>
      <c r="B4" s="244"/>
      <c r="C4" s="245"/>
      <c r="D4" s="245"/>
      <c r="E4" s="245"/>
      <c r="F4" s="245"/>
      <c r="G4" s="245"/>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0"/>
      <c r="D5" s="251"/>
      <c r="E5" s="246"/>
      <c r="F5" s="246"/>
      <c r="G5" s="246"/>
      <c r="H5" s="246"/>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2"/>
      <c r="D6" s="253"/>
      <c r="E6" s="246"/>
      <c r="F6" s="246"/>
      <c r="G6" s="246"/>
      <c r="H6" s="246"/>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7"/>
      <c r="C7" s="248"/>
      <c r="D7" s="249"/>
      <c r="E7" s="249"/>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4" t="str">
        <f>IFERROR(
    IF(ISNUMBER(MATCH(Sheet_PO,#REF!, 0)),
       IF(INDEX(#REF!, MATCH(Sheet_PO,#REF!, 0)) = "", "",
          INDEX(#REF!, MATCH(Sheet_PO,#REF!, 0))),
       ""),
    "No match found")</f>
        <v/>
      </c>
      <c r="D9" s="254"/>
      <c r="E9" s="90" t="s">
        <v>11</v>
      </c>
      <c r="F9" s="255" t="str">
        <f>IF(TRIM(Job_Number)="", "", Job_Number)</f>
        <v/>
      </c>
      <c r="G9" s="255"/>
      <c r="H9" s="255"/>
      <c r="I9" s="256"/>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7" t="s">
        <v>335</v>
      </c>
      <c r="D10" s="257"/>
      <c r="E10" s="90" t="s">
        <v>9</v>
      </c>
      <c r="F10" s="258" t="str">
        <f>IF(TRIM(Job_Name)="", "", Job_Name)</f>
        <v/>
      </c>
      <c r="G10" s="258"/>
      <c r="H10" s="258"/>
      <c r="I10" s="259"/>
      <c r="L10" s="3"/>
      <c r="P10" s="4" t="str" cm="1">
        <f t="array" ref="P10">IF(O10="","",IFERROR(INDEX(Description, MATCH(O10, Line, 0)), "Not Found"))</f>
        <v/>
      </c>
      <c r="W10" s="4" t="b">
        <v>1</v>
      </c>
      <c r="X10" s="4" t="b">
        <v>1</v>
      </c>
      <c r="Y10" s="4" t="b">
        <v>1</v>
      </c>
    </row>
    <row r="11" spans="1:37" s="4" customFormat="1" ht="17">
      <c r="A11" s="86"/>
      <c r="B11" s="124"/>
      <c r="C11" s="257"/>
      <c r="D11" s="257"/>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7"/>
      <c r="D12" s="257"/>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7"/>
      <c r="D13" s="257"/>
      <c r="F13" s="262"/>
      <c r="G13" s="263"/>
      <c r="H13" s="263"/>
      <c r="I13" s="264"/>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5"/>
      <c r="D14" s="265"/>
      <c r="E14" s="90" t="s">
        <v>268</v>
      </c>
      <c r="F14" s="262"/>
      <c r="G14" s="263"/>
      <c r="H14" s="263"/>
      <c r="I14" s="264"/>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6"/>
      <c r="D18" s="266"/>
      <c r="E18" s="266"/>
      <c r="F18" s="266"/>
      <c r="G18" s="266"/>
      <c r="H18" s="266"/>
      <c r="I18" s="267"/>
    </row>
    <row r="19" spans="1:30" s="3" customFormat="1" ht="13" customHeight="1" thickBot="1">
      <c r="A19" s="84"/>
      <c r="B19" s="129"/>
      <c r="C19" s="266"/>
      <c r="D19" s="266"/>
      <c r="E19" s="266"/>
      <c r="F19" s="266"/>
      <c r="G19" s="266"/>
      <c r="H19" s="266"/>
      <c r="I19" s="267"/>
      <c r="T19" s="235" t="s">
        <v>336</v>
      </c>
      <c r="U19" s="235"/>
      <c r="V19" s="235"/>
      <c r="W19" s="235"/>
      <c r="X19" s="235"/>
      <c r="Y19" s="235"/>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8"/>
      <c r="C22" s="269"/>
      <c r="D22" s="270"/>
      <c r="E22" s="270"/>
      <c r="F22" s="270"/>
      <c r="G22" s="270"/>
      <c r="H22" s="270"/>
      <c r="I22" s="271"/>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2" t="s">
        <v>3</v>
      </c>
      <c r="D23" s="273"/>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0" t="s">
        <v>315</v>
      </c>
      <c r="D24" s="261"/>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0"/>
      <c r="D25" s="261"/>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0" t="s">
        <v>329</v>
      </c>
      <c r="D26" s="261"/>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0" t="s">
        <v>315</v>
      </c>
      <c r="D27" s="261"/>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0" t="s">
        <v>339</v>
      </c>
      <c r="D28" s="261"/>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0" t="s">
        <v>315</v>
      </c>
      <c r="D29" s="261"/>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0" t="s">
        <v>315</v>
      </c>
      <c r="D30" s="261"/>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0" t="s">
        <v>315</v>
      </c>
      <c r="D31" s="261"/>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0" t="s">
        <v>315</v>
      </c>
      <c r="D32" s="261"/>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0" t="s">
        <v>315</v>
      </c>
      <c r="D33" s="261"/>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0" t="s">
        <v>315</v>
      </c>
      <c r="D34" s="261"/>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0"/>
      <c r="D35" s="231"/>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4"/>
      <c r="D38" s="274"/>
      <c r="E38" s="99"/>
      <c r="F38" s="98"/>
      <c r="G38" s="148"/>
      <c r="H38" s="95"/>
      <c r="I38" s="139"/>
    </row>
    <row r="39" spans="1:19" s="4" customFormat="1" ht="16" customHeight="1">
      <c r="A39" s="86"/>
      <c r="B39" s="138"/>
      <c r="C39" s="1"/>
      <c r="D39" s="1"/>
      <c r="E39" s="98"/>
      <c r="F39" s="98"/>
      <c r="G39" s="148" t="s">
        <v>263</v>
      </c>
      <c r="H39" s="98" t="s">
        <v>265</v>
      </c>
      <c r="I39" s="140"/>
      <c r="L39" s="232" t="s">
        <v>334</v>
      </c>
      <c r="M39" s="233"/>
      <c r="N39" s="233"/>
      <c r="O39" s="233"/>
      <c r="P39" s="233"/>
      <c r="Q39" s="233"/>
      <c r="R39" s="234"/>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IF('2499-002'!$L41="#A", L20,"")</f>
        <v>204</v>
      </c>
      <c r="N41" s="193" t="str">
        <f t="shared" ref="N41:N49" si="6">Vendor</f>
        <v>Vendor</v>
      </c>
      <c r="O41" s="194" t="str">
        <f>IF('2499-002'!$L41="#A", Sheet_PO,"")</f>
        <v>2499-002</v>
      </c>
      <c r="P41" s="195">
        <f>IF('2499-002'!$L41="#A", L$21,"")</f>
        <v>45849</v>
      </c>
      <c r="Q41" s="194" t="str">
        <f>IF('2499-002'!$L41="#A", L$22,"")</f>
        <v>CC 2456</v>
      </c>
      <c r="R41" s="196">
        <f>IF('2499-002'!$L41="#A", L$36,"")</f>
        <v>800</v>
      </c>
      <c r="S41" s="194" t="str">
        <f>IF('2499-002'!$L41="#A",
      INDEX('Line No'!$B$1:$B$342, MATCH('2499-002'!$M41, 'Line No'!$A$1:$A$342, 0)),
      "")</f>
        <v>Production Supplies</v>
      </c>
    </row>
    <row r="42" spans="1:19" ht="16" customHeight="1">
      <c r="L42" s="205" t="str">
        <f>IF(SUM($M$24:$M$34), "#B", "")</f>
        <v>#B</v>
      </c>
      <c r="M42" s="197">
        <f>IF('2499-002'!$L42="#B", L20,"")</f>
        <v>204</v>
      </c>
      <c r="N42" s="197" t="str">
        <f t="shared" si="6"/>
        <v>Vendor</v>
      </c>
      <c r="O42" s="197" t="str">
        <f>IF('2499-002'!$L42="#B", Sheet_PO,"")</f>
        <v>2499-002</v>
      </c>
      <c r="P42" s="198">
        <f>IF('2499-002'!$L42="#B", M21,"")</f>
        <v>45849</v>
      </c>
      <c r="Q42" s="197" t="str">
        <f>IF('2499-002'!$L42="#B", M22,"")</f>
        <v>CC 2456</v>
      </c>
      <c r="R42" s="199">
        <f>IF('2499-002'!$L42="#B", M36,"")</f>
        <v>50</v>
      </c>
      <c r="S42" s="197" t="str">
        <f>IF('2499-002'!$L42="#B",
      INDEX('Line No'!$B$1:$B$342, MATCH('2499-002'!$M42, 'Line No'!$A$1:$A$342, 0)),
      "")</f>
        <v>Production Supplies</v>
      </c>
    </row>
    <row r="43" spans="1:19" ht="16" customHeight="1">
      <c r="G43" s="111"/>
      <c r="H43" s="111"/>
      <c r="I43" s="111"/>
      <c r="L43" s="206" t="str">
        <f>IF(SUM($N$24:$N$34), "#C", "")</f>
        <v>#C</v>
      </c>
      <c r="M43" s="194">
        <f>IF('2499-002'!$L43="#C", M20,"")</f>
        <v>205</v>
      </c>
      <c r="N43" s="193" t="str">
        <f t="shared" si="6"/>
        <v>Vendor</v>
      </c>
      <c r="O43" s="194" t="str">
        <f>IF('2499-002'!$L43="#C", Sheet_PO,"")</f>
        <v>2499-002</v>
      </c>
      <c r="P43" s="195">
        <f>IF('2499-002'!$L43="#C", N21,"")</f>
        <v>45848</v>
      </c>
      <c r="Q43" s="194" t="str">
        <f>IF('2499-002'!$L43="#C", N22,"")</f>
        <v>CHK 101</v>
      </c>
      <c r="R43" s="196">
        <f>IF('2499-002'!$L43="#C", N36,"")</f>
        <v>1000</v>
      </c>
      <c r="S43" s="194" t="str">
        <f>IF('2499-002'!$L43="#C",
      INDEX('Line No'!$B$1:$B$342, MATCH('2499-002'!$M43, 'Line No'!$A$1:$A$342, 0)),
      "")</f>
        <v>Location Supplies</v>
      </c>
    </row>
    <row r="44" spans="1:19" ht="16" customHeight="1">
      <c r="G44" s="111"/>
      <c r="H44" s="167"/>
      <c r="I44" s="111"/>
      <c r="L44" s="207" t="str">
        <f>IF(SUM($O$24:$O$34), "#D", "")</f>
        <v>#D</v>
      </c>
      <c r="M44" s="197">
        <f>IF('2499-002'!$L44="#D", N20,"")</f>
        <v>112</v>
      </c>
      <c r="N44" s="197" t="str">
        <f t="shared" si="6"/>
        <v>Vendor</v>
      </c>
      <c r="O44" s="197" t="str">
        <f>IF('2499-002'!$L44="#D", Sheet_PO,"")</f>
        <v>2499-002</v>
      </c>
      <c r="P44" s="198">
        <f>IF('2499-002'!$L44="#D", O21,"")</f>
        <v>45849</v>
      </c>
      <c r="Q44" s="197" t="str">
        <f>IF('2499-002'!$L44="#D", O22,"")</f>
        <v>CASH</v>
      </c>
      <c r="R44" s="199">
        <f>IF('2499-002'!$L44="#D", O36,"")</f>
        <v>1000</v>
      </c>
      <c r="S44" s="197" t="str">
        <f>IF('2499-002'!$L44="#D",
      INDEX('Line No'!$B$1:$B$342, MATCH('2499-002'!$M44, 'Line No'!$A$1:$A$342, 0)),
      "")</f>
        <v>Pre Pro Meals</v>
      </c>
    </row>
    <row r="45" spans="1:19" ht="16" customHeight="1">
      <c r="C45" s="181"/>
      <c r="D45" s="181"/>
      <c r="E45" s="181"/>
      <c r="F45" s="181"/>
      <c r="G45" s="112"/>
      <c r="H45" s="112"/>
      <c r="I45" s="113"/>
      <c r="L45" s="206" t="str">
        <f>IF(SUM($P$24:$P$34), "#E", "")</f>
        <v/>
      </c>
      <c r="M45" s="194" t="str">
        <f>IF('2499-002'!$L45="#E", O20,"")</f>
        <v/>
      </c>
      <c r="N45" s="193" t="str">
        <f t="shared" si="6"/>
        <v>Vendor</v>
      </c>
      <c r="O45" s="194" t="str">
        <f>IF('2499-002'!$L45="#E", Sheet_PO,"")</f>
        <v/>
      </c>
      <c r="P45" s="195" t="str">
        <f>IF('2499-002'!$L45="#E", P21,"")</f>
        <v/>
      </c>
      <c r="Q45" s="194" t="str">
        <f>IF('2499-002'!$L45="#E", P22,"")</f>
        <v/>
      </c>
      <c r="R45" s="196" t="str">
        <f>IF('2499-002'!$L45="#E", P36,"")</f>
        <v/>
      </c>
      <c r="S45" s="194" t="str">
        <f>IF('2499-002'!$L45="#E",
      INDEX('Line No'!$B$1:$B$342, MATCH('2499-002'!$M45, 'Line No'!$A$1:$A$342, 0)),
      "")</f>
        <v/>
      </c>
    </row>
    <row r="46" spans="1:19" ht="16" customHeight="1">
      <c r="L46" s="207" t="str">
        <f>IF(SUM($Q$24:$Q$34), "#F", "")</f>
        <v/>
      </c>
      <c r="M46" s="197" t="str">
        <f>IF('2499-002'!$L46="#F", P20,"")</f>
        <v/>
      </c>
      <c r="N46" s="197" t="str">
        <f t="shared" si="6"/>
        <v>Vendor</v>
      </c>
      <c r="O46" s="197" t="str">
        <f>IF('2499-002'!$L46="#F", Sheet_PO,"")</f>
        <v/>
      </c>
      <c r="P46" s="198" t="str">
        <f>IF('2499-002'!$L46="#F", Q21,"")</f>
        <v/>
      </c>
      <c r="Q46" s="197" t="str">
        <f>IF('2499-002'!$L46="#F", Q22,"")</f>
        <v/>
      </c>
      <c r="R46" s="199" t="str">
        <f>IF('2499-002'!$L46="#F", Q36,"")</f>
        <v/>
      </c>
      <c r="S46" s="197" t="str">
        <f>IF('2499-002'!$L46="#F",
      INDEX('Line No'!$B$1:$B$342, MATCH('2499-002'!$M46, 'Line No'!$A$1:$A$342, 0)),
      "")</f>
        <v/>
      </c>
    </row>
    <row r="47" spans="1:19" ht="16" customHeight="1">
      <c r="L47" s="206" t="str">
        <f>IF(SUM($R$24:$R$34), "#G", "")</f>
        <v/>
      </c>
      <c r="M47" s="194" t="str">
        <f>IF('2499-002'!$L47="#G", Q20,"")</f>
        <v/>
      </c>
      <c r="N47" s="193" t="str">
        <f t="shared" si="6"/>
        <v>Vendor</v>
      </c>
      <c r="O47" s="194" t="str">
        <f>IF('2499-002'!$L47="#G", Sheet_PO,"")</f>
        <v/>
      </c>
      <c r="P47" s="200" t="str">
        <f>IF('2499-002'!$L47="#G", R21,"")</f>
        <v/>
      </c>
      <c r="Q47" s="201" t="str">
        <f>IF('2499-002'!$L47="#G", R22,"")</f>
        <v/>
      </c>
      <c r="R47" s="196" t="str">
        <f>IF('2499-002'!$L47="#G", R36,"")</f>
        <v/>
      </c>
      <c r="S47" s="194" t="str">
        <f>IF('2499-002'!$L47="#G",
      INDEX('Line No'!$B$1:$B$342, MATCH('2499-002'!$M47, 'Line No'!$A$1:$A$342, 0)),
      "")</f>
        <v/>
      </c>
    </row>
    <row r="48" spans="1:19" ht="16" customHeight="1">
      <c r="L48" s="207" t="str">
        <f>IF(SUM($S$24:$S$34), "#H", "")</f>
        <v/>
      </c>
      <c r="M48" s="197" t="str">
        <f>IF('2499-002'!$L48="#H", R20,"")</f>
        <v/>
      </c>
      <c r="N48" s="197" t="str">
        <f t="shared" si="6"/>
        <v>Vendor</v>
      </c>
      <c r="O48" s="197" t="str">
        <f>IF('2499-002'!$L48="#H", Sheet_PO,"")</f>
        <v/>
      </c>
      <c r="P48" s="202" t="str">
        <f>IF('2499-002'!$L48="#H", T21,"")</f>
        <v/>
      </c>
      <c r="Q48" s="203" t="str">
        <f>IF('2499-002'!$L48="#H", T22,"")</f>
        <v/>
      </c>
      <c r="R48" s="199" t="str">
        <f>IF('2499-002'!$L48="#H", T36,"")</f>
        <v/>
      </c>
      <c r="S48" s="197" t="str">
        <f>IF('2499-002'!$L48="#H",
      INDEX('Line No'!$B$1:$B$342, MATCH('2499-002'!$M48, 'Line No'!$A$1:$A$342, 0)),
      "")</f>
        <v/>
      </c>
    </row>
    <row r="49" spans="11:19" ht="16" customHeight="1">
      <c r="K49" s="1" cm="1">
        <f t="array" ref="K49">SUMPRODUCT(--(L41:L49&lt;&gt;""))</f>
        <v>4</v>
      </c>
      <c r="L49" s="206" t="str">
        <f>IF(SUM($T$24:$T$34), "#OTHER", "")</f>
        <v/>
      </c>
      <c r="M49" s="194" t="str">
        <f>IF('2499-002'!$L49="#I", T20,"")</f>
        <v/>
      </c>
      <c r="N49" s="193" t="str">
        <f t="shared" si="6"/>
        <v>Vendor</v>
      </c>
      <c r="O49" s="194" t="str">
        <f>IF('2499-002'!$L49="#I", Sheet_PO,"")</f>
        <v/>
      </c>
      <c r="P49" s="200" t="str">
        <f>IF('2499-002'!$L49="#I", U21,"")</f>
        <v/>
      </c>
      <c r="Q49" s="201" t="str">
        <f>IF('2499-002'!$L49="#I", U22,"")</f>
        <v/>
      </c>
      <c r="R49" s="196" t="str">
        <f>IF('2499-002'!$L49="#I", U36,"")</f>
        <v/>
      </c>
      <c r="S49" s="194" t="str">
        <f>IF('2499-002'!$L49="#I",
      INDEX('Line No'!$B$1:$B$342, MATCH('2499-002'!$M49,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31"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0DD05-889B-414B-8330-A93574F77A36}">
  <sheetPr codeName="Sheet9">
    <pageSetUpPr fitToPage="1"/>
  </sheetPr>
  <dimension ref="A1:AK50"/>
  <sheetViews>
    <sheetView topLeftCell="A26" workbookViewId="0">
      <selection activeCell="N49" sqref="N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7"/>
      <c r="H1" s="237"/>
      <c r="I1" s="238"/>
      <c r="X1" s="160" t="s">
        <v>324</v>
      </c>
    </row>
    <row r="2" spans="1:37" ht="12.75" customHeight="1">
      <c r="A2" s="80"/>
      <c r="B2" s="239"/>
      <c r="C2" s="240"/>
      <c r="D2" s="241"/>
      <c r="E2" s="241"/>
      <c r="F2" s="241"/>
      <c r="G2" s="241"/>
      <c r="I2" s="114"/>
      <c r="S2" s="160" t="s">
        <v>326</v>
      </c>
      <c r="X2" s="1" t="s">
        <v>325</v>
      </c>
    </row>
    <row r="3" spans="1:37" ht="22">
      <c r="A3" s="80"/>
      <c r="B3" s="115" t="s">
        <v>14</v>
      </c>
      <c r="C3" s="81"/>
      <c r="D3" s="82"/>
      <c r="E3" s="82"/>
      <c r="F3" s="83" t="s">
        <v>13</v>
      </c>
      <c r="G3" s="242" t="s">
        <v>308</v>
      </c>
      <c r="H3" s="242"/>
      <c r="I3" s="243"/>
      <c r="J3" s="236"/>
      <c r="K3" s="236"/>
      <c r="L3" s="236"/>
      <c r="M3" s="153" t="s">
        <v>311</v>
      </c>
      <c r="N3" s="155" t="s">
        <v>312</v>
      </c>
      <c r="O3" s="155" t="s">
        <v>313</v>
      </c>
      <c r="P3" s="155" t="s">
        <v>314</v>
      </c>
      <c r="S3" s="153" t="s">
        <v>322</v>
      </c>
      <c r="AB3" s="1" t="s">
        <v>327</v>
      </c>
    </row>
    <row r="4" spans="1:37" s="3" customFormat="1" ht="29" customHeight="1">
      <c r="A4" s="84"/>
      <c r="B4" s="244"/>
      <c r="C4" s="245"/>
      <c r="D4" s="245"/>
      <c r="E4" s="245"/>
      <c r="F4" s="245"/>
      <c r="G4" s="245"/>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0"/>
      <c r="D5" s="251"/>
      <c r="E5" s="246"/>
      <c r="F5" s="246"/>
      <c r="G5" s="246"/>
      <c r="H5" s="246"/>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2"/>
      <c r="D6" s="253"/>
      <c r="E6" s="246"/>
      <c r="F6" s="246"/>
      <c r="G6" s="246"/>
      <c r="H6" s="246"/>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7"/>
      <c r="C7" s="248"/>
      <c r="D7" s="249"/>
      <c r="E7" s="249"/>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4" t="str">
        <f>IFERROR(
    IF(ISNUMBER(MATCH(Sheet_PO,#REF!, 0)),
       IF(INDEX(#REF!, MATCH(Sheet_PO,#REF!, 0)) = "", "",
          INDEX(#REF!, MATCH(Sheet_PO,#REF!, 0))),
       ""),
    "No match found")</f>
        <v/>
      </c>
      <c r="D9" s="254"/>
      <c r="E9" s="90" t="s">
        <v>11</v>
      </c>
      <c r="F9" s="255" t="str">
        <f>IF(TRIM(Job_Number)="", "", Job_Number)</f>
        <v/>
      </c>
      <c r="G9" s="255"/>
      <c r="H9" s="255"/>
      <c r="I9" s="256"/>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7" t="s">
        <v>335</v>
      </c>
      <c r="D10" s="257"/>
      <c r="E10" s="90" t="s">
        <v>9</v>
      </c>
      <c r="F10" s="258" t="str">
        <f>IF(TRIM(Job_Name)="", "", Job_Name)</f>
        <v/>
      </c>
      <c r="G10" s="258"/>
      <c r="H10" s="258"/>
      <c r="I10" s="259"/>
      <c r="L10" s="3"/>
      <c r="P10" s="4" t="str" cm="1">
        <f t="array" ref="P10">IF(O10="","",IFERROR(INDEX(Description, MATCH(O10, Line, 0)), "Not Found"))</f>
        <v/>
      </c>
      <c r="W10" s="4" t="b">
        <v>1</v>
      </c>
      <c r="X10" s="4" t="b">
        <v>1</v>
      </c>
      <c r="Y10" s="4" t="b">
        <v>1</v>
      </c>
    </row>
    <row r="11" spans="1:37" s="4" customFormat="1" ht="17">
      <c r="A11" s="86"/>
      <c r="B11" s="124"/>
      <c r="C11" s="257"/>
      <c r="D11" s="257"/>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7"/>
      <c r="D12" s="257"/>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7"/>
      <c r="D13" s="257"/>
      <c r="F13" s="262"/>
      <c r="G13" s="263"/>
      <c r="H13" s="263"/>
      <c r="I13" s="264"/>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5"/>
      <c r="D14" s="265"/>
      <c r="E14" s="90" t="s">
        <v>268</v>
      </c>
      <c r="F14" s="262"/>
      <c r="G14" s="263"/>
      <c r="H14" s="263"/>
      <c r="I14" s="264"/>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6"/>
      <c r="D18" s="266"/>
      <c r="E18" s="266"/>
      <c r="F18" s="266"/>
      <c r="G18" s="266"/>
      <c r="H18" s="266"/>
      <c r="I18" s="267"/>
    </row>
    <row r="19" spans="1:30" s="3" customFormat="1" ht="13" customHeight="1" thickBot="1">
      <c r="A19" s="84"/>
      <c r="B19" s="129"/>
      <c r="C19" s="266"/>
      <c r="D19" s="266"/>
      <c r="E19" s="266"/>
      <c r="F19" s="266"/>
      <c r="G19" s="266"/>
      <c r="H19" s="266"/>
      <c r="I19" s="267"/>
      <c r="T19" s="235" t="s">
        <v>336</v>
      </c>
      <c r="U19" s="235"/>
      <c r="V19" s="235"/>
      <c r="W19" s="235"/>
      <c r="X19" s="235"/>
      <c r="Y19" s="235"/>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8"/>
      <c r="C22" s="269"/>
      <c r="D22" s="270"/>
      <c r="E22" s="270"/>
      <c r="F22" s="270"/>
      <c r="G22" s="270"/>
      <c r="H22" s="270"/>
      <c r="I22" s="271"/>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2" t="s">
        <v>3</v>
      </c>
      <c r="D23" s="273"/>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0" t="s">
        <v>315</v>
      </c>
      <c r="D24" s="261"/>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0"/>
      <c r="D25" s="261"/>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0" t="s">
        <v>329</v>
      </c>
      <c r="D26" s="261"/>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0" t="s">
        <v>315</v>
      </c>
      <c r="D27" s="261"/>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0" t="s">
        <v>339</v>
      </c>
      <c r="D28" s="261"/>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0" t="s">
        <v>315</v>
      </c>
      <c r="D29" s="261"/>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0" t="s">
        <v>315</v>
      </c>
      <c r="D30" s="261"/>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0" t="s">
        <v>315</v>
      </c>
      <c r="D31" s="261"/>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0" t="s">
        <v>315</v>
      </c>
      <c r="D32" s="261"/>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0" t="s">
        <v>315</v>
      </c>
      <c r="D33" s="261"/>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0" t="s">
        <v>315</v>
      </c>
      <c r="D34" s="261"/>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0"/>
      <c r="D35" s="231"/>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4"/>
      <c r="D38" s="274"/>
      <c r="E38" s="99"/>
      <c r="F38" s="98"/>
      <c r="G38" s="148"/>
      <c r="H38" s="95"/>
      <c r="I38" s="139"/>
    </row>
    <row r="39" spans="1:19" s="4" customFormat="1" ht="16" customHeight="1">
      <c r="A39" s="86"/>
      <c r="B39" s="138"/>
      <c r="C39" s="1"/>
      <c r="D39" s="1"/>
      <c r="E39" s="98"/>
      <c r="F39" s="98"/>
      <c r="G39" s="148" t="s">
        <v>263</v>
      </c>
      <c r="H39" s="98" t="s">
        <v>265</v>
      </c>
      <c r="I39" s="140"/>
      <c r="L39" s="232" t="s">
        <v>334</v>
      </c>
      <c r="M39" s="233"/>
      <c r="N39" s="233"/>
      <c r="O39" s="233"/>
      <c r="P39" s="233"/>
      <c r="Q39" s="233"/>
      <c r="R39" s="234"/>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IF('2499-003'!$L41="#A", L20,"")</f>
        <v>204</v>
      </c>
      <c r="N41" s="193" t="str">
        <f t="shared" ref="N41:N49" si="6">Vendor</f>
        <v>Vendor</v>
      </c>
      <c r="O41" s="194" t="str">
        <f>IF('2499-003'!$L41="#A", Sheet_PO,"")</f>
        <v>2499-003</v>
      </c>
      <c r="P41" s="195">
        <f>IF('2499-003'!$L41="#A", L$21,"")</f>
        <v>45849</v>
      </c>
      <c r="Q41" s="194" t="str">
        <f>IF('2499-003'!$L41="#A", L$22,"")</f>
        <v>CC 2456</v>
      </c>
      <c r="R41" s="196">
        <f>IF('2499-003'!$L41="#A", L$36,"")</f>
        <v>800</v>
      </c>
      <c r="S41" s="194" t="str">
        <f>IF('2499-003'!$L41="#A",
      INDEX('Line No'!$B$1:$B$342, MATCH('2499-003'!$M41, 'Line No'!$A$1:$A$342, 0)),
      "")</f>
        <v>Production Supplies</v>
      </c>
    </row>
    <row r="42" spans="1:19" ht="16" customHeight="1">
      <c r="L42" s="205" t="str">
        <f>IF(SUM($M$24:$M$34), "#B", "")</f>
        <v>#B</v>
      </c>
      <c r="M42" s="197">
        <f>IF('2499-003'!$L42="#B", L20,"")</f>
        <v>204</v>
      </c>
      <c r="N42" s="197" t="str">
        <f t="shared" si="6"/>
        <v>Vendor</v>
      </c>
      <c r="O42" s="197" t="str">
        <f>IF('2499-003'!$L42="#B", Sheet_PO,"")</f>
        <v>2499-003</v>
      </c>
      <c r="P42" s="198">
        <f>IF('2499-003'!$L42="#B", M21,"")</f>
        <v>45849</v>
      </c>
      <c r="Q42" s="197" t="str">
        <f>IF('2499-003'!$L42="#B", M22,"")</f>
        <v>CC 2456</v>
      </c>
      <c r="R42" s="199">
        <f>IF('2499-003'!$L42="#B", M36,"")</f>
        <v>50</v>
      </c>
      <c r="S42" s="197" t="str">
        <f>IF('2499-003'!$L42="#B",
      INDEX('Line No'!$B$1:$B$342, MATCH('2499-003'!$M42, 'Line No'!$A$1:$A$342, 0)),
      "")</f>
        <v>Production Supplies</v>
      </c>
    </row>
    <row r="43" spans="1:19" ht="16" customHeight="1">
      <c r="G43" s="111"/>
      <c r="H43" s="111"/>
      <c r="I43" s="111"/>
      <c r="L43" s="206" t="str">
        <f>IF(SUM($N$24:$N$34), "#C", "")</f>
        <v>#C</v>
      </c>
      <c r="M43" s="194">
        <f>IF('2499-003'!$L43="#C", M20,"")</f>
        <v>205</v>
      </c>
      <c r="N43" s="193" t="str">
        <f t="shared" si="6"/>
        <v>Vendor</v>
      </c>
      <c r="O43" s="194" t="str">
        <f>IF('2499-003'!$L43="#C", Sheet_PO,"")</f>
        <v>2499-003</v>
      </c>
      <c r="P43" s="195">
        <f>IF('2499-003'!$L43="#C", N21,"")</f>
        <v>45848</v>
      </c>
      <c r="Q43" s="194" t="str">
        <f>IF('2499-003'!$L43="#C", N22,"")</f>
        <v>CHK 101</v>
      </c>
      <c r="R43" s="196">
        <f>IF('2499-003'!$L43="#C", N36,"")</f>
        <v>1000</v>
      </c>
      <c r="S43" s="194" t="str">
        <f>IF('2499-003'!$L43="#C",
      INDEX('Line No'!$B$1:$B$342, MATCH('2499-003'!$M43, 'Line No'!$A$1:$A$342, 0)),
      "")</f>
        <v>Location Supplies</v>
      </c>
    </row>
    <row r="44" spans="1:19" ht="16" customHeight="1">
      <c r="G44" s="111"/>
      <c r="H44" s="167"/>
      <c r="I44" s="111"/>
      <c r="L44" s="207" t="str">
        <f>IF(SUM($O$24:$O$34), "#D", "")</f>
        <v>#D</v>
      </c>
      <c r="M44" s="197">
        <f>IF('2499-003'!$L44="#D", N20,"")</f>
        <v>112</v>
      </c>
      <c r="N44" s="197" t="str">
        <f t="shared" si="6"/>
        <v>Vendor</v>
      </c>
      <c r="O44" s="197" t="str">
        <f>IF('2499-003'!$L44="#D", Sheet_PO,"")</f>
        <v>2499-003</v>
      </c>
      <c r="P44" s="198">
        <f>IF('2499-003'!$L44="#D", O21,"")</f>
        <v>45849</v>
      </c>
      <c r="Q44" s="197" t="str">
        <f>IF('2499-003'!$L44="#D", O22,"")</f>
        <v>CASH</v>
      </c>
      <c r="R44" s="199">
        <f>IF('2499-003'!$L44="#D", O36,"")</f>
        <v>1000</v>
      </c>
      <c r="S44" s="197" t="str">
        <f>IF('2499-003'!$L44="#D",
      INDEX('Line No'!$B$1:$B$342, MATCH('2499-003'!$M44, 'Line No'!$A$1:$A$342, 0)),
      "")</f>
        <v>Pre Pro Meals</v>
      </c>
    </row>
    <row r="45" spans="1:19" ht="16" customHeight="1">
      <c r="C45" s="181"/>
      <c r="D45" s="181"/>
      <c r="E45" s="181"/>
      <c r="F45" s="181"/>
      <c r="G45" s="112"/>
      <c r="H45" s="112"/>
      <c r="I45" s="113"/>
      <c r="L45" s="206" t="str">
        <f>IF(SUM($P$24:$P$34), "#E", "")</f>
        <v/>
      </c>
      <c r="M45" s="194" t="str">
        <f>IF('2499-003'!$L45="#E", O20,"")</f>
        <v/>
      </c>
      <c r="N45" s="193" t="str">
        <f t="shared" si="6"/>
        <v>Vendor</v>
      </c>
      <c r="O45" s="194" t="str">
        <f>IF('2499-003'!$L45="#E", Sheet_PO,"")</f>
        <v/>
      </c>
      <c r="P45" s="195" t="str">
        <f>IF('2499-003'!$L45="#E", P21,"")</f>
        <v/>
      </c>
      <c r="Q45" s="194" t="str">
        <f>IF('2499-003'!$L45="#E", P22,"")</f>
        <v/>
      </c>
      <c r="R45" s="196" t="str">
        <f>IF('2499-003'!$L45="#E", P36,"")</f>
        <v/>
      </c>
      <c r="S45" s="194" t="str">
        <f>IF('2499-003'!$L45="#E",
      INDEX('Line No'!$B$1:$B$342, MATCH('2499-003'!$M45, 'Line No'!$A$1:$A$342, 0)),
      "")</f>
        <v/>
      </c>
    </row>
    <row r="46" spans="1:19" ht="16" customHeight="1">
      <c r="L46" s="207" t="str">
        <f>IF(SUM($Q$24:$Q$34), "#F", "")</f>
        <v/>
      </c>
      <c r="M46" s="197" t="str">
        <f>IF('2499-003'!$L46="#F", P20,"")</f>
        <v/>
      </c>
      <c r="N46" s="197" t="str">
        <f t="shared" si="6"/>
        <v>Vendor</v>
      </c>
      <c r="O46" s="197" t="str">
        <f>IF('2499-003'!$L46="#F", Sheet_PO,"")</f>
        <v/>
      </c>
      <c r="P46" s="198" t="str">
        <f>IF('2499-003'!$L46="#F", Q21,"")</f>
        <v/>
      </c>
      <c r="Q46" s="197" t="str">
        <f>IF('2499-003'!$L46="#F", Q22,"")</f>
        <v/>
      </c>
      <c r="R46" s="199" t="str">
        <f>IF('2499-003'!$L46="#F", Q36,"")</f>
        <v/>
      </c>
      <c r="S46" s="197" t="str">
        <f>IF('2499-003'!$L46="#F",
      INDEX('Line No'!$B$1:$B$342, MATCH('2499-003'!$M46, 'Line No'!$A$1:$A$342, 0)),
      "")</f>
        <v/>
      </c>
    </row>
    <row r="47" spans="1:19" ht="16" customHeight="1">
      <c r="L47" s="206" t="str">
        <f>IF(SUM($R$24:$R$34), "#G", "")</f>
        <v/>
      </c>
      <c r="M47" s="194" t="str">
        <f>IF('2499-003'!$L47="#G", Q20,"")</f>
        <v/>
      </c>
      <c r="N47" s="193" t="str">
        <f t="shared" si="6"/>
        <v>Vendor</v>
      </c>
      <c r="O47" s="194" t="str">
        <f>IF('2499-003'!$L47="#G", Sheet_PO,"")</f>
        <v/>
      </c>
      <c r="P47" s="200" t="str">
        <f>IF('2499-003'!$L47="#G", R21,"")</f>
        <v/>
      </c>
      <c r="Q47" s="201" t="str">
        <f>IF('2499-003'!$L47="#G", R22,"")</f>
        <v/>
      </c>
      <c r="R47" s="196" t="str">
        <f>IF('2499-003'!$L47="#G", R36,"")</f>
        <v/>
      </c>
      <c r="S47" s="194" t="str">
        <f>IF('2499-003'!$L47="#G",
      INDEX('Line No'!$B$1:$B$342, MATCH('2499-003'!$M47, 'Line No'!$A$1:$A$342, 0)),
      "")</f>
        <v/>
      </c>
    </row>
    <row r="48" spans="1:19" ht="16" customHeight="1">
      <c r="L48" s="207" t="str">
        <f>IF(SUM($S$24:$S$34), "#H", "")</f>
        <v/>
      </c>
      <c r="M48" s="197" t="str">
        <f>IF('2499-003'!$L48="#H", R20,"")</f>
        <v/>
      </c>
      <c r="N48" s="197" t="str">
        <f t="shared" si="6"/>
        <v>Vendor</v>
      </c>
      <c r="O48" s="197" t="str">
        <f>IF('2499-003'!$L48="#H", Sheet_PO,"")</f>
        <v/>
      </c>
      <c r="P48" s="202" t="str">
        <f>IF('2499-003'!$L48="#H", T21,"")</f>
        <v/>
      </c>
      <c r="Q48" s="203" t="str">
        <f>IF('2499-003'!$L48="#H", T22,"")</f>
        <v/>
      </c>
      <c r="R48" s="199" t="str">
        <f>IF('2499-003'!$L48="#H", T36,"")</f>
        <v/>
      </c>
      <c r="S48" s="197" t="str">
        <f>IF('2499-003'!$L48="#H",
      INDEX('Line No'!$B$1:$B$342, MATCH('2499-003'!$M48, 'Line No'!$A$1:$A$342, 0)),
      "")</f>
        <v/>
      </c>
    </row>
    <row r="49" spans="11:19" ht="16" customHeight="1">
      <c r="K49" s="1" cm="1">
        <f t="array" ref="K49">SUMPRODUCT(--(L41:L49&lt;&gt;""))</f>
        <v>4</v>
      </c>
      <c r="L49" s="206" t="str">
        <f>IF(SUM($T$24:$T$34), "#OTHER", "")</f>
        <v/>
      </c>
      <c r="M49" s="194" t="str">
        <f>IF('2499-003'!$L49="#I", T20,"")</f>
        <v/>
      </c>
      <c r="N49" s="193" t="str">
        <f t="shared" si="6"/>
        <v>Vendor</v>
      </c>
      <c r="O49" s="194" t="str">
        <f>IF('2499-003'!$L49="#I", Sheet_PO,"")</f>
        <v/>
      </c>
      <c r="P49" s="200" t="str">
        <f>IF('2499-003'!$L49="#I", U21,"")</f>
        <v/>
      </c>
      <c r="Q49" s="201" t="str">
        <f>IF('2499-003'!$L49="#I", U22,"")</f>
        <v/>
      </c>
      <c r="R49" s="196" t="str">
        <f>IF('2499-003'!$L49="#I", U36,"")</f>
        <v/>
      </c>
      <c r="S49" s="194" t="str">
        <f>IF('2499-003'!$L49="#I",
      INDEX('Line No'!$B$1:$B$342, MATCH('2499-003'!$M49,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23"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93C3-A3D0-844F-844E-2693E591201E}">
  <sheetPr codeName="Sheet10">
    <pageSetUpPr fitToPage="1"/>
  </sheetPr>
  <dimension ref="A1:AK50"/>
  <sheetViews>
    <sheetView topLeftCell="A26" workbookViewId="0">
      <selection activeCell="N49" sqref="N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7"/>
      <c r="H1" s="237"/>
      <c r="I1" s="238"/>
      <c r="X1" s="160" t="s">
        <v>324</v>
      </c>
    </row>
    <row r="2" spans="1:37" ht="12.75" customHeight="1">
      <c r="A2" s="80"/>
      <c r="B2" s="239"/>
      <c r="C2" s="240"/>
      <c r="D2" s="241"/>
      <c r="E2" s="241"/>
      <c r="F2" s="241"/>
      <c r="G2" s="241"/>
      <c r="I2" s="114"/>
      <c r="S2" s="160" t="s">
        <v>326</v>
      </c>
      <c r="X2" s="1" t="s">
        <v>325</v>
      </c>
    </row>
    <row r="3" spans="1:37" ht="22">
      <c r="A3" s="80"/>
      <c r="B3" s="115" t="s">
        <v>14</v>
      </c>
      <c r="C3" s="81"/>
      <c r="D3" s="82"/>
      <c r="E3" s="82"/>
      <c r="F3" s="83" t="s">
        <v>13</v>
      </c>
      <c r="G3" s="242" t="s">
        <v>307</v>
      </c>
      <c r="H3" s="242"/>
      <c r="I3" s="243"/>
      <c r="J3" s="236"/>
      <c r="K3" s="236"/>
      <c r="L3" s="236"/>
      <c r="M3" s="153" t="s">
        <v>311</v>
      </c>
      <c r="N3" s="155" t="s">
        <v>312</v>
      </c>
      <c r="O3" s="155" t="s">
        <v>313</v>
      </c>
      <c r="P3" s="155" t="s">
        <v>314</v>
      </c>
      <c r="S3" s="153" t="s">
        <v>322</v>
      </c>
      <c r="AB3" s="1" t="s">
        <v>327</v>
      </c>
    </row>
    <row r="4" spans="1:37" s="3" customFormat="1" ht="29" customHeight="1">
      <c r="A4" s="84"/>
      <c r="B4" s="244"/>
      <c r="C4" s="245"/>
      <c r="D4" s="245"/>
      <c r="E4" s="245"/>
      <c r="F4" s="245"/>
      <c r="G4" s="245"/>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0"/>
      <c r="D5" s="251"/>
      <c r="E5" s="246"/>
      <c r="F5" s="246"/>
      <c r="G5" s="246"/>
      <c r="H5" s="246"/>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2"/>
      <c r="D6" s="253"/>
      <c r="E6" s="246"/>
      <c r="F6" s="246"/>
      <c r="G6" s="246"/>
      <c r="H6" s="246"/>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7"/>
      <c r="C7" s="248"/>
      <c r="D7" s="249"/>
      <c r="E7" s="249"/>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4" t="str">
        <f>IFERROR(
    IF(ISNUMBER(MATCH(Sheet_PO,#REF!, 0)),
       IF(INDEX(#REF!, MATCH(Sheet_PO,#REF!, 0)) = "", "",
          INDEX(#REF!, MATCH(Sheet_PO,#REF!, 0))),
       ""),
    "No match found")</f>
        <v/>
      </c>
      <c r="D9" s="254"/>
      <c r="E9" s="90" t="s">
        <v>11</v>
      </c>
      <c r="F9" s="255" t="str">
        <f>IF(TRIM(Job_Number)="", "", Job_Number)</f>
        <v/>
      </c>
      <c r="G9" s="255"/>
      <c r="H9" s="255"/>
      <c r="I9" s="256"/>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7" t="s">
        <v>335</v>
      </c>
      <c r="D10" s="257"/>
      <c r="E10" s="90" t="s">
        <v>9</v>
      </c>
      <c r="F10" s="258" t="str">
        <f>IF(TRIM(Job_Name)="", "", Job_Name)</f>
        <v/>
      </c>
      <c r="G10" s="258"/>
      <c r="H10" s="258"/>
      <c r="I10" s="259"/>
      <c r="L10" s="3"/>
      <c r="P10" s="4" t="str" cm="1">
        <f t="array" ref="P10">IF(O10="","",IFERROR(INDEX(Description, MATCH(O10, Line, 0)), "Not Found"))</f>
        <v/>
      </c>
      <c r="W10" s="4" t="b">
        <v>1</v>
      </c>
      <c r="X10" s="4" t="b">
        <v>1</v>
      </c>
      <c r="Y10" s="4" t="b">
        <v>1</v>
      </c>
    </row>
    <row r="11" spans="1:37" s="4" customFormat="1" ht="17">
      <c r="A11" s="86"/>
      <c r="B11" s="124"/>
      <c r="C11" s="257"/>
      <c r="D11" s="257"/>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7"/>
      <c r="D12" s="257"/>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7"/>
      <c r="D13" s="257"/>
      <c r="F13" s="262"/>
      <c r="G13" s="263"/>
      <c r="H13" s="263"/>
      <c r="I13" s="264"/>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5"/>
      <c r="D14" s="265"/>
      <c r="E14" s="90" t="s">
        <v>268</v>
      </c>
      <c r="F14" s="262"/>
      <c r="G14" s="263"/>
      <c r="H14" s="263"/>
      <c r="I14" s="264"/>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6"/>
      <c r="D18" s="266"/>
      <c r="E18" s="266"/>
      <c r="F18" s="266"/>
      <c r="G18" s="266"/>
      <c r="H18" s="266"/>
      <c r="I18" s="267"/>
    </row>
    <row r="19" spans="1:30" s="3" customFormat="1" ht="13" customHeight="1" thickBot="1">
      <c r="A19" s="84"/>
      <c r="B19" s="129"/>
      <c r="C19" s="266"/>
      <c r="D19" s="266"/>
      <c r="E19" s="266"/>
      <c r="F19" s="266"/>
      <c r="G19" s="266"/>
      <c r="H19" s="266"/>
      <c r="I19" s="267"/>
      <c r="T19" s="235" t="s">
        <v>336</v>
      </c>
      <c r="U19" s="235"/>
      <c r="V19" s="235"/>
      <c r="W19" s="235"/>
      <c r="X19" s="235"/>
      <c r="Y19" s="235"/>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8"/>
      <c r="C22" s="269"/>
      <c r="D22" s="270"/>
      <c r="E22" s="270"/>
      <c r="F22" s="270"/>
      <c r="G22" s="270"/>
      <c r="H22" s="270"/>
      <c r="I22" s="271"/>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2" t="s">
        <v>3</v>
      </c>
      <c r="D23" s="273"/>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0" t="s">
        <v>315</v>
      </c>
      <c r="D24" s="261"/>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0"/>
      <c r="D25" s="261"/>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0" t="s">
        <v>329</v>
      </c>
      <c r="D26" s="261"/>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0" t="s">
        <v>315</v>
      </c>
      <c r="D27" s="261"/>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0" t="s">
        <v>339</v>
      </c>
      <c r="D28" s="261"/>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0" t="s">
        <v>315</v>
      </c>
      <c r="D29" s="261"/>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0" t="s">
        <v>315</v>
      </c>
      <c r="D30" s="261"/>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0" t="s">
        <v>315</v>
      </c>
      <c r="D31" s="261"/>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0" t="s">
        <v>315</v>
      </c>
      <c r="D32" s="261"/>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0" t="s">
        <v>315</v>
      </c>
      <c r="D33" s="261"/>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0" t="s">
        <v>315</v>
      </c>
      <c r="D34" s="261"/>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0"/>
      <c r="D35" s="231"/>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4"/>
      <c r="D38" s="274"/>
      <c r="E38" s="99"/>
      <c r="F38" s="98"/>
      <c r="G38" s="148"/>
      <c r="H38" s="95"/>
      <c r="I38" s="139"/>
    </row>
    <row r="39" spans="1:19" s="4" customFormat="1" ht="16" customHeight="1">
      <c r="A39" s="86"/>
      <c r="B39" s="138"/>
      <c r="C39" s="1"/>
      <c r="D39" s="1"/>
      <c r="E39" s="98"/>
      <c r="F39" s="98"/>
      <c r="G39" s="148" t="s">
        <v>263</v>
      </c>
      <c r="H39" s="98" t="s">
        <v>265</v>
      </c>
      <c r="I39" s="140"/>
      <c r="L39" s="232" t="s">
        <v>334</v>
      </c>
      <c r="M39" s="233"/>
      <c r="N39" s="233"/>
      <c r="O39" s="233"/>
      <c r="P39" s="233"/>
      <c r="Q39" s="233"/>
      <c r="R39" s="234"/>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IF('2499-004'!$L41="#A", L20,"")</f>
        <v>204</v>
      </c>
      <c r="N41" s="193" t="str">
        <f t="shared" ref="N41:N49" si="6">Vendor</f>
        <v>Vendor</v>
      </c>
      <c r="O41" s="194" t="str">
        <f>IF('2499-004'!$L41="#A", Sheet_PO,"")</f>
        <v>2499-004</v>
      </c>
      <c r="P41" s="195">
        <f>IF('2499-004'!$L41="#A", L$21,"")</f>
        <v>45849</v>
      </c>
      <c r="Q41" s="194" t="str">
        <f>IF('2499-004'!$L41="#A", L$22,"")</f>
        <v>CC 2456</v>
      </c>
      <c r="R41" s="196">
        <f>IF('2499-004'!$L41="#A", L$36,"")</f>
        <v>800</v>
      </c>
      <c r="S41" s="194" t="str">
        <f>IF('2499-004'!$L41="#A",
      INDEX('Line No'!$B$1:$B$342, MATCH('2499-004'!$M41, 'Line No'!$A$1:$A$342, 0)),
      "")</f>
        <v>Production Supplies</v>
      </c>
    </row>
    <row r="42" spans="1:19" ht="16" customHeight="1">
      <c r="L42" s="205" t="str">
        <f>IF(SUM($M$24:$M$34), "#B", "")</f>
        <v>#B</v>
      </c>
      <c r="M42" s="197">
        <f>IF('2499-004'!$L42="#B", L20,"")</f>
        <v>204</v>
      </c>
      <c r="N42" s="197" t="str">
        <f t="shared" si="6"/>
        <v>Vendor</v>
      </c>
      <c r="O42" s="197" t="str">
        <f>IF('2499-004'!$L42="#B", Sheet_PO,"")</f>
        <v>2499-004</v>
      </c>
      <c r="P42" s="198">
        <f>IF('2499-004'!$L42="#B", M21,"")</f>
        <v>45849</v>
      </c>
      <c r="Q42" s="197" t="str">
        <f>IF('2499-004'!$L42="#B", M22,"")</f>
        <v>CC 2456</v>
      </c>
      <c r="R42" s="199">
        <f>IF('2499-004'!$L42="#B", M36,"")</f>
        <v>50</v>
      </c>
      <c r="S42" s="197" t="str">
        <f>IF('2499-004'!$L42="#B",
      INDEX('Line No'!$B$1:$B$342, MATCH('2499-004'!$M42, 'Line No'!$A$1:$A$342, 0)),
      "")</f>
        <v>Production Supplies</v>
      </c>
    </row>
    <row r="43" spans="1:19" ht="16" customHeight="1">
      <c r="G43" s="111"/>
      <c r="H43" s="111"/>
      <c r="I43" s="111"/>
      <c r="L43" s="206" t="str">
        <f>IF(SUM($N$24:$N$34), "#C", "")</f>
        <v>#C</v>
      </c>
      <c r="M43" s="194">
        <f>IF('2499-004'!$L43="#C", M20,"")</f>
        <v>205</v>
      </c>
      <c r="N43" s="193" t="str">
        <f t="shared" si="6"/>
        <v>Vendor</v>
      </c>
      <c r="O43" s="194" t="str">
        <f>IF('2499-004'!$L43="#C", Sheet_PO,"")</f>
        <v>2499-004</v>
      </c>
      <c r="P43" s="195">
        <f>IF('2499-004'!$L43="#C", N21,"")</f>
        <v>45848</v>
      </c>
      <c r="Q43" s="194" t="str">
        <f>IF('2499-004'!$L43="#C", N22,"")</f>
        <v>CHK 101</v>
      </c>
      <c r="R43" s="196">
        <f>IF('2499-004'!$L43="#C", N36,"")</f>
        <v>1000</v>
      </c>
      <c r="S43" s="194" t="str">
        <f>IF('2499-004'!$L43="#C",
      INDEX('Line No'!$B$1:$B$342, MATCH('2499-004'!$M43, 'Line No'!$A$1:$A$342, 0)),
      "")</f>
        <v>Location Supplies</v>
      </c>
    </row>
    <row r="44" spans="1:19" ht="16" customHeight="1">
      <c r="G44" s="111"/>
      <c r="H44" s="167"/>
      <c r="I44" s="111"/>
      <c r="L44" s="207" t="str">
        <f>IF(SUM($O$24:$O$34), "#D", "")</f>
        <v>#D</v>
      </c>
      <c r="M44" s="197">
        <f>IF('2499-004'!$L44="#D", N20,"")</f>
        <v>112</v>
      </c>
      <c r="N44" s="197" t="str">
        <f t="shared" si="6"/>
        <v>Vendor</v>
      </c>
      <c r="O44" s="197" t="str">
        <f>IF('2499-004'!$L44="#D", Sheet_PO,"")</f>
        <v>2499-004</v>
      </c>
      <c r="P44" s="198">
        <f>IF('2499-004'!$L44="#D", O21,"")</f>
        <v>45849</v>
      </c>
      <c r="Q44" s="197" t="str">
        <f>IF('2499-004'!$L44="#D", O22,"")</f>
        <v>CASH</v>
      </c>
      <c r="R44" s="199">
        <f>IF('2499-004'!$L44="#D", O36,"")</f>
        <v>1000</v>
      </c>
      <c r="S44" s="197" t="str">
        <f>IF('2499-004'!$L44="#D",
      INDEX('Line No'!$B$1:$B$342, MATCH('2499-004'!$M44, 'Line No'!$A$1:$A$342, 0)),
      "")</f>
        <v>Pre Pro Meals</v>
      </c>
    </row>
    <row r="45" spans="1:19" ht="16" customHeight="1">
      <c r="C45" s="181"/>
      <c r="D45" s="181"/>
      <c r="E45" s="181"/>
      <c r="F45" s="181"/>
      <c r="G45" s="112"/>
      <c r="H45" s="112"/>
      <c r="I45" s="113"/>
      <c r="L45" s="206" t="str">
        <f>IF(SUM($P$24:$P$34), "#E", "")</f>
        <v/>
      </c>
      <c r="M45" s="194" t="str">
        <f>IF('2499-004'!$L45="#E", O20,"")</f>
        <v/>
      </c>
      <c r="N45" s="193" t="str">
        <f t="shared" si="6"/>
        <v>Vendor</v>
      </c>
      <c r="O45" s="194" t="str">
        <f>IF('2499-004'!$L45="#E", Sheet_PO,"")</f>
        <v/>
      </c>
      <c r="P45" s="195" t="str">
        <f>IF('2499-004'!$L45="#E", P21,"")</f>
        <v/>
      </c>
      <c r="Q45" s="194" t="str">
        <f>IF('2499-004'!$L45="#E", P22,"")</f>
        <v/>
      </c>
      <c r="R45" s="196" t="str">
        <f>IF('2499-004'!$L45="#E", P36,"")</f>
        <v/>
      </c>
      <c r="S45" s="194" t="str">
        <f>IF('2499-004'!$L45="#E",
      INDEX('Line No'!$B$1:$B$342, MATCH('2499-004'!$M45, 'Line No'!$A$1:$A$342, 0)),
      "")</f>
        <v/>
      </c>
    </row>
    <row r="46" spans="1:19" ht="16" customHeight="1">
      <c r="L46" s="207" t="str">
        <f>IF(SUM($Q$24:$Q$34), "#F", "")</f>
        <v/>
      </c>
      <c r="M46" s="197" t="str">
        <f>IF('2499-004'!$L46="#F", P20,"")</f>
        <v/>
      </c>
      <c r="N46" s="197" t="str">
        <f t="shared" si="6"/>
        <v>Vendor</v>
      </c>
      <c r="O46" s="197" t="str">
        <f>IF('2499-004'!$L46="#F", Sheet_PO,"")</f>
        <v/>
      </c>
      <c r="P46" s="198" t="str">
        <f>IF('2499-004'!$L46="#F", Q21,"")</f>
        <v/>
      </c>
      <c r="Q46" s="197" t="str">
        <f>IF('2499-004'!$L46="#F", Q22,"")</f>
        <v/>
      </c>
      <c r="R46" s="199" t="str">
        <f>IF('2499-004'!$L46="#F", Q36,"")</f>
        <v/>
      </c>
      <c r="S46" s="197" t="str">
        <f>IF('2499-004'!$L46="#F",
      INDEX('Line No'!$B$1:$B$342, MATCH('2499-004'!$M46, 'Line No'!$A$1:$A$342, 0)),
      "")</f>
        <v/>
      </c>
    </row>
    <row r="47" spans="1:19" ht="16" customHeight="1">
      <c r="L47" s="206" t="str">
        <f>IF(SUM($R$24:$R$34), "#G", "")</f>
        <v/>
      </c>
      <c r="M47" s="194" t="str">
        <f>IF('2499-004'!$L47="#G", Q20,"")</f>
        <v/>
      </c>
      <c r="N47" s="193" t="str">
        <f t="shared" si="6"/>
        <v>Vendor</v>
      </c>
      <c r="O47" s="194" t="str">
        <f>IF('2499-004'!$L47="#G", Sheet_PO,"")</f>
        <v/>
      </c>
      <c r="P47" s="200" t="str">
        <f>IF('2499-004'!$L47="#G", R21,"")</f>
        <v/>
      </c>
      <c r="Q47" s="201" t="str">
        <f>IF('2499-004'!$L47="#G", R22,"")</f>
        <v/>
      </c>
      <c r="R47" s="196" t="str">
        <f>IF('2499-004'!$L47="#G", R36,"")</f>
        <v/>
      </c>
      <c r="S47" s="194" t="str">
        <f>IF('2499-004'!$L47="#G",
      INDEX('Line No'!$B$1:$B$342, MATCH('2499-004'!$M47, 'Line No'!$A$1:$A$342, 0)),
      "")</f>
        <v/>
      </c>
    </row>
    <row r="48" spans="1:19" ht="16" customHeight="1">
      <c r="L48" s="207" t="str">
        <f>IF(SUM($S$24:$S$34), "#H", "")</f>
        <v/>
      </c>
      <c r="M48" s="197" t="str">
        <f>IF('2499-004'!$L48="#H", R20,"")</f>
        <v/>
      </c>
      <c r="N48" s="197" t="str">
        <f t="shared" si="6"/>
        <v>Vendor</v>
      </c>
      <c r="O48" s="197" t="str">
        <f>IF('2499-004'!$L48="#H", Sheet_PO,"")</f>
        <v/>
      </c>
      <c r="P48" s="202" t="str">
        <f>IF('2499-004'!$L48="#H", T21,"")</f>
        <v/>
      </c>
      <c r="Q48" s="203" t="str">
        <f>IF('2499-004'!$L48="#H", T22,"")</f>
        <v/>
      </c>
      <c r="R48" s="199" t="str">
        <f>IF('2499-004'!$L48="#H", T36,"")</f>
        <v/>
      </c>
      <c r="S48" s="197" t="str">
        <f>IF('2499-004'!$L48="#H",
      INDEX('Line No'!$B$1:$B$342, MATCH('2499-004'!$M48, 'Line No'!$A$1:$A$342, 0)),
      "")</f>
        <v/>
      </c>
    </row>
    <row r="49" spans="11:19" ht="16" customHeight="1">
      <c r="K49" s="1" cm="1">
        <f t="array" ref="K49">SUMPRODUCT(--(L41:L49&lt;&gt;""))</f>
        <v>4</v>
      </c>
      <c r="L49" s="206" t="str">
        <f>IF(SUM($T$24:$T$34), "#OTHER", "")</f>
        <v/>
      </c>
      <c r="M49" s="194" t="str">
        <f>IF('2499-004'!$L49="#I", T20,"")</f>
        <v/>
      </c>
      <c r="N49" s="193" t="str">
        <f t="shared" si="6"/>
        <v>Vendor</v>
      </c>
      <c r="O49" s="194" t="str">
        <f>IF('2499-004'!$L49="#I", Sheet_PO,"")</f>
        <v/>
      </c>
      <c r="P49" s="200" t="str">
        <f>IF('2499-004'!$L49="#I", U21,"")</f>
        <v/>
      </c>
      <c r="Q49" s="201" t="str">
        <f>IF('2499-004'!$L49="#I", U22,"")</f>
        <v/>
      </c>
      <c r="R49" s="196" t="str">
        <f>IF('2499-004'!$L49="#I", U36,"")</f>
        <v/>
      </c>
      <c r="S49" s="194" t="str">
        <f>IF('2499-004'!$L49="#I",
      INDEX('Line No'!$B$1:$B$342, MATCH('2499-004'!$M49,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15"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4A524-8996-B840-A482-75F558C17EC9}">
  <sheetPr codeName="Sheet11">
    <pageSetUpPr fitToPage="1"/>
  </sheetPr>
  <dimension ref="A1:AK50"/>
  <sheetViews>
    <sheetView topLeftCell="A26" workbookViewId="0">
      <selection activeCell="N49" sqref="N49"/>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3.6640625" style="1" customWidth="1"/>
    <col min="13" max="13" width="8" style="1" customWidth="1"/>
    <col min="14" max="14" width="10.33203125" style="1" customWidth="1"/>
    <col min="15" max="15" width="11.83203125" style="1" customWidth="1"/>
    <col min="16" max="16" width="11" style="1" customWidth="1"/>
    <col min="17" max="18" width="11.83203125" style="1" customWidth="1"/>
    <col min="19" max="19" width="22.1640625" style="1" customWidth="1"/>
    <col min="20" max="26" width="8.83203125" style="1"/>
    <col min="27" max="27" width="8.83203125" style="1" customWidth="1"/>
    <col min="28" max="16384" width="8.83203125" style="1"/>
  </cols>
  <sheetData>
    <row r="1" spans="1:37" ht="45" customHeight="1">
      <c r="A1" s="79"/>
      <c r="B1" s="182" t="s">
        <v>261</v>
      </c>
      <c r="C1" s="182"/>
      <c r="D1" s="182"/>
      <c r="E1" s="182"/>
      <c r="G1" s="237"/>
      <c r="H1" s="237"/>
      <c r="I1" s="238"/>
      <c r="X1" s="160" t="s">
        <v>324</v>
      </c>
    </row>
    <row r="2" spans="1:37" ht="12.75" customHeight="1">
      <c r="A2" s="80"/>
      <c r="B2" s="239"/>
      <c r="C2" s="240"/>
      <c r="D2" s="241"/>
      <c r="E2" s="241"/>
      <c r="F2" s="241"/>
      <c r="G2" s="241"/>
      <c r="I2" s="114"/>
      <c r="S2" s="160" t="s">
        <v>326</v>
      </c>
      <c r="X2" s="1" t="s">
        <v>325</v>
      </c>
    </row>
    <row r="3" spans="1:37" ht="22">
      <c r="A3" s="80"/>
      <c r="B3" s="115" t="s">
        <v>14</v>
      </c>
      <c r="C3" s="81"/>
      <c r="D3" s="82"/>
      <c r="E3" s="82"/>
      <c r="F3" s="83" t="s">
        <v>13</v>
      </c>
      <c r="G3" s="242" t="s">
        <v>306</v>
      </c>
      <c r="H3" s="242"/>
      <c r="I3" s="243"/>
      <c r="J3" s="236"/>
      <c r="K3" s="236"/>
      <c r="L3" s="236"/>
      <c r="M3" s="153" t="s">
        <v>311</v>
      </c>
      <c r="N3" s="155" t="s">
        <v>312</v>
      </c>
      <c r="O3" s="155" t="s">
        <v>313</v>
      </c>
      <c r="P3" s="155" t="s">
        <v>314</v>
      </c>
      <c r="S3" s="153" t="s">
        <v>322</v>
      </c>
      <c r="AB3" s="1" t="s">
        <v>327</v>
      </c>
    </row>
    <row r="4" spans="1:37" s="3" customFormat="1" ht="29" customHeight="1">
      <c r="A4" s="84"/>
      <c r="B4" s="244"/>
      <c r="C4" s="245"/>
      <c r="D4" s="245"/>
      <c r="E4" s="245"/>
      <c r="F4" s="245"/>
      <c r="G4" s="245"/>
      <c r="H4" s="85"/>
      <c r="I4" s="11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158" cm="1">
        <f t="array" ref="S4:U9">IFERROR(
    INDEX(
        _xlfn._xlws.FILTER(
            _xlfn.UNIQUE(_xlfn.HSTACK(LineEntry, DateEntry, PayIDEntry)),
            _xlfn.BYROW(_xlfn.UNIQUE(_xlfn.HSTACK(LineEntry, DateEntry, PayIDEntry)), _xlfn.LAMBDA(_xlpm.row, SUM(_xlpm.row)&lt;&gt;0))
        ),
        _xlfn.SEQUENCE(6,1),
        {1,2,3}
    ),
    ""
)</f>
        <v>204</v>
      </c>
      <c r="T4" s="165">
        <v>45849</v>
      </c>
      <c r="U4" s="158" t="str">
        <v>CC 2456</v>
      </c>
      <c r="AB4" s="187" t="s">
        <v>338</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86"/>
      <c r="B5" s="117" t="s">
        <v>262</v>
      </c>
      <c r="C5" s="250"/>
      <c r="D5" s="251"/>
      <c r="E5" s="246"/>
      <c r="F5" s="246"/>
      <c r="G5" s="246"/>
      <c r="H5" s="246"/>
      <c r="I5" s="118"/>
      <c r="M5" s="4">
        <v>205</v>
      </c>
      <c r="O5" s="4" t="str">
        <v/>
      </c>
      <c r="P5" s="4" t="str" cm="1">
        <f t="array" ref="P5">IF(O5="","",IFERROR(INDEX(Description, MATCH(O5, Line, 0)), "Not Found"))</f>
        <v/>
      </c>
      <c r="S5" s="159">
        <v>205</v>
      </c>
      <c r="T5" s="166">
        <v>45849</v>
      </c>
      <c r="U5" s="159"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86"/>
      <c r="B6" s="119"/>
      <c r="C6" s="252"/>
      <c r="D6" s="253"/>
      <c r="E6" s="246"/>
      <c r="F6" s="246"/>
      <c r="G6" s="246"/>
      <c r="H6" s="246"/>
      <c r="I6" s="120"/>
      <c r="M6" s="4">
        <v>112</v>
      </c>
      <c r="O6" s="4" t="str">
        <v>CASH</v>
      </c>
      <c r="P6" s="4" t="str" cm="1">
        <f t="array" ref="P6">IF(O6="","",IFERROR(INDEX(Description, MATCH(O6, Line, 0)), "Not Found"))</f>
        <v>Not Found</v>
      </c>
      <c r="S6" s="159">
        <v>112</v>
      </c>
      <c r="T6" s="166">
        <v>45848</v>
      </c>
      <c r="U6" s="159" t="str">
        <v>CHK 101</v>
      </c>
      <c r="AF6" s="4" t="str">
        <v>CC 2456</v>
      </c>
      <c r="AG6" s="4" t="str">
        <v>CC 2456</v>
      </c>
      <c r="AH6" s="4" t="str">
        <v>CHK 101</v>
      </c>
      <c r="AI6" s="4" t="str">
        <v>CASH</v>
      </c>
      <c r="AJ6" s="4" t="str">
        <v/>
      </c>
      <c r="AK6" s="4" t="str">
        <v/>
      </c>
    </row>
    <row r="7" spans="1:37" s="4" customFormat="1" ht="16">
      <c r="A7" s="86"/>
      <c r="B7" s="247"/>
      <c r="C7" s="248"/>
      <c r="D7" s="249"/>
      <c r="E7" s="249"/>
      <c r="F7" s="89"/>
      <c r="G7" s="89"/>
      <c r="H7" s="89"/>
      <c r="I7" s="122"/>
      <c r="M7" s="4">
        <v>1</v>
      </c>
      <c r="P7" s="4" t="str" cm="1">
        <f t="array" ref="P7">IF(O7="","",IFERROR(INDEX(Description, MATCH(O7, Line, 0)), "Not Found"))</f>
        <v/>
      </c>
      <c r="S7" s="159">
        <v>1</v>
      </c>
      <c r="T7" s="166">
        <v>45849</v>
      </c>
      <c r="U7" s="159" t="str">
        <v>CASH</v>
      </c>
    </row>
    <row r="8" spans="1:37" s="4" customFormat="1" ht="16">
      <c r="A8" s="86"/>
      <c r="B8" s="121"/>
      <c r="C8" s="87"/>
      <c r="D8" s="88"/>
      <c r="E8" s="88"/>
      <c r="F8" s="89"/>
      <c r="G8" s="89"/>
      <c r="H8" s="89"/>
      <c r="I8" s="122"/>
      <c r="M8" s="4" t="str">
        <v/>
      </c>
      <c r="P8" s="4" t="str" cm="1">
        <f t="array" ref="P8">IF(O8="","",IFERROR(INDEX(Description, MATCH(O8, Line, 0)), "Not Found"))</f>
        <v/>
      </c>
      <c r="S8" s="159" t="str">
        <v/>
      </c>
      <c r="T8" s="166" t="str">
        <v/>
      </c>
      <c r="U8" s="159" t="str">
        <v/>
      </c>
    </row>
    <row r="9" spans="1:37" s="4" customFormat="1" ht="16">
      <c r="A9" s="86"/>
      <c r="B9" s="123" t="s">
        <v>12</v>
      </c>
      <c r="C9" s="254" t="str">
        <f>IFERROR(
    IF(ISNUMBER(MATCH(Sheet_PO,#REF!, 0)),
       IF(INDEX(#REF!, MATCH(Sheet_PO,#REF!, 0)) = "", "",
          INDEX(#REF!, MATCH(Sheet_PO,#REF!, 0))),
       ""),
    "No match found")</f>
        <v/>
      </c>
      <c r="D9" s="254"/>
      <c r="E9" s="90" t="s">
        <v>11</v>
      </c>
      <c r="F9" s="255" t="str">
        <f>IF(TRIM(Job_Number)="", "", Job_Number)</f>
        <v/>
      </c>
      <c r="G9" s="255"/>
      <c r="H9" s="255"/>
      <c r="I9" s="256"/>
      <c r="M9" s="4" t="str">
        <v/>
      </c>
      <c r="P9" s="4" t="str" cm="1">
        <f t="array" ref="P9">IF(O9="","",IFERROR(INDEX(Description, MATCH(O9, Line, 0)), "Not Found"))</f>
        <v/>
      </c>
      <c r="S9" s="159" t="str">
        <v/>
      </c>
      <c r="T9" s="166" t="str">
        <v/>
      </c>
      <c r="U9" s="159" t="str">
        <v/>
      </c>
      <c r="W9" s="4" t="b" cm="1">
        <f t="array" ref="W9:Y13">_xlfn.UNIQUE(_xlfn.HSTACK(LineEntry,DateEntry,PayIDEntry))&lt;&gt;0</f>
        <v>1</v>
      </c>
      <c r="X9" s="4" t="b">
        <v>1</v>
      </c>
      <c r="Y9" s="4" t="b">
        <v>1</v>
      </c>
    </row>
    <row r="10" spans="1:37" s="4" customFormat="1" ht="14" customHeight="1">
      <c r="A10" s="86"/>
      <c r="B10" s="123" t="s">
        <v>10</v>
      </c>
      <c r="C10" s="257" t="s">
        <v>335</v>
      </c>
      <c r="D10" s="257"/>
      <c r="E10" s="90" t="s">
        <v>9</v>
      </c>
      <c r="F10" s="258" t="str">
        <f>IF(TRIM(Job_Name)="", "", Job_Name)</f>
        <v/>
      </c>
      <c r="G10" s="258"/>
      <c r="H10" s="258"/>
      <c r="I10" s="259"/>
      <c r="L10" s="3"/>
      <c r="P10" s="4" t="str" cm="1">
        <f t="array" ref="P10">IF(O10="","",IFERROR(INDEX(Description, MATCH(O10, Line, 0)), "Not Found"))</f>
        <v/>
      </c>
      <c r="W10" s="4" t="b">
        <v>1</v>
      </c>
      <c r="X10" s="4" t="b">
        <v>1</v>
      </c>
      <c r="Y10" s="4" t="b">
        <v>1</v>
      </c>
    </row>
    <row r="11" spans="1:37" s="4" customFormat="1" ht="17">
      <c r="A11" s="86"/>
      <c r="B11" s="124"/>
      <c r="C11" s="257"/>
      <c r="D11" s="257"/>
      <c r="E11" s="91"/>
      <c r="I11" s="125"/>
      <c r="P11" s="4" t="str" cm="1">
        <f t="array" ref="P11">IF(O11="","",IFERROR(INDEX(Description, MATCH(O11, Line, 0)), "Not Found"))</f>
        <v/>
      </c>
      <c r="S11" s="157" t="b" cm="1">
        <f t="array" ref="S11:U15">_xlfn.UNIQUE(_xlfn.HSTACK(LineEntry, DateEntry, PayIDEntry))&lt;&gt;0</f>
        <v>1</v>
      </c>
      <c r="T11" s="4" t="b">
        <v>1</v>
      </c>
      <c r="U11" s="4" t="b">
        <v>1</v>
      </c>
      <c r="W11" s="4" t="b">
        <v>1</v>
      </c>
      <c r="X11" s="4" t="b">
        <v>1</v>
      </c>
      <c r="Y11" s="4" t="b">
        <v>1</v>
      </c>
    </row>
    <row r="12" spans="1:37" s="4" customFormat="1" ht="22" customHeight="1">
      <c r="A12" s="86"/>
      <c r="B12" s="123" t="s">
        <v>8</v>
      </c>
      <c r="C12" s="257"/>
      <c r="D12" s="257"/>
      <c r="E12" s="90" t="s">
        <v>7</v>
      </c>
      <c r="F12" s="7"/>
      <c r="G12" s="7"/>
      <c r="H12" s="7"/>
      <c r="I12" s="126"/>
      <c r="P12" s="4" t="str" cm="1">
        <f t="array" ref="P12">IF(O12="","",IFERROR(INDEX(Description, MATCH(O12, Line, 0)), "Not Found"))</f>
        <v/>
      </c>
      <c r="S12" s="4" t="b">
        <v>1</v>
      </c>
      <c r="T12" s="4" t="b">
        <v>1</v>
      </c>
      <c r="U12" s="4" t="b">
        <v>1</v>
      </c>
      <c r="W12" s="4" t="b">
        <v>1</v>
      </c>
      <c r="X12" s="4" t="b">
        <v>1</v>
      </c>
      <c r="Y12" s="4" t="b">
        <v>1</v>
      </c>
    </row>
    <row r="13" spans="1:37" s="4" customFormat="1" ht="16">
      <c r="A13" s="86"/>
      <c r="B13" s="127"/>
      <c r="C13" s="257"/>
      <c r="D13" s="257"/>
      <c r="F13" s="262"/>
      <c r="G13" s="263"/>
      <c r="H13" s="263"/>
      <c r="I13" s="264"/>
      <c r="P13" s="4" t="str" cm="1">
        <f t="array" ref="P13">IF(O13="","",IFERROR(INDEX(Description, MATCH(O13, Line, 0)), "Not Found"))</f>
        <v/>
      </c>
      <c r="S13" s="4" t="b">
        <v>1</v>
      </c>
      <c r="T13" s="4" t="b">
        <v>1</v>
      </c>
      <c r="U13" s="4" t="b">
        <v>1</v>
      </c>
      <c r="W13" s="4" t="b">
        <v>0</v>
      </c>
      <c r="X13" s="4" t="b">
        <v>0</v>
      </c>
      <c r="Y13" s="4" t="b">
        <v>0</v>
      </c>
    </row>
    <row r="14" spans="1:37" s="4" customFormat="1" ht="16">
      <c r="A14" s="86"/>
      <c r="B14" s="127"/>
      <c r="C14" s="265"/>
      <c r="D14" s="265"/>
      <c r="E14" s="90" t="s">
        <v>268</v>
      </c>
      <c r="F14" s="262"/>
      <c r="G14" s="263"/>
      <c r="H14" s="263"/>
      <c r="I14" s="264"/>
      <c r="S14" s="4" t="b">
        <v>1</v>
      </c>
      <c r="T14" s="4" t="b">
        <v>1</v>
      </c>
      <c r="U14" s="4" t="b">
        <v>1</v>
      </c>
    </row>
    <row r="15" spans="1:37" s="4" customFormat="1" ht="16">
      <c r="A15" s="86"/>
      <c r="B15" s="128"/>
      <c r="C15" s="92"/>
      <c r="D15" s="92"/>
      <c r="I15" s="125"/>
      <c r="S15" s="4" t="b">
        <v>0</v>
      </c>
      <c r="T15" s="4" t="b">
        <v>0</v>
      </c>
      <c r="U15" s="4" t="b">
        <v>0</v>
      </c>
    </row>
    <row r="16" spans="1:37" s="3" customFormat="1" ht="23" customHeight="1">
      <c r="A16" s="84"/>
      <c r="B16" s="129" t="s">
        <v>6</v>
      </c>
      <c r="C16" s="93"/>
      <c r="D16" s="93"/>
      <c r="E16" s="93"/>
      <c r="F16" s="93"/>
      <c r="G16" s="108"/>
      <c r="H16" s="78"/>
      <c r="I16" s="130"/>
    </row>
    <row r="17" spans="1:30" s="3" customFormat="1" ht="23" customHeight="1">
      <c r="A17" s="84"/>
      <c r="B17" s="129"/>
      <c r="C17" s="109"/>
      <c r="D17" s="109"/>
      <c r="E17" s="109"/>
      <c r="F17" s="109"/>
      <c r="G17" s="110"/>
      <c r="H17" s="78"/>
      <c r="I17" s="130"/>
      <c r="T17" s="157" t="s">
        <v>323</v>
      </c>
    </row>
    <row r="18" spans="1:30" s="3" customFormat="1" ht="23" customHeight="1">
      <c r="A18" s="84"/>
      <c r="B18" s="129"/>
      <c r="C18" s="266"/>
      <c r="D18" s="266"/>
      <c r="E18" s="266"/>
      <c r="F18" s="266"/>
      <c r="G18" s="266"/>
      <c r="H18" s="266"/>
      <c r="I18" s="267"/>
    </row>
    <row r="19" spans="1:30" s="3" customFormat="1" ht="13" customHeight="1" thickBot="1">
      <c r="A19" s="84"/>
      <c r="B19" s="129"/>
      <c r="C19" s="266"/>
      <c r="D19" s="266"/>
      <c r="E19" s="266"/>
      <c r="F19" s="266"/>
      <c r="G19" s="266"/>
      <c r="H19" s="266"/>
      <c r="I19" s="267"/>
      <c r="T19" s="235" t="s">
        <v>336</v>
      </c>
      <c r="U19" s="235"/>
      <c r="V19" s="235"/>
      <c r="W19" s="235"/>
      <c r="X19" s="235"/>
      <c r="Y19" s="235"/>
      <c r="Z19" s="4" t="s">
        <v>337</v>
      </c>
    </row>
    <row r="20" spans="1:30" s="3" customFormat="1" ht="34" customHeight="1">
      <c r="A20" s="84"/>
      <c r="B20" s="129"/>
      <c r="C20" s="94"/>
      <c r="D20" s="94"/>
      <c r="E20" s="94"/>
      <c r="F20" s="94"/>
      <c r="G20" s="94"/>
      <c r="H20" s="94"/>
      <c r="I20" s="131"/>
      <c r="K20" s="176" t="s">
        <v>331</v>
      </c>
      <c r="L20" s="173" cm="1">
        <f t="array" ref="L20:Q22">IFERROR(
    _xlfn.WRAPCOLS(
        _xlfn.TOCOL(
            INDEX(
                _xlfn._xlws.FILTER(
                    _xlfn.UNIQUE(_xlfn.HSTACK(LineEntry, DateEntry, PayIDEntry)),
                    _xlfn.BYROW(_xlfn.UNIQUE(_xlfn.HSTACK(LineEntry, DateEntry, PayIDEntry)), _xlfn.LAMBDA(_xlpm.row, SUM(_xlpm.row)&lt;&gt;0))
                ),
                _xlfn.SEQUENCE(6,1),
                {1,2,3}
            )
        ),
        3
    ),
    ""
)</f>
        <v>204</v>
      </c>
      <c r="M20" s="173">
        <v>205</v>
      </c>
      <c r="N20" s="173">
        <v>112</v>
      </c>
      <c r="O20" s="173">
        <v>1</v>
      </c>
      <c r="P20" s="173" t="str">
        <v/>
      </c>
      <c r="Q20" s="173" t="str">
        <v/>
      </c>
      <c r="T20" s="183" cm="1">
        <f t="array" ref="T20:Y22">IFERROR(
    _xlfn.WRAPCOLS(
        _xlfn.TOCOL(
            INDEX(
                _xlfn._xlws.FILTER(
                    _xlfn.UNIQUE(_xlfn.HSTACK(LineEntry, DateEntry, PayIDEntry)),
                    _xlfn.BYROW(_xlfn.UNIQUE(_xlfn.HSTACK(LineEntry, DateEntry, PayIDEntry)), _xlfn.LAMBDA(_xlpm.row, SUM(_xlpm.row)&lt;&gt;0))
                ),
                _xlfn.SEQUENCE(6,1),
                {1,2,3}
            )
        ),
        3
    ),
    ""
)</f>
        <v>204</v>
      </c>
      <c r="U20" s="184">
        <v>205</v>
      </c>
      <c r="V20" s="184">
        <v>112</v>
      </c>
      <c r="W20" s="184">
        <v>1</v>
      </c>
      <c r="X20" s="184" t="str">
        <v/>
      </c>
      <c r="Y20" s="185"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84"/>
      <c r="B21" s="129"/>
      <c r="C21" s="94"/>
      <c r="D21" s="94"/>
      <c r="E21" s="94"/>
      <c r="F21" s="94"/>
      <c r="G21" s="94"/>
      <c r="H21" s="94"/>
      <c r="I21" s="131"/>
      <c r="K21" s="176" t="s">
        <v>332</v>
      </c>
      <c r="L21" s="174">
        <v>45849</v>
      </c>
      <c r="M21" s="174">
        <v>45849</v>
      </c>
      <c r="N21" s="174">
        <v>45848</v>
      </c>
      <c r="O21" s="174">
        <v>45849</v>
      </c>
      <c r="P21" s="174" t="str">
        <v/>
      </c>
      <c r="Q21" s="174" t="str">
        <v/>
      </c>
      <c r="T21" s="84">
        <v>45849</v>
      </c>
      <c r="U21" s="3">
        <v>45849</v>
      </c>
      <c r="V21" s="3">
        <v>45848</v>
      </c>
      <c r="W21" s="3">
        <v>45849</v>
      </c>
      <c r="X21" s="3" t="str">
        <v/>
      </c>
      <c r="Y21" s="186" t="str">
        <v/>
      </c>
    </row>
    <row r="22" spans="1:30" ht="30" customHeight="1" thickBot="1">
      <c r="A22" s="80"/>
      <c r="B22" s="268"/>
      <c r="C22" s="269"/>
      <c r="D22" s="270"/>
      <c r="E22" s="270"/>
      <c r="F22" s="270"/>
      <c r="G22" s="270"/>
      <c r="H22" s="270"/>
      <c r="I22" s="271"/>
      <c r="K22" s="176" t="s">
        <v>333</v>
      </c>
      <c r="L22" s="175" t="str">
        <v>CC 2456</v>
      </c>
      <c r="M22" s="175" t="str">
        <v>CC 2456</v>
      </c>
      <c r="N22" s="175" t="str">
        <v>CHK 101</v>
      </c>
      <c r="O22" s="175" t="str">
        <v>CASH</v>
      </c>
      <c r="P22" s="175" t="str">
        <v/>
      </c>
      <c r="Q22" s="175" t="str">
        <v/>
      </c>
      <c r="T22" s="100" t="str">
        <v>CC 2456</v>
      </c>
      <c r="U22" s="101" t="str">
        <v>CC 2456</v>
      </c>
      <c r="V22" s="101" t="str">
        <v>CHK 101</v>
      </c>
      <c r="W22" s="101" t="str">
        <v>CASH</v>
      </c>
      <c r="X22" s="101" t="str">
        <v/>
      </c>
      <c r="Y22" s="102" t="str">
        <v/>
      </c>
    </row>
    <row r="23" spans="1:30" s="4" customFormat="1" ht="16" customHeight="1" thickBot="1">
      <c r="A23" s="86"/>
      <c r="B23" s="132" t="s">
        <v>4</v>
      </c>
      <c r="C23" s="272" t="s">
        <v>3</v>
      </c>
      <c r="D23" s="273"/>
      <c r="E23" s="103" t="s">
        <v>12</v>
      </c>
      <c r="F23" s="103" t="s">
        <v>18</v>
      </c>
      <c r="G23" s="103" t="s">
        <v>2</v>
      </c>
      <c r="H23" s="103" t="s">
        <v>1</v>
      </c>
      <c r="I23" s="133" t="s">
        <v>0</v>
      </c>
      <c r="L23" s="156" t="s">
        <v>317</v>
      </c>
      <c r="M23" s="156" t="s">
        <v>328</v>
      </c>
      <c r="N23" s="156" t="s">
        <v>318</v>
      </c>
      <c r="O23" s="156" t="s">
        <v>319</v>
      </c>
      <c r="P23" s="156" t="s">
        <v>320</v>
      </c>
      <c r="Q23" s="156" t="s">
        <v>130</v>
      </c>
    </row>
    <row r="24" spans="1:30" s="4" customFormat="1" ht="16" customHeight="1">
      <c r="A24" s="86"/>
      <c r="B24" s="161">
        <v>204</v>
      </c>
      <c r="C24" s="260" t="s">
        <v>315</v>
      </c>
      <c r="D24" s="261"/>
      <c r="E24" s="154">
        <v>45849</v>
      </c>
      <c r="F24" s="163" t="s">
        <v>316</v>
      </c>
      <c r="G24" s="6">
        <v>1</v>
      </c>
      <c r="H24" s="5">
        <v>100</v>
      </c>
      <c r="I24" s="134">
        <f>G24*H24</f>
        <v>100</v>
      </c>
      <c r="L24" s="172">
        <f>IF($B24="", "", IF(AND($I24, $B24=L$20, $E24=L$21, $F24=L$22, SUM($I$24)&gt;0), $I24, ""))</f>
        <v>100</v>
      </c>
      <c r="M24" s="172" t="str">
        <f t="shared" ref="M24:Q24" si="0">IF($B24="", "", IF(AND($I24, $B24=M$20, $E24=M$21, $F24=M$22, SUM($I$24)&gt;0), $I24, ""))</f>
        <v/>
      </c>
      <c r="N24" s="172" t="str">
        <f t="shared" si="0"/>
        <v/>
      </c>
      <c r="O24" s="172" t="str">
        <f>IF($B24="", "", IF(AND($I24, $B24=O$20, $E24=O$21, $F24=O$22, SUM($I$24)&gt;0), $I24, ""))</f>
        <v/>
      </c>
      <c r="P24" s="172" t="str">
        <f t="shared" si="0"/>
        <v/>
      </c>
      <c r="Q24" s="172" t="str">
        <f t="shared" si="0"/>
        <v/>
      </c>
    </row>
    <row r="25" spans="1:30" s="4" customFormat="1" ht="16" customHeight="1">
      <c r="A25" s="86"/>
      <c r="B25" s="161">
        <v>205</v>
      </c>
      <c r="C25" s="260"/>
      <c r="D25" s="261"/>
      <c r="E25" s="154">
        <v>45849</v>
      </c>
      <c r="F25" s="163" t="s">
        <v>316</v>
      </c>
      <c r="G25" s="6">
        <v>1</v>
      </c>
      <c r="H25" s="5">
        <v>50</v>
      </c>
      <c r="I25" s="134">
        <f t="shared" ref="I25:I26" si="1">G25*H25</f>
        <v>50</v>
      </c>
      <c r="L25" s="172" t="str">
        <f t="shared" ref="L25:Q26" si="2">IF($B25="", "", IF(AND($I25, $B25=L$20, $E25=L$21, $F25=L$22, SUM($I$24)&gt;0), $I25, ""))</f>
        <v/>
      </c>
      <c r="M25" s="172">
        <f t="shared" si="2"/>
        <v>50</v>
      </c>
      <c r="N25" s="172" t="str">
        <f t="shared" si="2"/>
        <v/>
      </c>
      <c r="O25" s="172" t="str">
        <f t="shared" si="2"/>
        <v/>
      </c>
      <c r="P25" s="172" t="str">
        <f t="shared" si="2"/>
        <v/>
      </c>
      <c r="Q25" s="172" t="str">
        <f t="shared" si="2"/>
        <v/>
      </c>
    </row>
    <row r="26" spans="1:30" s="4" customFormat="1" ht="16" customHeight="1">
      <c r="A26" s="86"/>
      <c r="B26" s="161">
        <v>112</v>
      </c>
      <c r="C26" s="260" t="s">
        <v>329</v>
      </c>
      <c r="D26" s="261"/>
      <c r="E26" s="154">
        <v>45848</v>
      </c>
      <c r="F26" s="163" t="s">
        <v>330</v>
      </c>
      <c r="G26" s="6">
        <v>1</v>
      </c>
      <c r="H26" s="5">
        <v>1000</v>
      </c>
      <c r="I26" s="134">
        <f t="shared" si="1"/>
        <v>1000</v>
      </c>
      <c r="L26" s="172" t="str">
        <f t="shared" si="2"/>
        <v/>
      </c>
      <c r="M26" s="172" t="str">
        <f t="shared" si="2"/>
        <v/>
      </c>
      <c r="N26" s="172">
        <f t="shared" si="2"/>
        <v>1000</v>
      </c>
      <c r="O26" s="172" t="str">
        <f t="shared" si="2"/>
        <v/>
      </c>
      <c r="P26" s="172" t="str">
        <f t="shared" si="2"/>
        <v/>
      </c>
      <c r="Q26" s="172" t="str">
        <f t="shared" si="2"/>
        <v/>
      </c>
    </row>
    <row r="27" spans="1:30" s="4" customFormat="1" ht="16">
      <c r="A27" s="86"/>
      <c r="B27" s="161">
        <v>204</v>
      </c>
      <c r="C27" s="260" t="s">
        <v>315</v>
      </c>
      <c r="D27" s="261"/>
      <c r="E27" s="154">
        <v>45849</v>
      </c>
      <c r="F27" s="163" t="s">
        <v>316</v>
      </c>
      <c r="G27" s="6">
        <v>1</v>
      </c>
      <c r="H27" s="5">
        <v>100</v>
      </c>
      <c r="I27" s="134">
        <f t="shared" ref="I27:I35" si="3">G27*H27</f>
        <v>100</v>
      </c>
      <c r="L27" s="172">
        <f t="shared" ref="L27:Q35" si="4">IF($B27="", "", IF(AND($I27, $B27=L$20, $E27=L$21, $F27=L$22, SUM($I$24)&gt;0), $I27, ""))</f>
        <v>100</v>
      </c>
      <c r="M27" s="172" t="str">
        <f t="shared" si="4"/>
        <v/>
      </c>
      <c r="N27" s="172" t="str">
        <f t="shared" si="4"/>
        <v/>
      </c>
      <c r="O27" s="172" t="str">
        <f t="shared" si="4"/>
        <v/>
      </c>
      <c r="P27" s="172" t="str">
        <f t="shared" si="4"/>
        <v/>
      </c>
      <c r="Q27" s="172" t="str">
        <f t="shared" si="4"/>
        <v/>
      </c>
    </row>
    <row r="28" spans="1:30" s="4" customFormat="1" ht="16" customHeight="1">
      <c r="A28" s="86"/>
      <c r="B28" s="161">
        <v>1</v>
      </c>
      <c r="C28" s="260" t="s">
        <v>339</v>
      </c>
      <c r="D28" s="261"/>
      <c r="E28" s="154">
        <v>45849</v>
      </c>
      <c r="F28" s="163" t="s">
        <v>5</v>
      </c>
      <c r="G28" s="6">
        <v>1</v>
      </c>
      <c r="H28" s="5">
        <v>1000</v>
      </c>
      <c r="I28" s="134">
        <f t="shared" si="3"/>
        <v>1000</v>
      </c>
      <c r="L28" s="172" t="str">
        <f t="shared" si="4"/>
        <v/>
      </c>
      <c r="M28" s="172" t="str">
        <f t="shared" si="4"/>
        <v/>
      </c>
      <c r="N28" s="172" t="str">
        <f t="shared" si="4"/>
        <v/>
      </c>
      <c r="O28" s="172">
        <f t="shared" si="4"/>
        <v>1000</v>
      </c>
      <c r="P28" s="172" t="str">
        <f t="shared" si="4"/>
        <v/>
      </c>
      <c r="Q28" s="172" t="str">
        <f t="shared" si="4"/>
        <v/>
      </c>
    </row>
    <row r="29" spans="1:30" s="4" customFormat="1" ht="16" customHeight="1">
      <c r="A29" s="86"/>
      <c r="B29" s="161">
        <v>204</v>
      </c>
      <c r="C29" s="260" t="s">
        <v>315</v>
      </c>
      <c r="D29" s="261"/>
      <c r="E29" s="154">
        <v>45849</v>
      </c>
      <c r="F29" s="163" t="s">
        <v>316</v>
      </c>
      <c r="G29" s="6">
        <v>1</v>
      </c>
      <c r="H29" s="5">
        <v>100</v>
      </c>
      <c r="I29" s="134">
        <f t="shared" si="3"/>
        <v>100</v>
      </c>
      <c r="L29" s="172">
        <f t="shared" si="4"/>
        <v>100</v>
      </c>
      <c r="M29" s="172" t="str">
        <f t="shared" si="4"/>
        <v/>
      </c>
      <c r="N29" s="172" t="str">
        <f t="shared" si="4"/>
        <v/>
      </c>
      <c r="O29" s="172" t="str">
        <f t="shared" si="4"/>
        <v/>
      </c>
      <c r="P29" s="172" t="str">
        <f t="shared" si="4"/>
        <v/>
      </c>
      <c r="Q29" s="172" t="str">
        <f t="shared" si="4"/>
        <v/>
      </c>
    </row>
    <row r="30" spans="1:30" s="4" customFormat="1" ht="16" customHeight="1">
      <c r="A30" s="86"/>
      <c r="B30" s="161">
        <v>204</v>
      </c>
      <c r="C30" s="260" t="s">
        <v>315</v>
      </c>
      <c r="D30" s="261"/>
      <c r="E30" s="154">
        <v>45849</v>
      </c>
      <c r="F30" s="163" t="s">
        <v>316</v>
      </c>
      <c r="G30" s="6">
        <v>1</v>
      </c>
      <c r="H30" s="5">
        <v>100</v>
      </c>
      <c r="I30" s="134">
        <f t="shared" si="3"/>
        <v>100</v>
      </c>
      <c r="L30" s="172">
        <f t="shared" si="4"/>
        <v>100</v>
      </c>
      <c r="M30" s="172" t="str">
        <f t="shared" si="4"/>
        <v/>
      </c>
      <c r="N30" s="172" t="str">
        <f t="shared" si="4"/>
        <v/>
      </c>
      <c r="O30" s="172" t="str">
        <f t="shared" si="4"/>
        <v/>
      </c>
      <c r="P30" s="172" t="str">
        <f t="shared" si="4"/>
        <v/>
      </c>
      <c r="Q30" s="172" t="str">
        <f t="shared" si="4"/>
        <v/>
      </c>
    </row>
    <row r="31" spans="1:30" s="4" customFormat="1" ht="16" customHeight="1">
      <c r="A31" s="86"/>
      <c r="B31" s="161">
        <v>204</v>
      </c>
      <c r="C31" s="260" t="s">
        <v>315</v>
      </c>
      <c r="D31" s="261"/>
      <c r="E31" s="154">
        <v>45849</v>
      </c>
      <c r="F31" s="163" t="s">
        <v>316</v>
      </c>
      <c r="G31" s="6">
        <v>1</v>
      </c>
      <c r="H31" s="5">
        <v>100</v>
      </c>
      <c r="I31" s="134">
        <f t="shared" si="3"/>
        <v>100</v>
      </c>
      <c r="L31" s="172">
        <f t="shared" si="4"/>
        <v>100</v>
      </c>
      <c r="M31" s="172" t="str">
        <f t="shared" si="4"/>
        <v/>
      </c>
      <c r="N31" s="172" t="str">
        <f t="shared" si="4"/>
        <v/>
      </c>
      <c r="O31" s="172" t="str">
        <f t="shared" si="4"/>
        <v/>
      </c>
      <c r="P31" s="172" t="str">
        <f t="shared" si="4"/>
        <v/>
      </c>
      <c r="Q31" s="172" t="str">
        <f t="shared" si="4"/>
        <v/>
      </c>
    </row>
    <row r="32" spans="1:30" s="4" customFormat="1" ht="16" customHeight="1">
      <c r="A32" s="86"/>
      <c r="B32" s="161">
        <v>204</v>
      </c>
      <c r="C32" s="260" t="s">
        <v>315</v>
      </c>
      <c r="D32" s="261"/>
      <c r="E32" s="154">
        <v>45849</v>
      </c>
      <c r="F32" s="163" t="s">
        <v>316</v>
      </c>
      <c r="G32" s="6">
        <v>1</v>
      </c>
      <c r="H32" s="5">
        <v>100</v>
      </c>
      <c r="I32" s="134">
        <f t="shared" si="3"/>
        <v>100</v>
      </c>
      <c r="L32" s="172">
        <f t="shared" si="4"/>
        <v>100</v>
      </c>
      <c r="M32" s="172" t="str">
        <f t="shared" si="4"/>
        <v/>
      </c>
      <c r="N32" s="172" t="str">
        <f t="shared" si="4"/>
        <v/>
      </c>
      <c r="O32" s="172" t="str">
        <f t="shared" si="4"/>
        <v/>
      </c>
      <c r="P32" s="172" t="str">
        <f t="shared" si="4"/>
        <v/>
      </c>
      <c r="Q32" s="172" t="str">
        <f t="shared" si="4"/>
        <v/>
      </c>
    </row>
    <row r="33" spans="1:19" s="4" customFormat="1" ht="16" customHeight="1">
      <c r="A33" s="86"/>
      <c r="B33" s="161">
        <v>204</v>
      </c>
      <c r="C33" s="260" t="s">
        <v>315</v>
      </c>
      <c r="D33" s="261"/>
      <c r="E33" s="154">
        <v>45849</v>
      </c>
      <c r="F33" s="163" t="s">
        <v>316</v>
      </c>
      <c r="G33" s="6">
        <v>1</v>
      </c>
      <c r="H33" s="5">
        <v>100</v>
      </c>
      <c r="I33" s="134">
        <f t="shared" si="3"/>
        <v>100</v>
      </c>
      <c r="L33" s="172">
        <f t="shared" si="4"/>
        <v>100</v>
      </c>
      <c r="M33" s="172" t="str">
        <f t="shared" si="4"/>
        <v/>
      </c>
      <c r="N33" s="172" t="str">
        <f t="shared" si="4"/>
        <v/>
      </c>
      <c r="O33" s="172" t="str">
        <f t="shared" si="4"/>
        <v/>
      </c>
      <c r="P33" s="172" t="str">
        <f t="shared" si="4"/>
        <v/>
      </c>
      <c r="Q33" s="172" t="str">
        <f t="shared" si="4"/>
        <v/>
      </c>
    </row>
    <row r="34" spans="1:19" s="4" customFormat="1" ht="16" customHeight="1">
      <c r="A34" s="86"/>
      <c r="B34" s="161">
        <v>204</v>
      </c>
      <c r="C34" s="260" t="s">
        <v>315</v>
      </c>
      <c r="D34" s="261"/>
      <c r="E34" s="154">
        <v>45849</v>
      </c>
      <c r="F34" s="163" t="s">
        <v>316</v>
      </c>
      <c r="G34" s="6">
        <v>1</v>
      </c>
      <c r="H34" s="5">
        <v>100</v>
      </c>
      <c r="I34" s="134">
        <f t="shared" si="3"/>
        <v>100</v>
      </c>
      <c r="L34" s="172">
        <f t="shared" si="4"/>
        <v>100</v>
      </c>
      <c r="M34" s="172" t="str">
        <f t="shared" si="4"/>
        <v/>
      </c>
      <c r="N34" s="172" t="str">
        <f t="shared" si="4"/>
        <v/>
      </c>
      <c r="O34" s="172" t="str">
        <f t="shared" si="4"/>
        <v/>
      </c>
      <c r="P34" s="172" t="str">
        <f t="shared" si="4"/>
        <v/>
      </c>
      <c r="Q34" s="172" t="str">
        <f t="shared" si="4"/>
        <v/>
      </c>
    </row>
    <row r="35" spans="1:19" s="4" customFormat="1" ht="16" customHeight="1" thickBot="1">
      <c r="A35" s="86"/>
      <c r="B35" s="162"/>
      <c r="C35" s="230"/>
      <c r="D35" s="231"/>
      <c r="E35" s="104"/>
      <c r="F35" s="164"/>
      <c r="G35" s="104"/>
      <c r="H35" s="105"/>
      <c r="I35" s="135">
        <f t="shared" si="3"/>
        <v>0</v>
      </c>
      <c r="L35" s="4" t="str">
        <f t="shared" si="4"/>
        <v/>
      </c>
      <c r="M35" s="4" t="str">
        <f t="shared" si="4"/>
        <v/>
      </c>
      <c r="N35" s="4" t="str">
        <f t="shared" si="4"/>
        <v/>
      </c>
      <c r="O35" s="4" t="str">
        <f t="shared" si="4"/>
        <v/>
      </c>
      <c r="P35" s="4" t="str">
        <f t="shared" si="4"/>
        <v/>
      </c>
      <c r="Q35" s="4" t="str">
        <f t="shared" si="4"/>
        <v/>
      </c>
      <c r="R35" s="4" t="str">
        <f>IF($B35="", "", IF(AND($I35, $B35=R$20, $E35=R$21, $F35=R$22, SUM($I$24)&gt;0), $I35, ""))</f>
        <v/>
      </c>
    </row>
    <row r="36" spans="1:19" s="4" customFormat="1" ht="16" customHeight="1" thickBot="1">
      <c r="A36" s="86"/>
      <c r="B36" s="136"/>
      <c r="C36" s="106"/>
      <c r="D36" s="106"/>
      <c r="E36" s="106"/>
      <c r="F36" s="106"/>
      <c r="G36" s="107"/>
      <c r="H36" s="107"/>
      <c r="I36" s="137"/>
      <c r="L36" s="177">
        <f>IF(SUM(L24:L35), SUM(L24:L35),"")</f>
        <v>800</v>
      </c>
      <c r="M36" s="178">
        <f t="shared" ref="M36:Q36" si="5">IF(SUM(M24:M35), SUM(M24:M35),"")</f>
        <v>50</v>
      </c>
      <c r="N36" s="179">
        <f t="shared" si="5"/>
        <v>1000</v>
      </c>
      <c r="O36" s="179">
        <f>IF(SUM(O24:O35), SUM(O24:O35),"")</f>
        <v>1000</v>
      </c>
      <c r="P36" s="179" t="str">
        <f t="shared" si="5"/>
        <v/>
      </c>
      <c r="Q36" s="180" t="str">
        <f t="shared" si="5"/>
        <v/>
      </c>
    </row>
    <row r="37" spans="1:19" s="4" customFormat="1" ht="16" customHeight="1" thickBot="1">
      <c r="A37" s="86"/>
      <c r="B37" s="138" t="s">
        <v>266</v>
      </c>
      <c r="C37" s="2"/>
      <c r="D37" s="2"/>
      <c r="E37" s="96"/>
      <c r="F37" s="97"/>
      <c r="G37" s="145" t="s">
        <v>264</v>
      </c>
      <c r="H37" s="146"/>
      <c r="I37" s="147">
        <f>SUM(I23:I35)</f>
        <v>2850</v>
      </c>
      <c r="L37" s="168" t="s">
        <v>317</v>
      </c>
      <c r="M37" s="169" t="s">
        <v>328</v>
      </c>
      <c r="N37" s="170" t="s">
        <v>318</v>
      </c>
      <c r="O37" s="170" t="s">
        <v>319</v>
      </c>
      <c r="P37" s="170" t="s">
        <v>320</v>
      </c>
      <c r="Q37" s="171" t="s">
        <v>321</v>
      </c>
    </row>
    <row r="38" spans="1:19" s="4" customFormat="1" ht="16" customHeight="1" thickBot="1">
      <c r="A38" s="86"/>
      <c r="B38" s="138"/>
      <c r="C38" s="274"/>
      <c r="D38" s="274"/>
      <c r="E38" s="99"/>
      <c r="F38" s="98"/>
      <c r="G38" s="148"/>
      <c r="H38" s="95"/>
      <c r="I38" s="139"/>
    </row>
    <row r="39" spans="1:19" s="4" customFormat="1" ht="16" customHeight="1">
      <c r="A39" s="86"/>
      <c r="B39" s="138"/>
      <c r="C39" s="1"/>
      <c r="D39" s="1"/>
      <c r="E39" s="98"/>
      <c r="F39" s="98"/>
      <c r="G39" s="148" t="s">
        <v>263</v>
      </c>
      <c r="H39" s="98" t="s">
        <v>265</v>
      </c>
      <c r="I39" s="140"/>
      <c r="L39" s="232" t="s">
        <v>334</v>
      </c>
      <c r="M39" s="233"/>
      <c r="N39" s="233"/>
      <c r="O39" s="233"/>
      <c r="P39" s="233"/>
      <c r="Q39" s="233"/>
      <c r="R39" s="234"/>
    </row>
    <row r="40" spans="1:19" ht="16" customHeight="1" thickBot="1">
      <c r="A40" s="80"/>
      <c r="B40" s="138" t="s">
        <v>267</v>
      </c>
      <c r="C40" s="2"/>
      <c r="D40" s="2"/>
      <c r="E40" s="97"/>
      <c r="F40" s="97"/>
      <c r="G40" s="148" t="s">
        <v>21</v>
      </c>
      <c r="H40" s="98"/>
      <c r="I40" s="141">
        <f>SUM(I37:I39)</f>
        <v>2850</v>
      </c>
      <c r="L40" s="208" t="s">
        <v>340</v>
      </c>
      <c r="M40" s="188" t="s">
        <v>4</v>
      </c>
      <c r="N40" s="209" t="s">
        <v>16</v>
      </c>
      <c r="O40" s="209" t="s">
        <v>17</v>
      </c>
      <c r="P40" s="210" t="s">
        <v>12</v>
      </c>
      <c r="Q40" s="209" t="s">
        <v>18</v>
      </c>
      <c r="R40" s="211" t="s">
        <v>242</v>
      </c>
      <c r="S40" s="212" t="s">
        <v>19</v>
      </c>
    </row>
    <row r="41" spans="1:19" ht="16" customHeight="1" thickBot="1">
      <c r="B41" s="142"/>
      <c r="C41" s="143"/>
      <c r="D41" s="143"/>
      <c r="E41" s="143"/>
      <c r="F41" s="143"/>
      <c r="G41" s="142"/>
      <c r="H41" s="143"/>
      <c r="I41" s="144"/>
      <c r="L41" s="204" t="str">
        <f>IF(SUM($L$24:$L$35), "#A","")</f>
        <v>#A</v>
      </c>
      <c r="M41" s="192">
        <f>IF('2499-005'!$L41="#A", L20,"")</f>
        <v>204</v>
      </c>
      <c r="N41" s="193" t="str">
        <f t="shared" ref="N41:N49" si="6">Vendor</f>
        <v>Vendor</v>
      </c>
      <c r="O41" s="194" t="str">
        <f>IF('2499-005'!$L41="#A", Sheet_PO,"")</f>
        <v>2499-005</v>
      </c>
      <c r="P41" s="195">
        <f>IF('2499-005'!$L41="#A", L$21,"")</f>
        <v>45849</v>
      </c>
      <c r="Q41" s="194" t="str">
        <f>IF('2499-005'!$L41="#A", L$22,"")</f>
        <v>CC 2456</v>
      </c>
      <c r="R41" s="196">
        <f>IF('2499-005'!$L41="#A", L$36,"")</f>
        <v>800</v>
      </c>
      <c r="S41" s="194" t="str">
        <f>IF('2499-005'!$L41="#A",
      INDEX('Line No'!$B$1:$B$342, MATCH('2499-005'!$M41, 'Line No'!$A$1:$A$342, 0)),
      "")</f>
        <v>Production Supplies</v>
      </c>
    </row>
    <row r="42" spans="1:19" ht="16" customHeight="1">
      <c r="L42" s="205" t="str">
        <f>IF(SUM($M$24:$M$34), "#B", "")</f>
        <v>#B</v>
      </c>
      <c r="M42" s="197">
        <f>IF('2499-005'!$L42="#B", L20,"")</f>
        <v>204</v>
      </c>
      <c r="N42" s="197" t="str">
        <f t="shared" si="6"/>
        <v>Vendor</v>
      </c>
      <c r="O42" s="197" t="str">
        <f>IF('2499-005'!$L42="#B", Sheet_PO,"")</f>
        <v>2499-005</v>
      </c>
      <c r="P42" s="198">
        <f>IF('2499-005'!$L42="#B", M21,"")</f>
        <v>45849</v>
      </c>
      <c r="Q42" s="197" t="str">
        <f>IF('2499-005'!$L42="#B", M22,"")</f>
        <v>CC 2456</v>
      </c>
      <c r="R42" s="199">
        <f>IF('2499-005'!$L42="#B", M36,"")</f>
        <v>50</v>
      </c>
      <c r="S42" s="197" t="str">
        <f>IF('2499-005'!$L42="#B",
      INDEX('Line No'!$B$1:$B$342, MATCH('2499-005'!$M42, 'Line No'!$A$1:$A$342, 0)),
      "")</f>
        <v>Production Supplies</v>
      </c>
    </row>
    <row r="43" spans="1:19" ht="16" customHeight="1">
      <c r="G43" s="111"/>
      <c r="H43" s="111"/>
      <c r="I43" s="111"/>
      <c r="L43" s="206" t="str">
        <f>IF(SUM($N$24:$N$34), "#C", "")</f>
        <v>#C</v>
      </c>
      <c r="M43" s="194">
        <f>IF('2499-005'!$L43="#C", M20,"")</f>
        <v>205</v>
      </c>
      <c r="N43" s="193" t="str">
        <f t="shared" si="6"/>
        <v>Vendor</v>
      </c>
      <c r="O43" s="194" t="str">
        <f>IF('2499-005'!$L43="#C", Sheet_PO,"")</f>
        <v>2499-005</v>
      </c>
      <c r="P43" s="195">
        <f>IF('2499-005'!$L43="#C", N21,"")</f>
        <v>45848</v>
      </c>
      <c r="Q43" s="194" t="str">
        <f>IF('2499-005'!$L43="#C", N22,"")</f>
        <v>CHK 101</v>
      </c>
      <c r="R43" s="196">
        <f>IF('2499-005'!$L43="#C", N36,"")</f>
        <v>1000</v>
      </c>
      <c r="S43" s="194" t="str">
        <f>IF('2499-005'!$L43="#C",
      INDEX('Line No'!$B$1:$B$342, MATCH('2499-005'!$M43, 'Line No'!$A$1:$A$342, 0)),
      "")</f>
        <v>Location Supplies</v>
      </c>
    </row>
    <row r="44" spans="1:19" ht="16" customHeight="1">
      <c r="G44" s="111"/>
      <c r="H44" s="167"/>
      <c r="I44" s="111"/>
      <c r="L44" s="207" t="str">
        <f>IF(SUM($O$24:$O$34), "#D", "")</f>
        <v>#D</v>
      </c>
      <c r="M44" s="197">
        <f>IF('2499-005'!$L44="#D", N20,"")</f>
        <v>112</v>
      </c>
      <c r="N44" s="197" t="str">
        <f t="shared" si="6"/>
        <v>Vendor</v>
      </c>
      <c r="O44" s="197" t="str">
        <f>IF('2499-005'!$L44="#D", Sheet_PO,"")</f>
        <v>2499-005</v>
      </c>
      <c r="P44" s="198">
        <f>IF('2499-005'!$L44="#D", O21,"")</f>
        <v>45849</v>
      </c>
      <c r="Q44" s="197" t="str">
        <f>IF('2499-005'!$L44="#D", O22,"")</f>
        <v>CASH</v>
      </c>
      <c r="R44" s="199">
        <f>IF('2499-005'!$L44="#D", O36,"")</f>
        <v>1000</v>
      </c>
      <c r="S44" s="197" t="str">
        <f>IF('2499-005'!$L44="#D",
      INDEX('Line No'!$B$1:$B$342, MATCH('2499-005'!$M44, 'Line No'!$A$1:$A$342, 0)),
      "")</f>
        <v>Pre Pro Meals</v>
      </c>
    </row>
    <row r="45" spans="1:19" ht="16" customHeight="1">
      <c r="C45" s="181"/>
      <c r="D45" s="181"/>
      <c r="E45" s="181"/>
      <c r="F45" s="181"/>
      <c r="G45" s="112"/>
      <c r="H45" s="112"/>
      <c r="I45" s="113"/>
      <c r="L45" s="206" t="str">
        <f>IF(SUM($P$24:$P$34), "#E", "")</f>
        <v/>
      </c>
      <c r="M45" s="194" t="str">
        <f>IF('2499-005'!$L45="#E", O20,"")</f>
        <v/>
      </c>
      <c r="N45" s="193" t="str">
        <f t="shared" si="6"/>
        <v>Vendor</v>
      </c>
      <c r="O45" s="194" t="str">
        <f>IF('2499-005'!$L45="#E", Sheet_PO,"")</f>
        <v/>
      </c>
      <c r="P45" s="195" t="str">
        <f>IF('2499-005'!$L45="#E", P21,"")</f>
        <v/>
      </c>
      <c r="Q45" s="194" t="str">
        <f>IF('2499-005'!$L45="#E", P22,"")</f>
        <v/>
      </c>
      <c r="R45" s="196" t="str">
        <f>IF('2499-005'!$L45="#E", P36,"")</f>
        <v/>
      </c>
      <c r="S45" s="194" t="str">
        <f>IF('2499-005'!$L45="#E",
      INDEX('Line No'!$B$1:$B$342, MATCH('2499-005'!$M45, 'Line No'!$A$1:$A$342, 0)),
      "")</f>
        <v/>
      </c>
    </row>
    <row r="46" spans="1:19" ht="16" customHeight="1">
      <c r="L46" s="207" t="str">
        <f>IF(SUM($Q$24:$Q$34), "#F", "")</f>
        <v/>
      </c>
      <c r="M46" s="197" t="str">
        <f>IF('2499-005'!$L46="#F", P20,"")</f>
        <v/>
      </c>
      <c r="N46" s="197" t="str">
        <f t="shared" si="6"/>
        <v>Vendor</v>
      </c>
      <c r="O46" s="197" t="str">
        <f>IF('2499-005'!$L46="#F", Sheet_PO,"")</f>
        <v/>
      </c>
      <c r="P46" s="198" t="str">
        <f>IF('2499-005'!$L46="#F", Q21,"")</f>
        <v/>
      </c>
      <c r="Q46" s="197" t="str">
        <f>IF('2499-005'!$L46="#F", Q22,"")</f>
        <v/>
      </c>
      <c r="R46" s="199" t="str">
        <f>IF('2499-005'!$L46="#F", Q36,"")</f>
        <v/>
      </c>
      <c r="S46" s="197" t="str">
        <f>IF('2499-005'!$L46="#F",
      INDEX('Line No'!$B$1:$B$342, MATCH('2499-005'!$M46, 'Line No'!$A$1:$A$342, 0)),
      "")</f>
        <v/>
      </c>
    </row>
    <row r="47" spans="1:19" ht="16" customHeight="1">
      <c r="L47" s="206" t="str">
        <f>IF(SUM($R$24:$R$34), "#G", "")</f>
        <v/>
      </c>
      <c r="M47" s="194" t="str">
        <f>IF('2499-005'!$L47="#G", Q20,"")</f>
        <v/>
      </c>
      <c r="N47" s="193" t="str">
        <f t="shared" si="6"/>
        <v>Vendor</v>
      </c>
      <c r="O47" s="194" t="str">
        <f>IF('2499-005'!$L47="#G", Sheet_PO,"")</f>
        <v/>
      </c>
      <c r="P47" s="200" t="str">
        <f>IF('2499-005'!$L47="#G", R21,"")</f>
        <v/>
      </c>
      <c r="Q47" s="201" t="str">
        <f>IF('2499-005'!$L47="#G", R22,"")</f>
        <v/>
      </c>
      <c r="R47" s="196" t="str">
        <f>IF('2499-005'!$L47="#G", R36,"")</f>
        <v/>
      </c>
      <c r="S47" s="194" t="str">
        <f>IF('2499-005'!$L47="#G",
      INDEX('Line No'!$B$1:$B$342, MATCH('2499-005'!$M47, 'Line No'!$A$1:$A$342, 0)),
      "")</f>
        <v/>
      </c>
    </row>
    <row r="48" spans="1:19" ht="16" customHeight="1">
      <c r="L48" s="207" t="str">
        <f>IF(SUM($S$24:$S$34), "#H", "")</f>
        <v/>
      </c>
      <c r="M48" s="197" t="str">
        <f>IF('2499-005'!$L48="#H", R20,"")</f>
        <v/>
      </c>
      <c r="N48" s="197" t="str">
        <f t="shared" si="6"/>
        <v>Vendor</v>
      </c>
      <c r="O48" s="197" t="str">
        <f>IF('2499-005'!$L48="#H", Sheet_PO,"")</f>
        <v/>
      </c>
      <c r="P48" s="202" t="str">
        <f>IF('2499-005'!$L48="#H", T21,"")</f>
        <v/>
      </c>
      <c r="Q48" s="203" t="str">
        <f>IF('2499-005'!$L48="#H", T22,"")</f>
        <v/>
      </c>
      <c r="R48" s="199" t="str">
        <f>IF('2499-005'!$L48="#H", T36,"")</f>
        <v/>
      </c>
      <c r="S48" s="197" t="str">
        <f>IF('2499-005'!$L48="#H",
      INDEX('Line No'!$B$1:$B$342, MATCH('2499-005'!$M48, 'Line No'!$A$1:$A$342, 0)),
      "")</f>
        <v/>
      </c>
    </row>
    <row r="49" spans="11:19" ht="16" customHeight="1">
      <c r="K49" s="1" cm="1">
        <f t="array" ref="K49">SUMPRODUCT(--(L41:L49&lt;&gt;""))</f>
        <v>4</v>
      </c>
      <c r="L49" s="206" t="str">
        <f>IF(SUM($T$24:$T$34), "#OTHER", "")</f>
        <v/>
      </c>
      <c r="M49" s="194" t="str">
        <f>IF('2499-005'!$L49="#I", T20,"")</f>
        <v/>
      </c>
      <c r="N49" s="193" t="str">
        <f t="shared" si="6"/>
        <v>Vendor</v>
      </c>
      <c r="O49" s="194" t="str">
        <f>IF('2499-005'!$L49="#I", Sheet_PO,"")</f>
        <v/>
      </c>
      <c r="P49" s="200" t="str">
        <f>IF('2499-005'!$L49="#I", U21,"")</f>
        <v/>
      </c>
      <c r="Q49" s="201" t="str">
        <f>IF('2499-005'!$L49="#I", U22,"")</f>
        <v/>
      </c>
      <c r="R49" s="196" t="str">
        <f>IF('2499-005'!$L49="#I", U36,"")</f>
        <v/>
      </c>
      <c r="S49" s="194" t="str">
        <f>IF('2499-005'!$L49="#I",
      INDEX('Line No'!$B$1:$B$342, MATCH('2499-005'!$M49, 'Line No'!$A$1:$A$342, 0)),
      "")</f>
        <v/>
      </c>
    </row>
    <row r="50" spans="11:19" ht="16" customHeight="1">
      <c r="L50" s="213"/>
      <c r="M50" s="213"/>
      <c r="N50" s="214"/>
      <c r="O50" s="213"/>
      <c r="P50" s="213"/>
      <c r="Q50" s="213"/>
      <c r="R50" s="215"/>
      <c r="S50" s="213"/>
    </row>
  </sheetData>
  <sheetProtection formatCells="0" formatColumns="0" formatRows="0" insertColumns="0" insertRows="0" deleteRows="0" selectLockedCells="1"/>
  <mergeCells count="42">
    <mergeCell ref="J3:L3"/>
    <mergeCell ref="B4:G4"/>
    <mergeCell ref="C9:D9"/>
    <mergeCell ref="F9:I9"/>
    <mergeCell ref="G1:I1"/>
    <mergeCell ref="B2:C2"/>
    <mergeCell ref="D2:G2"/>
    <mergeCell ref="G3:I3"/>
    <mergeCell ref="C5:D5"/>
    <mergeCell ref="E5:H6"/>
    <mergeCell ref="C6:D6"/>
    <mergeCell ref="B7:C7"/>
    <mergeCell ref="D7:E7"/>
    <mergeCell ref="C10:D10"/>
    <mergeCell ref="F10:I10"/>
    <mergeCell ref="C11:D11"/>
    <mergeCell ref="C12:D12"/>
    <mergeCell ref="C13:D13"/>
    <mergeCell ref="F13:I13"/>
    <mergeCell ref="C14:D14"/>
    <mergeCell ref="F14:I14"/>
    <mergeCell ref="C18:E18"/>
    <mergeCell ref="F18:I18"/>
    <mergeCell ref="C19:E19"/>
    <mergeCell ref="F19:I19"/>
    <mergeCell ref="C32:D32"/>
    <mergeCell ref="T19:Y19"/>
    <mergeCell ref="B22:I22"/>
    <mergeCell ref="C23:D23"/>
    <mergeCell ref="C24:D24"/>
    <mergeCell ref="C25:D25"/>
    <mergeCell ref="C26:D26"/>
    <mergeCell ref="C27:D27"/>
    <mergeCell ref="C28:D28"/>
    <mergeCell ref="C29:D29"/>
    <mergeCell ref="C30:D30"/>
    <mergeCell ref="C31:D31"/>
    <mergeCell ref="C33:D33"/>
    <mergeCell ref="C34:D34"/>
    <mergeCell ref="C35:D35"/>
    <mergeCell ref="C38:D38"/>
    <mergeCell ref="L39:R39"/>
  </mergeCells>
  <conditionalFormatting sqref="S41:S49">
    <cfRule type="containsText" dxfId="7"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58</vt:i4>
      </vt:variant>
    </vt:vector>
  </HeadingPairs>
  <TitlesOfParts>
    <vt:vector size="69" baseType="lpstr">
      <vt:lpstr>Instructions</vt:lpstr>
      <vt:lpstr>Line No</vt:lpstr>
      <vt:lpstr>PO DATA</vt:lpstr>
      <vt:lpstr>PO Log</vt:lpstr>
      <vt:lpstr>TEMPLATE-SHEET</vt:lpstr>
      <vt:lpstr>Sheet_Index</vt:lpstr>
      <vt:lpstr>2499-001</vt:lpstr>
      <vt:lpstr>2499-002</vt:lpstr>
      <vt:lpstr>2499-003</vt:lpstr>
      <vt:lpstr>2499-004</vt:lpstr>
      <vt:lpstr>2499-005</vt:lpstr>
      <vt:lpstr>'2499-001'!count</vt:lpstr>
      <vt:lpstr>'2499-002'!count</vt:lpstr>
      <vt:lpstr>'2499-003'!count</vt:lpstr>
      <vt:lpstr>'2499-004'!count</vt:lpstr>
      <vt:lpstr>'2499-005'!count</vt:lpstr>
      <vt:lpstr>'TEMPLATE-SHEET'!count</vt:lpstr>
      <vt:lpstr>'2499-001'!DateEntry</vt:lpstr>
      <vt:lpstr>'2499-002'!DateEntry</vt:lpstr>
      <vt:lpstr>'2499-003'!DateEntry</vt:lpstr>
      <vt:lpstr>'2499-004'!DateEntry</vt:lpstr>
      <vt:lpstr>'2499-005'!DateEntry</vt:lpstr>
      <vt:lpstr>DateEntry</vt:lpstr>
      <vt:lpstr>End</vt:lpstr>
      <vt:lpstr>Job_Name</vt:lpstr>
      <vt:lpstr>Job_Number</vt:lpstr>
      <vt:lpstr>Line</vt:lpstr>
      <vt:lpstr>'2499-001'!LineEntry</vt:lpstr>
      <vt:lpstr>'2499-002'!LineEntry</vt:lpstr>
      <vt:lpstr>'2499-003'!LineEntry</vt:lpstr>
      <vt:lpstr>'2499-004'!LineEntry</vt:lpstr>
      <vt:lpstr>'2499-005'!LineEntry</vt:lpstr>
      <vt:lpstr>'TEMPLATE-SHEET'!LineEntry</vt:lpstr>
      <vt:lpstr>'2499-001'!PAYEE</vt:lpstr>
      <vt:lpstr>'2499-002'!PAYEE</vt:lpstr>
      <vt:lpstr>'2499-003'!PAYEE</vt:lpstr>
      <vt:lpstr>'2499-004'!PAYEE</vt:lpstr>
      <vt:lpstr>'2499-005'!PAYEE</vt:lpstr>
      <vt:lpstr>'TEMPLATE-SHEET'!PAYEE</vt:lpstr>
      <vt:lpstr>'2499-001'!PayIDEntry</vt:lpstr>
      <vt:lpstr>'2499-002'!PayIDEntry</vt:lpstr>
      <vt:lpstr>'2499-003'!PayIDEntry</vt:lpstr>
      <vt:lpstr>'2499-004'!PayIDEntry</vt:lpstr>
      <vt:lpstr>'2499-005'!PayIDEntry</vt:lpstr>
      <vt:lpstr>PayIDEntry</vt:lpstr>
      <vt:lpstr>'PO Log'!PO_LOG_name</vt:lpstr>
      <vt:lpstr>POtable</vt:lpstr>
      <vt:lpstr>POtable_header</vt:lpstr>
      <vt:lpstr>Prefix</vt:lpstr>
      <vt:lpstr>'2499-001'!Print_Area</vt:lpstr>
      <vt:lpstr>'2499-002'!Print_Area</vt:lpstr>
      <vt:lpstr>'2499-003'!Print_Area</vt:lpstr>
      <vt:lpstr>'2499-004'!Print_Area</vt:lpstr>
      <vt:lpstr>'2499-005'!Print_Area</vt:lpstr>
      <vt:lpstr>'PO Log'!Print_Area</vt:lpstr>
      <vt:lpstr>'TEMPLATE-SHEET'!Print_Area</vt:lpstr>
      <vt:lpstr>'2499-001'!Sheet_PO</vt:lpstr>
      <vt:lpstr>'2499-002'!Sheet_PO</vt:lpstr>
      <vt:lpstr>'2499-003'!Sheet_PO</vt:lpstr>
      <vt:lpstr>'2499-004'!Sheet_PO</vt:lpstr>
      <vt:lpstr>'2499-005'!Sheet_PO</vt:lpstr>
      <vt:lpstr>Sheet_PO</vt:lpstr>
      <vt:lpstr>Start</vt:lpstr>
      <vt:lpstr>'2499-001'!Vendor</vt:lpstr>
      <vt:lpstr>'2499-002'!Vendor</vt:lpstr>
      <vt:lpstr>'2499-003'!Vendor</vt:lpstr>
      <vt:lpstr>'2499-004'!Vendor</vt:lpstr>
      <vt:lpstr>'2499-005'!Vendor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2025-02-27T23:42:00Z</dcterms:modified>
  <cp:category/>
</cp:coreProperties>
</file>