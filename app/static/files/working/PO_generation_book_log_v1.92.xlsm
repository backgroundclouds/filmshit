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D40F273E-5A01-B04E-A4AF-CBEF561F0AB0}" xr6:coauthVersionLast="47" xr6:coauthVersionMax="47" xr10:uidLastSave="{00000000-0000-0000-0000-000000000000}"/>
  <bookViews>
    <workbookView xWindow="5520" yWindow="1100" windowWidth="24160" windowHeight="19520" firstSheet="1" activeTab="3" xr2:uid="{F53C5A8A-5863-CA49-A26A-71321E44290F}"/>
  </bookViews>
  <sheets>
    <sheet name="Instructions" sheetId="610" r:id="rId1"/>
    <sheet name="Line No" sheetId="3" r:id="rId2"/>
    <sheet name="PO DATA" sheetId="6" r:id="rId3"/>
    <sheet name="PO Log_2" sheetId="785" r:id="rId4"/>
    <sheet name="PO Log" sheetId="2" r:id="rId5"/>
    <sheet name="TEMPLATE-SHEET" sheetId="4" r:id="rId6"/>
    <sheet name="Sheet_Index" sheetId="748" r:id="rId7"/>
    <sheet name="2499-001" sheetId="786" r:id="rId8"/>
    <sheet name="2499-002" sheetId="787" r:id="rId9"/>
    <sheet name="2499-003" sheetId="788" r:id="rId10"/>
    <sheet name="2499-004" sheetId="789" r:id="rId11"/>
    <sheet name="2499-005" sheetId="790" r:id="rId12"/>
  </sheet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UNIQUE" hidden="1" xlm="1">#NAME?</definedName>
    <definedName name="_xleta.VSTACK" hidden="1" xlm="1">#NAME?</definedName>
    <definedName name="_xleta.WRAPCOLS" hidden="1" xlm="1">#NAME?</definedName>
    <definedName name="_xlpm.a"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7">'2499-001'!$K$49</definedName>
    <definedName name="count" localSheetId="8">'2499-002'!$K$49</definedName>
    <definedName name="count" localSheetId="9">'2499-003'!$K$49</definedName>
    <definedName name="count" localSheetId="10">'2499-004'!$K$49</definedName>
    <definedName name="count" localSheetId="11">'2499-005'!$K$49</definedName>
    <definedName name="count" localSheetId="5">'TEMPLATE-SHEET'!$K$49</definedName>
    <definedName name="DateEntry" localSheetId="7">'2499-001'!$E$24:$E$35</definedName>
    <definedName name="DateEntry" localSheetId="8">'2499-002'!$E$24:$E$35</definedName>
    <definedName name="DateEntry" localSheetId="9">'2499-003'!$E$24:$E$35</definedName>
    <definedName name="DateEntry" localSheetId="10">'2499-004'!$E$24:$E$35</definedName>
    <definedName name="DateEntry" localSheetId="11">'2499-005'!$E$24:$E$35</definedName>
    <definedName name="DateEntry">'TEMPLATE-SHEET'!$E$24:$E$35</definedName>
    <definedName name="End">'PO DATA'!$C$17</definedName>
    <definedName name="Job_Name">'PO DATA'!$D$2</definedName>
    <definedName name="Job_Number">'PO DATA'!$D$3</definedName>
    <definedName name="Line">'Line No'!$A$1:$B$360</definedName>
    <definedName name="LineEntry" localSheetId="7">'2499-001'!$B$24:$B$35</definedName>
    <definedName name="LineEntry" localSheetId="8">'2499-002'!$B$24:$B$35</definedName>
    <definedName name="LineEntry" localSheetId="9">'2499-003'!$B$24:$B$35</definedName>
    <definedName name="LineEntry" localSheetId="10">'2499-004'!$B$24:$B$35</definedName>
    <definedName name="LineEntry" localSheetId="11">'2499-005'!$B$24:$B$35</definedName>
    <definedName name="LineEntry" localSheetId="5">'TEMPLATE-SHEET'!$B$24:$B$35</definedName>
    <definedName name="PAYEE" localSheetId="7">'2499-001'!$N$40:$N$50</definedName>
    <definedName name="PAYEE" localSheetId="8">'2499-002'!$N$40:$N$50</definedName>
    <definedName name="PAYEE" localSheetId="9">'2499-003'!$N$40:$N$50</definedName>
    <definedName name="PAYEE" localSheetId="10">'2499-004'!$N$40:$N$50</definedName>
    <definedName name="PAYEE" localSheetId="11">'2499-005'!$N$40:$N$50</definedName>
    <definedName name="PAYEE" localSheetId="5">'TEMPLATE-SHEET'!$N$40:$N$50</definedName>
    <definedName name="PayIDEntry" localSheetId="7">'2499-001'!$F$24:$F$35</definedName>
    <definedName name="PayIDEntry" localSheetId="8">'2499-002'!$F$24:$F$35</definedName>
    <definedName name="PayIDEntry" localSheetId="9">'2499-003'!$F$24:$F$35</definedName>
    <definedName name="PayIDEntry" localSheetId="10">'2499-004'!$F$24:$F$35</definedName>
    <definedName name="PayIDEntry" localSheetId="11">'2499-005'!$F$24:$F$35</definedName>
    <definedName name="PayIDEntry">'TEMPLATE-SHEET'!$F$24:$F$35</definedName>
    <definedName name="PO_LOG_name" localSheetId="7">PO_LOG[#All]</definedName>
    <definedName name="PO_LOG_name" localSheetId="8">PO_LOG[#All]</definedName>
    <definedName name="PO_LOG_name" localSheetId="9">PO_LOG[#All]</definedName>
    <definedName name="PO_LOG_name" localSheetId="10">PO_LOG[#All]</definedName>
    <definedName name="PO_LOG_name" localSheetId="11">PO_LOG[#All]</definedName>
    <definedName name="PO_LOG_name" localSheetId="3">'PO Log_2'!$B$8:$I$211</definedName>
    <definedName name="PO_LOG_name">PO_LOG[#All]</definedName>
    <definedName name="POtable">'PO DATA'!$F$14:$F$124</definedName>
    <definedName name="POtable_header">'PO DATA'!$F$14</definedName>
    <definedName name="Prefix">'PO DATA'!$B$15</definedName>
    <definedName name="_xlnm.Print_Area" localSheetId="7">'2499-001'!$B$1:$I$47</definedName>
    <definedName name="_xlnm.Print_Area" localSheetId="8">'2499-002'!$B$1:$I$47</definedName>
    <definedName name="_xlnm.Print_Area" localSheetId="9">'2499-003'!$B$1:$I$47</definedName>
    <definedName name="_xlnm.Print_Area" localSheetId="10">'2499-004'!$B$1:$I$47</definedName>
    <definedName name="_xlnm.Print_Area" localSheetId="11">'2499-005'!$B$1:$I$47</definedName>
    <definedName name="_xlnm.Print_Area" localSheetId="4">'PO Log'!$A$8:$E$130</definedName>
    <definedName name="_xlnm.Print_Area" localSheetId="3">'PO Log_2'!$B$8:$F$130</definedName>
    <definedName name="_xlnm.Print_Area" localSheetId="5">'TEMPLATE-SHEET'!$B$1:$I$47</definedName>
    <definedName name="Sheet_PO" localSheetId="7">'2499-001'!$G$3</definedName>
    <definedName name="Sheet_PO" localSheetId="8">'2499-002'!$G$3</definedName>
    <definedName name="Sheet_PO" localSheetId="9">'2499-003'!$G$3</definedName>
    <definedName name="Sheet_PO" localSheetId="10">'2499-004'!$G$3</definedName>
    <definedName name="Sheet_PO" localSheetId="11">'2499-005'!$G$3</definedName>
    <definedName name="Sheet_PO">'TEMPLATE-SHEET'!$G$3</definedName>
    <definedName name="Start">'PO DATA'!$B$17</definedName>
    <definedName name="Vendor" localSheetId="7">'2499-001'!$C$10</definedName>
    <definedName name="Vendor" localSheetId="8">'2499-002'!$C$10</definedName>
    <definedName name="Vendor" localSheetId="9">'2499-003'!$C$10</definedName>
    <definedName name="Vendor" localSheetId="10">'2499-004'!$C$10</definedName>
    <definedName name="Vendor" localSheetId="11">'2499-005'!$C$10</definedName>
    <definedName name="Vendor">'TEMPLATE-SHEET'!$C$10</definedName>
    <definedName name="Z_8CEFEE3B_E906_4903_9850_D32C8D742297_.wvu.PrintArea" localSheetId="7" hidden="1">'2499-001'!$B$1:$I$46</definedName>
    <definedName name="Z_8CEFEE3B_E906_4903_9850_D32C8D742297_.wvu.PrintArea" localSheetId="8" hidden="1">'2499-002'!$B$1:$I$46</definedName>
    <definedName name="Z_8CEFEE3B_E906_4903_9850_D32C8D742297_.wvu.PrintArea" localSheetId="9" hidden="1">'2499-003'!$B$1:$I$46</definedName>
    <definedName name="Z_8CEFEE3B_E906_4903_9850_D32C8D742297_.wvu.PrintArea" localSheetId="10" hidden="1">'2499-004'!$B$1:$I$46</definedName>
    <definedName name="Z_8CEFEE3B_E906_4903_9850_D32C8D742297_.wvu.PrintArea" localSheetId="11" hidden="1">'2499-005'!$B$1:$I$46</definedName>
    <definedName name="Z_8CEFEE3B_E906_4903_9850_D32C8D742297_.wvu.PrintArea" localSheetId="5" hidden="1">'TEMPLATE-SHEET'!$B$1:$I$46</definedName>
    <definedName name="Z_C1355A62_F1E2_4388_B529_AB508DE122C3_.wvu.PrintArea" localSheetId="7" hidden="1">'2499-001'!$B$1:$I$46</definedName>
    <definedName name="Z_C1355A62_F1E2_4388_B529_AB508DE122C3_.wvu.PrintArea" localSheetId="8" hidden="1">'2499-002'!$B$1:$I$46</definedName>
    <definedName name="Z_C1355A62_F1E2_4388_B529_AB508DE122C3_.wvu.PrintArea" localSheetId="9" hidden="1">'2499-003'!$B$1:$I$46</definedName>
    <definedName name="Z_C1355A62_F1E2_4388_B529_AB508DE122C3_.wvu.PrintArea" localSheetId="10" hidden="1">'2499-004'!$B$1:$I$46</definedName>
    <definedName name="Z_C1355A62_F1E2_4388_B529_AB508DE122C3_.wvu.PrintArea" localSheetId="11" hidden="1">'2499-005'!$B$1:$I$46</definedName>
    <definedName name="Z_C1355A62_F1E2_4388_B529_AB508DE122C3_.wvu.PrintArea" localSheetId="5" hidden="1">'TEMPLATE-SHEET'!$B$1:$I$46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9" i="790" l="1"/>
  <c r="R49" i="790"/>
  <c r="Q49" i="790"/>
  <c r="P49" i="790"/>
  <c r="O49" i="790"/>
  <c r="M49" i="790"/>
  <c r="L49" i="790"/>
  <c r="S48" i="790"/>
  <c r="R48" i="790"/>
  <c r="Q48" i="790"/>
  <c r="P48" i="790"/>
  <c r="O48" i="790"/>
  <c r="M48" i="790"/>
  <c r="L48" i="790"/>
  <c r="S47" i="790"/>
  <c r="R47" i="790"/>
  <c r="Q47" i="790"/>
  <c r="P47" i="790"/>
  <c r="O47" i="790"/>
  <c r="M47" i="790"/>
  <c r="L47" i="790"/>
  <c r="R35" i="790"/>
  <c r="Q35" i="790"/>
  <c r="P35" i="790"/>
  <c r="O35" i="790"/>
  <c r="N35" i="790"/>
  <c r="M35" i="790"/>
  <c r="L35" i="790"/>
  <c r="I35" i="790"/>
  <c r="I34" i="790"/>
  <c r="I33" i="790"/>
  <c r="I32" i="790"/>
  <c r="I31" i="790"/>
  <c r="I30" i="790"/>
  <c r="I29" i="790"/>
  <c r="I28" i="790"/>
  <c r="I27" i="790"/>
  <c r="I26" i="790"/>
  <c r="I25" i="790"/>
  <c r="I24" i="790"/>
  <c r="T20" i="790" a="1"/>
  <c r="T20" i="790" s="1"/>
  <c r="Z20" i="790" s="1" a="1"/>
  <c r="Z20" i="790" s="1"/>
  <c r="AA20" i="790" s="1" a="1"/>
  <c r="AA20" i="790" s="1"/>
  <c r="L20" i="790" a="1"/>
  <c r="M28" i="790" s="1"/>
  <c r="P13" i="790" a="1"/>
  <c r="P13" i="790" s="1"/>
  <c r="P12" i="790" a="1"/>
  <c r="P12" i="790" s="1"/>
  <c r="S11" i="790" a="1"/>
  <c r="S11" i="790" s="1"/>
  <c r="P11" i="790" a="1"/>
  <c r="P11" i="790" s="1"/>
  <c r="P10" i="790" a="1"/>
  <c r="P10" i="790" s="1"/>
  <c r="F10" i="790"/>
  <c r="W9" i="790" a="1"/>
  <c r="W9" i="790" s="1"/>
  <c r="P9" i="790"/>
  <c r="P9" i="790" a="1"/>
  <c r="F9" i="790"/>
  <c r="C9" i="790"/>
  <c r="P8" i="790"/>
  <c r="P8" i="790" a="1"/>
  <c r="P7" i="790" a="1"/>
  <c r="P7" i="790" s="1"/>
  <c r="W5" i="790" a="1"/>
  <c r="W5" i="790" s="1"/>
  <c r="AF4" i="790"/>
  <c r="AF4" i="790" a="1"/>
  <c r="AD4" i="790" a="1"/>
  <c r="AD4" i="790" s="1"/>
  <c r="S4" i="790" a="1"/>
  <c r="O4" i="790" s="1" a="1"/>
  <c r="M4" i="790" a="1"/>
  <c r="M4" i="790" s="1"/>
  <c r="N4" i="790" s="1" a="1"/>
  <c r="N4" i="790" s="1"/>
  <c r="L49" i="789"/>
  <c r="S49" i="789" s="1"/>
  <c r="S48" i="789"/>
  <c r="R48" i="789"/>
  <c r="Q48" i="789"/>
  <c r="L48" i="789"/>
  <c r="P48" i="789" s="1"/>
  <c r="R47" i="789"/>
  <c r="Q47" i="789"/>
  <c r="P47" i="789"/>
  <c r="O47" i="789"/>
  <c r="M47" i="789"/>
  <c r="L47" i="789"/>
  <c r="S47" i="789" s="1"/>
  <c r="R35" i="789"/>
  <c r="Q35" i="789"/>
  <c r="P35" i="789"/>
  <c r="O35" i="789"/>
  <c r="N35" i="789"/>
  <c r="M35" i="789"/>
  <c r="L35" i="789"/>
  <c r="I35" i="789"/>
  <c r="I34" i="789"/>
  <c r="I33" i="789"/>
  <c r="I32" i="789"/>
  <c r="I31" i="789"/>
  <c r="I30" i="789"/>
  <c r="I29" i="789"/>
  <c r="I28" i="789"/>
  <c r="I27" i="789"/>
  <c r="I26" i="789"/>
  <c r="I25" i="789"/>
  <c r="I24" i="789"/>
  <c r="T20" i="789" a="1"/>
  <c r="T20" i="789" s="1"/>
  <c r="Z20" i="789" s="1" a="1"/>
  <c r="Z20" i="789" s="1"/>
  <c r="AA20" i="789" s="1" a="1"/>
  <c r="AA20" i="789" s="1"/>
  <c r="L20" i="789" a="1"/>
  <c r="P13" i="789" a="1"/>
  <c r="P13" i="789" s="1"/>
  <c r="P12" i="789" a="1"/>
  <c r="P12" i="789" s="1"/>
  <c r="S11" i="789" a="1"/>
  <c r="S11" i="789" s="1"/>
  <c r="P11" i="789" a="1"/>
  <c r="P11" i="789" s="1"/>
  <c r="P10" i="789" a="1"/>
  <c r="P10" i="789" s="1"/>
  <c r="F10" i="789"/>
  <c r="W9" i="789" a="1"/>
  <c r="W9" i="789" s="1"/>
  <c r="P9" i="789" a="1"/>
  <c r="P9" i="789" s="1"/>
  <c r="F9" i="789"/>
  <c r="C9" i="789"/>
  <c r="P8" i="789" a="1"/>
  <c r="P8" i="789" s="1"/>
  <c r="P7" i="789" a="1"/>
  <c r="P7" i="789" s="1"/>
  <c r="W5" i="789" a="1"/>
  <c r="W5" i="789" s="1"/>
  <c r="AF4" i="789" a="1"/>
  <c r="AF4" i="789" s="1"/>
  <c r="AD4" i="789" a="1"/>
  <c r="AD4" i="789" s="1"/>
  <c r="S4" i="789" a="1"/>
  <c r="S4" i="789" s="1"/>
  <c r="M4" i="789" a="1"/>
  <c r="M4" i="789" s="1"/>
  <c r="N4" i="789" s="1" a="1"/>
  <c r="N4" i="789" s="1"/>
  <c r="L49" i="788"/>
  <c r="S49" i="788" s="1"/>
  <c r="S48" i="788"/>
  <c r="L48" i="788"/>
  <c r="P48" i="788" s="1"/>
  <c r="S47" i="788"/>
  <c r="R47" i="788"/>
  <c r="Q47" i="788"/>
  <c r="O47" i="788"/>
  <c r="M47" i="788"/>
  <c r="L47" i="788"/>
  <c r="P47" i="788" s="1"/>
  <c r="R35" i="788"/>
  <c r="Q35" i="788"/>
  <c r="P35" i="788"/>
  <c r="O35" i="788"/>
  <c r="N35" i="788"/>
  <c r="M35" i="788"/>
  <c r="L35" i="788"/>
  <c r="I35" i="788"/>
  <c r="I34" i="788"/>
  <c r="I33" i="788"/>
  <c r="I32" i="788"/>
  <c r="I31" i="788"/>
  <c r="I30" i="788"/>
  <c r="I29" i="788"/>
  <c r="I28" i="788"/>
  <c r="I27" i="788"/>
  <c r="I26" i="788"/>
  <c r="I25" i="788"/>
  <c r="I24" i="788"/>
  <c r="T20" i="788" a="1"/>
  <c r="T20" i="788" s="1"/>
  <c r="Z20" i="788" s="1" a="1"/>
  <c r="Z20" i="788" s="1"/>
  <c r="AA20" i="788" s="1" a="1"/>
  <c r="AA20" i="788" s="1"/>
  <c r="L20" i="788" a="1"/>
  <c r="P13" i="788" a="1"/>
  <c r="P13" i="788" s="1"/>
  <c r="P12" i="788" a="1"/>
  <c r="P12" i="788" s="1"/>
  <c r="S11" i="788" a="1"/>
  <c r="S11" i="788" s="1"/>
  <c r="P11" i="788" a="1"/>
  <c r="P11" i="788" s="1"/>
  <c r="P10" i="788" a="1"/>
  <c r="P10" i="788" s="1"/>
  <c r="F10" i="788"/>
  <c r="W9" i="788" a="1"/>
  <c r="W9" i="788" s="1"/>
  <c r="P9" i="788" a="1"/>
  <c r="P9" i="788" s="1"/>
  <c r="F9" i="788"/>
  <c r="C9" i="788"/>
  <c r="P8" i="788" a="1"/>
  <c r="P8" i="788" s="1"/>
  <c r="P7" i="788" a="1"/>
  <c r="P7" i="788" s="1"/>
  <c r="W5" i="788" a="1"/>
  <c r="W5" i="788" s="1"/>
  <c r="AF4" i="788" a="1"/>
  <c r="AF4" i="788" s="1"/>
  <c r="AD4" i="788" a="1"/>
  <c r="AD4" i="788" s="1"/>
  <c r="S4" i="788" a="1"/>
  <c r="S4" i="788" s="1"/>
  <c r="M4" i="788" a="1"/>
  <c r="M4" i="788" s="1"/>
  <c r="N4" i="788" s="1" a="1"/>
  <c r="N4" i="788" s="1"/>
  <c r="L49" i="787"/>
  <c r="S49" i="787" s="1"/>
  <c r="S48" i="787"/>
  <c r="L48" i="787"/>
  <c r="P48" i="787" s="1"/>
  <c r="L47" i="787"/>
  <c r="O47" i="787" s="1"/>
  <c r="R35" i="787"/>
  <c r="Q35" i="787"/>
  <c r="P35" i="787"/>
  <c r="O35" i="787"/>
  <c r="N35" i="787"/>
  <c r="M35" i="787"/>
  <c r="L35" i="787"/>
  <c r="I35" i="787"/>
  <c r="I34" i="787"/>
  <c r="I33" i="787"/>
  <c r="I32" i="787"/>
  <c r="I31" i="787"/>
  <c r="I30" i="787"/>
  <c r="I29" i="787"/>
  <c r="I28" i="787"/>
  <c r="I27" i="787"/>
  <c r="I26" i="787"/>
  <c r="I25" i="787"/>
  <c r="I24" i="787"/>
  <c r="T20" i="787" a="1"/>
  <c r="T20" i="787" s="1"/>
  <c r="Z20" i="787" s="1" a="1"/>
  <c r="Z20" i="787" s="1"/>
  <c r="AA20" i="787" s="1" a="1"/>
  <c r="AA20" i="787" s="1"/>
  <c r="L20" i="787" a="1"/>
  <c r="M32" i="787" s="1"/>
  <c r="P13" i="787" a="1"/>
  <c r="P13" i="787" s="1"/>
  <c r="P12" i="787" a="1"/>
  <c r="P12" i="787" s="1"/>
  <c r="S11" i="787" a="1"/>
  <c r="S11" i="787" s="1"/>
  <c r="P11" i="787" a="1"/>
  <c r="P11" i="787" s="1"/>
  <c r="P10" i="787" a="1"/>
  <c r="P10" i="787" s="1"/>
  <c r="F10" i="787"/>
  <c r="W9" i="787" a="1"/>
  <c r="W9" i="787" s="1"/>
  <c r="P9" i="787" a="1"/>
  <c r="P9" i="787" s="1"/>
  <c r="F9" i="787"/>
  <c r="C9" i="787"/>
  <c r="P8" i="787" a="1"/>
  <c r="P8" i="787" s="1"/>
  <c r="P7" i="787" a="1"/>
  <c r="P7" i="787" s="1"/>
  <c r="W5" i="787" a="1"/>
  <c r="W5" i="787" s="1"/>
  <c r="AF4" i="787" a="1"/>
  <c r="AF4" i="787" s="1"/>
  <c r="AD4" i="787" a="1"/>
  <c r="AD4" i="787" s="1"/>
  <c r="S4" i="787" a="1"/>
  <c r="O4" i="787" s="1" a="1"/>
  <c r="M4" i="787" a="1"/>
  <c r="M4" i="787" s="1"/>
  <c r="N4" i="787" s="1" a="1"/>
  <c r="N4" i="787" s="1"/>
  <c r="L49" i="786"/>
  <c r="S49" i="786" s="1"/>
  <c r="Q48" i="786"/>
  <c r="L48" i="786"/>
  <c r="P48" i="786" s="1"/>
  <c r="L47" i="786"/>
  <c r="M47" i="786" s="1"/>
  <c r="R35" i="786"/>
  <c r="Q35" i="786"/>
  <c r="P35" i="786"/>
  <c r="O35" i="786"/>
  <c r="N35" i="786"/>
  <c r="M35" i="786"/>
  <c r="L35" i="786"/>
  <c r="I35" i="786"/>
  <c r="I34" i="786"/>
  <c r="I33" i="786"/>
  <c r="I32" i="786"/>
  <c r="I31" i="786"/>
  <c r="I30" i="786"/>
  <c r="I29" i="786"/>
  <c r="I28" i="786"/>
  <c r="I27" i="786"/>
  <c r="I26" i="786"/>
  <c r="I25" i="786"/>
  <c r="I24" i="786"/>
  <c r="T20" i="786" a="1"/>
  <c r="T20" i="786" s="1"/>
  <c r="Z20" i="786" s="1" a="1"/>
  <c r="Z20" i="786" s="1"/>
  <c r="AA20" i="786" s="1" a="1"/>
  <c r="AA20" i="786" s="1"/>
  <c r="L20" i="786" a="1"/>
  <c r="P13" i="786" a="1"/>
  <c r="P13" i="786" s="1"/>
  <c r="P12" i="786" a="1"/>
  <c r="P12" i="786" s="1"/>
  <c r="S11" i="786" a="1"/>
  <c r="S11" i="786" s="1"/>
  <c r="P11" i="786" a="1"/>
  <c r="P11" i="786" s="1"/>
  <c r="P10" i="786" a="1"/>
  <c r="P10" i="786" s="1"/>
  <c r="F10" i="786"/>
  <c r="W9" i="786" a="1"/>
  <c r="W9" i="786" s="1"/>
  <c r="P9" i="786" a="1"/>
  <c r="P9" i="786" s="1"/>
  <c r="F9" i="786"/>
  <c r="C9" i="786"/>
  <c r="P8" i="786" a="1"/>
  <c r="P8" i="786" s="1"/>
  <c r="P7" i="786" a="1"/>
  <c r="P7" i="786" s="1"/>
  <c r="W5" i="786" a="1"/>
  <c r="W5" i="786" s="1"/>
  <c r="AF4" i="786" a="1"/>
  <c r="AF4" i="786" s="1"/>
  <c r="AD4" i="786" a="1"/>
  <c r="AD4" i="786" s="1"/>
  <c r="S4" i="786" a="1"/>
  <c r="O4" i="786" s="1" a="1"/>
  <c r="M4" i="786" a="1"/>
  <c r="M4" i="786" s="1"/>
  <c r="N4" i="786" s="1" a="1"/>
  <c r="N4" i="786" s="1"/>
  <c r="B5" i="748" a="1"/>
  <c r="B6" i="748" a="1"/>
  <c r="B2" i="748" a="1"/>
  <c r="B6" i="748" l="1"/>
  <c r="B5" i="748"/>
  <c r="B2" i="748"/>
  <c r="O32" i="790"/>
  <c r="N25" i="790"/>
  <c r="O4" i="790"/>
  <c r="P4" i="790" s="1" a="1"/>
  <c r="P4" i="790" s="1"/>
  <c r="P5" i="790" a="1"/>
  <c r="P5" i="790" s="1"/>
  <c r="P6" i="790" a="1"/>
  <c r="P6" i="790" s="1"/>
  <c r="P29" i="790"/>
  <c r="O26" i="790"/>
  <c r="N29" i="790"/>
  <c r="Q30" i="790"/>
  <c r="M32" i="790"/>
  <c r="P33" i="790"/>
  <c r="M25" i="790"/>
  <c r="P26" i="790"/>
  <c r="O29" i="790"/>
  <c r="N32" i="790"/>
  <c r="Q33" i="790"/>
  <c r="O25" i="790"/>
  <c r="N28" i="790"/>
  <c r="Q29" i="790"/>
  <c r="M31" i="790"/>
  <c r="P32" i="790"/>
  <c r="I37" i="790"/>
  <c r="I40" i="790" s="1"/>
  <c r="M24" i="790"/>
  <c r="P25" i="790"/>
  <c r="O28" i="790"/>
  <c r="N31" i="790"/>
  <c r="Q32" i="790"/>
  <c r="M34" i="790"/>
  <c r="S4" i="790"/>
  <c r="L20" i="790"/>
  <c r="N24" i="790"/>
  <c r="Q25" i="790"/>
  <c r="M27" i="790"/>
  <c r="P28" i="790"/>
  <c r="O31" i="790"/>
  <c r="N34" i="790"/>
  <c r="O24" i="790"/>
  <c r="N27" i="790"/>
  <c r="Q28" i="790"/>
  <c r="M30" i="790"/>
  <c r="P31" i="790"/>
  <c r="O34" i="790"/>
  <c r="Q26" i="790"/>
  <c r="Q24" i="790"/>
  <c r="M26" i="790"/>
  <c r="P27" i="790"/>
  <c r="O30" i="790"/>
  <c r="N33" i="790"/>
  <c r="Q34" i="790"/>
  <c r="P24" i="790"/>
  <c r="O27" i="790"/>
  <c r="N30" i="790"/>
  <c r="Q31" i="790"/>
  <c r="M33" i="790"/>
  <c r="P34" i="790"/>
  <c r="N26" i="790"/>
  <c r="Q27" i="790"/>
  <c r="M29" i="790"/>
  <c r="P30" i="790"/>
  <c r="O33" i="790"/>
  <c r="O29" i="786"/>
  <c r="M49" i="789"/>
  <c r="O49" i="789"/>
  <c r="S48" i="786"/>
  <c r="P49" i="789"/>
  <c r="M47" i="787"/>
  <c r="R48" i="788"/>
  <c r="M48" i="789"/>
  <c r="Q49" i="789"/>
  <c r="P26" i="788"/>
  <c r="O48" i="789"/>
  <c r="R49" i="789"/>
  <c r="O29" i="789"/>
  <c r="M28" i="789"/>
  <c r="M25" i="789"/>
  <c r="N32" i="789"/>
  <c r="P26" i="789"/>
  <c r="Q33" i="789"/>
  <c r="P25" i="789"/>
  <c r="N24" i="789"/>
  <c r="P28" i="789"/>
  <c r="O31" i="789"/>
  <c r="O24" i="789"/>
  <c r="N27" i="789"/>
  <c r="O26" i="789"/>
  <c r="N29" i="789"/>
  <c r="Q30" i="789"/>
  <c r="M32" i="789"/>
  <c r="P33" i="789"/>
  <c r="O25" i="789"/>
  <c r="Q29" i="789"/>
  <c r="M31" i="789"/>
  <c r="P32" i="789"/>
  <c r="I37" i="789"/>
  <c r="I40" i="789" s="1"/>
  <c r="M24" i="789"/>
  <c r="N31" i="789"/>
  <c r="Q32" i="789"/>
  <c r="L20" i="789"/>
  <c r="P31" i="789"/>
  <c r="O4" i="789" a="1"/>
  <c r="P24" i="789"/>
  <c r="O27" i="789"/>
  <c r="N30" i="789"/>
  <c r="Q31" i="789"/>
  <c r="M33" i="789"/>
  <c r="P34" i="789"/>
  <c r="Q26" i="789"/>
  <c r="P29" i="789"/>
  <c r="O32" i="789"/>
  <c r="N28" i="789"/>
  <c r="Q28" i="789"/>
  <c r="O34" i="789"/>
  <c r="Q24" i="789"/>
  <c r="M26" i="789"/>
  <c r="P27" i="789"/>
  <c r="O30" i="789"/>
  <c r="N33" i="789"/>
  <c r="Q34" i="789"/>
  <c r="N25" i="789"/>
  <c r="O28" i="789"/>
  <c r="M34" i="789"/>
  <c r="Q25" i="789"/>
  <c r="M27" i="789"/>
  <c r="N34" i="789"/>
  <c r="M30" i="789"/>
  <c r="N26" i="789"/>
  <c r="Q27" i="789"/>
  <c r="M29" i="789"/>
  <c r="P30" i="789"/>
  <c r="O33" i="789"/>
  <c r="Q47" i="786"/>
  <c r="S47" i="787"/>
  <c r="Q48" i="788"/>
  <c r="R47" i="786"/>
  <c r="S47" i="786"/>
  <c r="Q48" i="787"/>
  <c r="O29" i="788"/>
  <c r="P29" i="788"/>
  <c r="M49" i="788"/>
  <c r="O32" i="788"/>
  <c r="O49" i="788"/>
  <c r="P49" i="788"/>
  <c r="P47" i="787"/>
  <c r="M25" i="788"/>
  <c r="M48" i="788"/>
  <c r="Q49" i="788"/>
  <c r="Q47" i="787"/>
  <c r="N32" i="788"/>
  <c r="O48" i="788"/>
  <c r="R49" i="788"/>
  <c r="O47" i="786"/>
  <c r="R47" i="787"/>
  <c r="Q26" i="788"/>
  <c r="Q33" i="788"/>
  <c r="Q25" i="788"/>
  <c r="O24" i="788"/>
  <c r="Q28" i="788"/>
  <c r="O26" i="788"/>
  <c r="N29" i="788"/>
  <c r="Q30" i="788"/>
  <c r="M32" i="788"/>
  <c r="P33" i="788"/>
  <c r="M31" i="788"/>
  <c r="P32" i="788"/>
  <c r="I37" i="788"/>
  <c r="I40" i="788" s="1"/>
  <c r="M24" i="788"/>
  <c r="N28" i="788"/>
  <c r="P25" i="788"/>
  <c r="O28" i="788"/>
  <c r="Q32" i="788"/>
  <c r="N24" i="788"/>
  <c r="P28" i="788"/>
  <c r="N34" i="788"/>
  <c r="O4" i="788" a="1"/>
  <c r="P24" i="788"/>
  <c r="O27" i="788"/>
  <c r="N30" i="788"/>
  <c r="Q31" i="788"/>
  <c r="M33" i="788"/>
  <c r="P34" i="788"/>
  <c r="N31" i="788"/>
  <c r="M34" i="788"/>
  <c r="L20" i="788"/>
  <c r="M27" i="788"/>
  <c r="O31" i="788"/>
  <c r="M30" i="788"/>
  <c r="O34" i="788"/>
  <c r="Q24" i="788"/>
  <c r="M26" i="788"/>
  <c r="P27" i="788"/>
  <c r="O30" i="788"/>
  <c r="N33" i="788"/>
  <c r="Q34" i="788"/>
  <c r="N25" i="788"/>
  <c r="M28" i="788"/>
  <c r="O25" i="788"/>
  <c r="Q29" i="788"/>
  <c r="N27" i="788"/>
  <c r="P31" i="788"/>
  <c r="N26" i="788"/>
  <c r="Q27" i="788"/>
  <c r="M29" i="788"/>
  <c r="P30" i="788"/>
  <c r="O33" i="788"/>
  <c r="P47" i="786"/>
  <c r="R48" i="787"/>
  <c r="M49" i="787"/>
  <c r="O49" i="787"/>
  <c r="P49" i="787"/>
  <c r="M48" i="787"/>
  <c r="Q49" i="787"/>
  <c r="N32" i="787"/>
  <c r="O48" i="787"/>
  <c r="R49" i="787"/>
  <c r="P26" i="787"/>
  <c r="P33" i="787"/>
  <c r="N29" i="787"/>
  <c r="Q33" i="787"/>
  <c r="O34" i="787"/>
  <c r="O29" i="787"/>
  <c r="M25" i="787"/>
  <c r="Q30" i="787"/>
  <c r="O26" i="787"/>
  <c r="O4" i="787"/>
  <c r="P4" i="787" s="1" a="1"/>
  <c r="P4" i="787" s="1"/>
  <c r="P5" i="787" a="1"/>
  <c r="P5" i="787" s="1"/>
  <c r="P6" i="787" a="1"/>
  <c r="P6" i="787" s="1"/>
  <c r="S4" i="787"/>
  <c r="N25" i="787"/>
  <c r="Q26" i="787"/>
  <c r="M28" i="787"/>
  <c r="P29" i="787"/>
  <c r="O32" i="787"/>
  <c r="O25" i="787"/>
  <c r="N28" i="787"/>
  <c r="Q29" i="787"/>
  <c r="M31" i="787"/>
  <c r="P32" i="787"/>
  <c r="I37" i="787"/>
  <c r="I40" i="787" s="1"/>
  <c r="M24" i="787"/>
  <c r="P25" i="787"/>
  <c r="O28" i="787"/>
  <c r="N31" i="787"/>
  <c r="Q32" i="787"/>
  <c r="M34" i="787"/>
  <c r="L20" i="787"/>
  <c r="N24" i="787"/>
  <c r="Q25" i="787"/>
  <c r="M27" i="787"/>
  <c r="P28" i="787"/>
  <c r="O31" i="787"/>
  <c r="N34" i="787"/>
  <c r="Q28" i="787"/>
  <c r="N27" i="787"/>
  <c r="P31" i="787"/>
  <c r="P24" i="787"/>
  <c r="O27" i="787"/>
  <c r="N30" i="787"/>
  <c r="Q31" i="787"/>
  <c r="M33" i="787"/>
  <c r="P34" i="787"/>
  <c r="Q24" i="787"/>
  <c r="M26" i="787"/>
  <c r="P27" i="787"/>
  <c r="N33" i="787"/>
  <c r="Q34" i="787"/>
  <c r="O24" i="787"/>
  <c r="M30" i="787"/>
  <c r="O30" i="787"/>
  <c r="N26" i="787"/>
  <c r="Q27" i="787"/>
  <c r="M29" i="787"/>
  <c r="P30" i="787"/>
  <c r="O33" i="787"/>
  <c r="I37" i="786"/>
  <c r="I40" i="786" s="1"/>
  <c r="R48" i="786"/>
  <c r="M49" i="786"/>
  <c r="O49" i="786"/>
  <c r="P49" i="786"/>
  <c r="M48" i="786"/>
  <c r="Q49" i="786"/>
  <c r="O48" i="786"/>
  <c r="R49" i="786"/>
  <c r="M25" i="786"/>
  <c r="Q30" i="786"/>
  <c r="O26" i="786"/>
  <c r="P26" i="786"/>
  <c r="M32" i="786"/>
  <c r="N32" i="786"/>
  <c r="P33" i="786"/>
  <c r="N29" i="786"/>
  <c r="Q33" i="786"/>
  <c r="O4" i="786"/>
  <c r="P4" i="786" s="1" a="1"/>
  <c r="P4" i="786" s="1"/>
  <c r="P6" i="786" a="1"/>
  <c r="P6" i="786" s="1"/>
  <c r="P5" i="786" a="1"/>
  <c r="P5" i="786" s="1"/>
  <c r="S4" i="786"/>
  <c r="N25" i="786"/>
  <c r="Q26" i="786"/>
  <c r="M28" i="786"/>
  <c r="P29" i="786"/>
  <c r="O32" i="786"/>
  <c r="O25" i="786"/>
  <c r="N28" i="786"/>
  <c r="Q29" i="786"/>
  <c r="M31" i="786"/>
  <c r="P32" i="786"/>
  <c r="M24" i="786"/>
  <c r="P25" i="786"/>
  <c r="O28" i="786"/>
  <c r="N31" i="786"/>
  <c r="Q32" i="786"/>
  <c r="M34" i="786"/>
  <c r="L20" i="786"/>
  <c r="N24" i="786"/>
  <c r="Q25" i="786"/>
  <c r="M27" i="786"/>
  <c r="P28" i="786"/>
  <c r="O31" i="786"/>
  <c r="N34" i="786"/>
  <c r="O24" i="786"/>
  <c r="N27" i="786"/>
  <c r="Q28" i="786"/>
  <c r="M30" i="786"/>
  <c r="P31" i="786"/>
  <c r="O34" i="786"/>
  <c r="P24" i="786"/>
  <c r="O27" i="786"/>
  <c r="N30" i="786"/>
  <c r="Q31" i="786"/>
  <c r="M33" i="786"/>
  <c r="P34" i="786"/>
  <c r="Q24" i="786"/>
  <c r="M26" i="786"/>
  <c r="P27" i="786"/>
  <c r="O30" i="786"/>
  <c r="N33" i="786"/>
  <c r="Q34" i="786"/>
  <c r="N26" i="786"/>
  <c r="Q27" i="786"/>
  <c r="M29" i="786"/>
  <c r="P30" i="786"/>
  <c r="O33" i="786"/>
  <c r="Q36" i="790" l="1"/>
  <c r="L46" i="790"/>
  <c r="M36" i="790"/>
  <c r="R42" i="790" s="1"/>
  <c r="L42" i="790"/>
  <c r="M42" i="790" s="1"/>
  <c r="L45" i="790"/>
  <c r="P36" i="790"/>
  <c r="L44" i="790"/>
  <c r="O36" i="790"/>
  <c r="R44" i="790" s="1"/>
  <c r="L43" i="790"/>
  <c r="N36" i="790"/>
  <c r="R43" i="790" s="1"/>
  <c r="L32" i="790"/>
  <c r="L29" i="790"/>
  <c r="L26" i="790"/>
  <c r="L33" i="790"/>
  <c r="L30" i="790"/>
  <c r="L27" i="790"/>
  <c r="L34" i="790"/>
  <c r="L24" i="790"/>
  <c r="L31" i="790"/>
  <c r="L28" i="790"/>
  <c r="L25" i="790"/>
  <c r="P36" i="789"/>
  <c r="L45" i="789"/>
  <c r="L32" i="789"/>
  <c r="L33" i="789"/>
  <c r="L30" i="789"/>
  <c r="L27" i="789"/>
  <c r="L28" i="789"/>
  <c r="L29" i="789"/>
  <c r="L31" i="789"/>
  <c r="L26" i="789"/>
  <c r="L34" i="789"/>
  <c r="L24" i="789"/>
  <c r="L25" i="789"/>
  <c r="M36" i="789"/>
  <c r="L42" i="789"/>
  <c r="L43" i="789"/>
  <c r="N36" i="789"/>
  <c r="P6" i="789" a="1"/>
  <c r="P6" i="789" s="1"/>
  <c r="O4" i="789"/>
  <c r="P4" i="789" s="1" a="1"/>
  <c r="P4" i="789" s="1"/>
  <c r="P5" i="789" a="1"/>
  <c r="P5" i="789" s="1"/>
  <c r="L44" i="789"/>
  <c r="O36" i="789"/>
  <c r="Q36" i="789"/>
  <c r="L46" i="789"/>
  <c r="L43" i="788"/>
  <c r="N36" i="788"/>
  <c r="R43" i="788" s="1"/>
  <c r="L42" i="788"/>
  <c r="M42" i="788" s="1"/>
  <c r="M36" i="788"/>
  <c r="Q36" i="788"/>
  <c r="L46" i="788"/>
  <c r="L45" i="788"/>
  <c r="P36" i="788"/>
  <c r="L32" i="788"/>
  <c r="L34" i="788"/>
  <c r="L31" i="788"/>
  <c r="L29" i="788"/>
  <c r="L27" i="788"/>
  <c r="L26" i="788"/>
  <c r="L24" i="788"/>
  <c r="L28" i="788"/>
  <c r="L25" i="788"/>
  <c r="L33" i="788"/>
  <c r="L30" i="788"/>
  <c r="L44" i="788"/>
  <c r="O36" i="788"/>
  <c r="O4" i="788"/>
  <c r="P4" i="788" s="1" a="1"/>
  <c r="P4" i="788" s="1"/>
  <c r="P5" i="788" a="1"/>
  <c r="P5" i="788" s="1"/>
  <c r="P6" i="788" a="1"/>
  <c r="P6" i="788" s="1"/>
  <c r="L44" i="787"/>
  <c r="O36" i="787"/>
  <c r="M36" i="787"/>
  <c r="L42" i="787"/>
  <c r="M42" i="787" s="1"/>
  <c r="Q36" i="787"/>
  <c r="L46" i="787"/>
  <c r="P36" i="787"/>
  <c r="L45" i="787"/>
  <c r="L43" i="787"/>
  <c r="N36" i="787"/>
  <c r="L32" i="787"/>
  <c r="L29" i="787"/>
  <c r="L26" i="787"/>
  <c r="L33" i="787"/>
  <c r="L30" i="787"/>
  <c r="L25" i="787"/>
  <c r="L27" i="787"/>
  <c r="L34" i="787"/>
  <c r="L24" i="787"/>
  <c r="L31" i="787"/>
  <c r="L28" i="787"/>
  <c r="L46" i="786"/>
  <c r="Q36" i="786"/>
  <c r="L43" i="786"/>
  <c r="N36" i="786"/>
  <c r="L32" i="786"/>
  <c r="L29" i="786"/>
  <c r="L26" i="786"/>
  <c r="L25" i="786"/>
  <c r="L33" i="786"/>
  <c r="L30" i="786"/>
  <c r="L27" i="786"/>
  <c r="L34" i="786"/>
  <c r="L24" i="786"/>
  <c r="L31" i="786"/>
  <c r="L28" i="786"/>
  <c r="P36" i="786"/>
  <c r="L45" i="786"/>
  <c r="M36" i="786"/>
  <c r="L42" i="786"/>
  <c r="M42" i="786" s="1"/>
  <c r="L44" i="786"/>
  <c r="O36" i="786"/>
  <c r="P43" i="790" l="1"/>
  <c r="O43" i="790"/>
  <c r="M43" i="790"/>
  <c r="S43" i="790" s="1"/>
  <c r="Q43" i="790"/>
  <c r="S44" i="790"/>
  <c r="O44" i="790"/>
  <c r="P44" i="790"/>
  <c r="M44" i="790"/>
  <c r="Q44" i="790"/>
  <c r="R44" i="788"/>
  <c r="R44" i="789"/>
  <c r="P45" i="790"/>
  <c r="O45" i="790"/>
  <c r="M45" i="790"/>
  <c r="S45" i="790"/>
  <c r="R45" i="790"/>
  <c r="Q45" i="790"/>
  <c r="S42" i="790"/>
  <c r="O42" i="790"/>
  <c r="P42" i="790"/>
  <c r="Q42" i="790"/>
  <c r="S46" i="790"/>
  <c r="R46" i="790"/>
  <c r="Q46" i="790"/>
  <c r="P46" i="790"/>
  <c r="O46" i="790"/>
  <c r="M46" i="790"/>
  <c r="L36" i="790"/>
  <c r="R41" i="790" s="1"/>
  <c r="L41" i="790"/>
  <c r="R42" i="788"/>
  <c r="P43" i="789"/>
  <c r="O43" i="789"/>
  <c r="M43" i="789"/>
  <c r="S43" i="789" s="1"/>
  <c r="Q43" i="789"/>
  <c r="R43" i="789"/>
  <c r="O42" i="789"/>
  <c r="P42" i="789"/>
  <c r="Q42" i="789"/>
  <c r="R46" i="789"/>
  <c r="S46" i="789"/>
  <c r="Q46" i="789"/>
  <c r="P46" i="789"/>
  <c r="O46" i="789"/>
  <c r="M46" i="789"/>
  <c r="R42" i="789"/>
  <c r="O44" i="789"/>
  <c r="P44" i="789"/>
  <c r="M44" i="789"/>
  <c r="S44" i="789" s="1"/>
  <c r="Q44" i="789"/>
  <c r="M42" i="789"/>
  <c r="S42" i="789" s="1"/>
  <c r="P45" i="789"/>
  <c r="M45" i="789"/>
  <c r="O45" i="789"/>
  <c r="S45" i="789"/>
  <c r="R45" i="789"/>
  <c r="Q45" i="789"/>
  <c r="L41" i="789"/>
  <c r="L36" i="789"/>
  <c r="R43" i="787"/>
  <c r="P45" i="788"/>
  <c r="O45" i="788"/>
  <c r="M45" i="788"/>
  <c r="S45" i="788"/>
  <c r="R45" i="788"/>
  <c r="Q45" i="788"/>
  <c r="S46" i="788"/>
  <c r="R46" i="788"/>
  <c r="Q46" i="788"/>
  <c r="P46" i="788"/>
  <c r="O46" i="788"/>
  <c r="M46" i="788"/>
  <c r="S42" i="788"/>
  <c r="O42" i="788"/>
  <c r="Q42" i="788"/>
  <c r="P42" i="788"/>
  <c r="O44" i="788"/>
  <c r="P44" i="788"/>
  <c r="Q44" i="788"/>
  <c r="M44" i="788"/>
  <c r="S44" i="788" s="1"/>
  <c r="P43" i="788"/>
  <c r="O43" i="788"/>
  <c r="M43" i="788"/>
  <c r="S43" i="788" s="1"/>
  <c r="Q43" i="788"/>
  <c r="L36" i="788"/>
  <c r="L41" i="788"/>
  <c r="R43" i="786"/>
  <c r="R44" i="787"/>
  <c r="Q44" i="787"/>
  <c r="O44" i="787"/>
  <c r="P44" i="787"/>
  <c r="M44" i="787"/>
  <c r="S44" i="787" s="1"/>
  <c r="M43" i="787"/>
  <c r="S43" i="787" s="1"/>
  <c r="P43" i="787"/>
  <c r="Q43" i="787"/>
  <c r="O43" i="787"/>
  <c r="P45" i="787"/>
  <c r="O45" i="787"/>
  <c r="S45" i="787"/>
  <c r="R45" i="787"/>
  <c r="M45" i="787"/>
  <c r="Q45" i="787"/>
  <c r="S46" i="787"/>
  <c r="R46" i="787"/>
  <c r="Q46" i="787"/>
  <c r="P46" i="787"/>
  <c r="O46" i="787"/>
  <c r="M46" i="787"/>
  <c r="R44" i="786"/>
  <c r="S42" i="787"/>
  <c r="Q42" i="787"/>
  <c r="O42" i="787"/>
  <c r="P42" i="787"/>
  <c r="R42" i="787"/>
  <c r="L36" i="787"/>
  <c r="L41" i="787"/>
  <c r="Q44" i="786"/>
  <c r="O44" i="786"/>
  <c r="P44" i="786"/>
  <c r="M44" i="786"/>
  <c r="S44" i="786" s="1"/>
  <c r="O42" i="786"/>
  <c r="S42" i="786"/>
  <c r="Q42" i="786"/>
  <c r="P42" i="786"/>
  <c r="S46" i="786"/>
  <c r="P46" i="786"/>
  <c r="R46" i="786"/>
  <c r="Q46" i="786"/>
  <c r="O46" i="786"/>
  <c r="M46" i="786"/>
  <c r="P45" i="786"/>
  <c r="O45" i="786"/>
  <c r="M45" i="786"/>
  <c r="S45" i="786"/>
  <c r="R45" i="786"/>
  <c r="Q45" i="786"/>
  <c r="O43" i="786"/>
  <c r="M43" i="786"/>
  <c r="S43" i="786" s="1"/>
  <c r="Q43" i="786"/>
  <c r="P43" i="786"/>
  <c r="R42" i="786"/>
  <c r="L36" i="786"/>
  <c r="L41" i="786"/>
  <c r="K49" i="790" l="1" a="1"/>
  <c r="K49" i="790" s="1"/>
  <c r="S41" i="790"/>
  <c r="O41" i="790"/>
  <c r="P41" i="790"/>
  <c r="Q41" i="790"/>
  <c r="M41" i="790"/>
  <c r="R41" i="789"/>
  <c r="K49" i="789" a="1"/>
  <c r="K49" i="789" s="1"/>
  <c r="O41" i="789"/>
  <c r="P41" i="789"/>
  <c r="Q41" i="789"/>
  <c r="M41" i="789"/>
  <c r="S41" i="789" s="1"/>
  <c r="K49" i="788" a="1"/>
  <c r="K49" i="788" s="1"/>
  <c r="O41" i="788"/>
  <c r="Q41" i="788"/>
  <c r="P41" i="788"/>
  <c r="M41" i="788"/>
  <c r="S41" i="788" s="1"/>
  <c r="R41" i="788"/>
  <c r="K49" i="787" a="1"/>
  <c r="K49" i="787" s="1"/>
  <c r="O41" i="787"/>
  <c r="Q41" i="787"/>
  <c r="P41" i="787"/>
  <c r="M41" i="787"/>
  <c r="R41" i="787"/>
  <c r="R41" i="786"/>
  <c r="K49" i="786" a="1"/>
  <c r="K49" i="786" s="1"/>
  <c r="O41" i="786"/>
  <c r="Q41" i="786"/>
  <c r="P41" i="786"/>
  <c r="M41" i="786"/>
  <c r="S41" i="786" s="1"/>
  <c r="B4" i="748" a="1"/>
  <c r="B3" i="748" a="1"/>
  <c r="B4" i="748" l="1"/>
  <c r="B3" i="748"/>
  <c r="S41" i="787"/>
  <c r="A9" i="785" a="1"/>
  <c r="A10" i="2" a="1"/>
  <c r="A9" i="785" l="1"/>
  <c r="A10" i="2"/>
  <c r="B6" i="785" l="1"/>
  <c r="B5" i="785"/>
  <c r="G213" i="785" l="1"/>
  <c r="A204" i="2" a="1"/>
  <c r="A139" i="2" a="1"/>
  <c r="A129" i="2" a="1"/>
  <c r="A109" i="2" a="1"/>
  <c r="A104" i="2" a="1"/>
  <c r="A99" i="2" a="1"/>
  <c r="A94" i="2" a="1"/>
  <c r="A69" i="2" a="1"/>
  <c r="A64" i="2" a="1"/>
  <c r="A54" i="2" a="1"/>
  <c r="A49" i="2" a="1"/>
  <c r="A19" i="2" a="1"/>
  <c r="A14" i="2" a="1"/>
  <c r="A198" i="2" a="1"/>
  <c r="A188" i="2" a="1"/>
  <c r="A163" i="2" a="1"/>
  <c r="A153" i="2" a="1"/>
  <c r="A133" i="2" a="1"/>
  <c r="A118" i="2" a="1"/>
  <c r="A103" i="2" a="1"/>
  <c r="A98" i="2" a="1"/>
  <c r="A88" i="2" a="1"/>
  <c r="A68" i="2" a="1"/>
  <c r="A63" i="2" a="1"/>
  <c r="A43" i="2" a="1"/>
  <c r="A33" i="2" a="1"/>
  <c r="A28" i="2" a="1"/>
  <c r="A23" i="2" a="1"/>
  <c r="A13" i="2" a="1"/>
  <c r="A199" i="2" a="1"/>
  <c r="A189" i="2" a="1"/>
  <c r="A179" i="2" a="1"/>
  <c r="A208" i="2" a="1"/>
  <c r="A173" i="2" a="1"/>
  <c r="A168" i="2" a="1"/>
  <c r="A158" i="2" a="1"/>
  <c r="A148" i="2" a="1"/>
  <c r="A143" i="2" a="1"/>
  <c r="A138" i="2" a="1"/>
  <c r="A128" i="2" a="1"/>
  <c r="A123" i="2" a="1"/>
  <c r="A113" i="2" a="1"/>
  <c r="A108" i="2" a="1"/>
  <c r="A93" i="2" a="1"/>
  <c r="A83" i="2" a="1"/>
  <c r="A78" i="2" a="1"/>
  <c r="A73" i="2" a="1"/>
  <c r="A58" i="2" a="1"/>
  <c r="A53" i="2" a="1"/>
  <c r="A48" i="2" a="1"/>
  <c r="A38" i="2" a="1"/>
  <c r="A18" i="2" a="1"/>
  <c r="A209" i="2" a="1"/>
  <c r="A174" i="2" a="1"/>
  <c r="A207" i="2" a="1"/>
  <c r="A202" i="2" a="1"/>
  <c r="A197" i="2" a="1"/>
  <c r="A192" i="2" a="1"/>
  <c r="A187" i="2" a="1"/>
  <c r="A172" i="2" a="1"/>
  <c r="A157" i="2" a="1"/>
  <c r="A147" i="2" a="1"/>
  <c r="A137" i="2" a="1"/>
  <c r="A132" i="2" a="1"/>
  <c r="A127" i="2" a="1"/>
  <c r="A122" i="2" a="1"/>
  <c r="A102" i="2" a="1"/>
  <c r="A97" i="2" a="1"/>
  <c r="A92" i="2" a="1"/>
  <c r="A87" i="2" a="1"/>
  <c r="A62" i="2" a="1"/>
  <c r="A47" i="2" a="1"/>
  <c r="A12" i="2" a="1"/>
  <c r="A194" i="2" a="1"/>
  <c r="A184" i="2" a="1"/>
  <c r="A169" i="2" a="1"/>
  <c r="A182" i="2" a="1"/>
  <c r="A167" i="2" a="1"/>
  <c r="A162" i="2" a="1"/>
  <c r="A152" i="2" a="1"/>
  <c r="A142" i="2" a="1"/>
  <c r="A117" i="2" a="1"/>
  <c r="A112" i="2" a="1"/>
  <c r="A107" i="2" a="1"/>
  <c r="A82" i="2" a="1"/>
  <c r="A77" i="2" a="1"/>
  <c r="A72" i="2" a="1"/>
  <c r="A67" i="2" a="1"/>
  <c r="A57" i="2" a="1"/>
  <c r="A52" i="2" a="1"/>
  <c r="A42" i="2" a="1"/>
  <c r="A37" i="2" a="1"/>
  <c r="A32" i="2" a="1"/>
  <c r="A27" i="2" a="1"/>
  <c r="A22" i="2" a="1"/>
  <c r="A17" i="2" a="1"/>
  <c r="A164" i="2" a="1"/>
  <c r="A203" i="2" a="1"/>
  <c r="A193" i="2" a="1"/>
  <c r="A178" i="2" a="1"/>
  <c r="A206" i="2" a="1"/>
  <c r="A201" i="2" a="1"/>
  <c r="A191" i="2" a="1"/>
  <c r="A186" i="2" a="1"/>
  <c r="A176" i="2" a="1"/>
  <c r="A166" i="2" a="1"/>
  <c r="A156" i="2" a="1"/>
  <c r="A146" i="2" a="1"/>
  <c r="A126" i="2" a="1"/>
  <c r="A121" i="2" a="1"/>
  <c r="A116" i="2" a="1"/>
  <c r="A111" i="2" a="1"/>
  <c r="A101" i="2" a="1"/>
  <c r="A96" i="2" a="1"/>
  <c r="A86" i="2" a="1"/>
  <c r="A71" i="2" a="1"/>
  <c r="A66" i="2" a="1"/>
  <c r="A61" i="2" a="1"/>
  <c r="A51" i="2" a="1"/>
  <c r="A36" i="2" a="1"/>
  <c r="A26" i="2" a="1"/>
  <c r="A11" i="2" a="1"/>
  <c r="A183" i="2" a="1"/>
  <c r="A177" i="2" a="1"/>
  <c r="A211" i="2" a="1"/>
  <c r="A196" i="2" a="1"/>
  <c r="A181" i="2" a="1"/>
  <c r="A171" i="2" a="1"/>
  <c r="A161" i="2" a="1"/>
  <c r="A151" i="2" a="1"/>
  <c r="A141" i="2" a="1"/>
  <c r="A136" i="2" a="1"/>
  <c r="A131" i="2" a="1"/>
  <c r="A106" i="2" a="1"/>
  <c r="A91" i="2" a="1"/>
  <c r="A81" i="2" a="1"/>
  <c r="A76" i="2" a="1"/>
  <c r="A56" i="2" a="1"/>
  <c r="A46" i="2" a="1"/>
  <c r="A41" i="2" a="1"/>
  <c r="A31" i="2" a="1"/>
  <c r="A21" i="2" a="1"/>
  <c r="A16" i="2" a="1"/>
  <c r="A210" i="2" a="1"/>
  <c r="A195" i="2" a="1"/>
  <c r="A190" i="2" a="1"/>
  <c r="A185" i="2" a="1"/>
  <c r="A155" i="2" a="1"/>
  <c r="A150" i="2" a="1"/>
  <c r="A140" i="2" a="1"/>
  <c r="A135" i="2" a="1"/>
  <c r="A125" i="2" a="1"/>
  <c r="A120" i="2" a="1"/>
  <c r="A100" i="2" a="1"/>
  <c r="A85" i="2" a="1"/>
  <c r="A80" i="2" a="1"/>
  <c r="A50" i="2" a="1"/>
  <c r="A45" i="2" a="1"/>
  <c r="A40" i="2" a="1"/>
  <c r="A30" i="2" a="1"/>
  <c r="A25" i="2" a="1"/>
  <c r="A20" i="2" a="1"/>
  <c r="A15" i="2" a="1"/>
  <c r="A205" i="2" a="1"/>
  <c r="A200" i="2" a="1"/>
  <c r="A180" i="2" a="1"/>
  <c r="A175" i="2" a="1"/>
  <c r="A170" i="2" a="1"/>
  <c r="A165" i="2" a="1"/>
  <c r="A160" i="2" a="1"/>
  <c r="A145" i="2" a="1"/>
  <c r="A130" i="2" a="1"/>
  <c r="A115" i="2" a="1"/>
  <c r="A110" i="2" a="1"/>
  <c r="A105" i="2" a="1"/>
  <c r="A95" i="2" a="1"/>
  <c r="A90" i="2" a="1"/>
  <c r="A75" i="2" a="1"/>
  <c r="A70" i="2" a="1"/>
  <c r="A65" i="2" a="1"/>
  <c r="A60" i="2" a="1"/>
  <c r="A55" i="2" a="1"/>
  <c r="A35" i="2" a="1"/>
  <c r="A159" i="2" a="1"/>
  <c r="A154" i="2" a="1"/>
  <c r="A149" i="2" a="1"/>
  <c r="A144" i="2" a="1"/>
  <c r="A134" i="2" a="1"/>
  <c r="A124" i="2" a="1"/>
  <c r="A119" i="2" a="1"/>
  <c r="A114" i="2" a="1"/>
  <c r="A89" i="2" a="1"/>
  <c r="A84" i="2" a="1"/>
  <c r="A79" i="2" a="1"/>
  <c r="A74" i="2" a="1"/>
  <c r="A59" i="2" a="1"/>
  <c r="A44" i="2" a="1"/>
  <c r="A39" i="2" a="1"/>
  <c r="A34" i="2" a="1"/>
  <c r="A29" i="2" a="1"/>
  <c r="A24" i="2" a="1"/>
  <c r="A9" i="2" a="1"/>
  <c r="A9" i="2" l="1"/>
  <c r="A24" i="2"/>
  <c r="A29" i="2"/>
  <c r="A34" i="2"/>
  <c r="A39" i="2"/>
  <c r="A44" i="2"/>
  <c r="A59" i="2"/>
  <c r="A74" i="2"/>
  <c r="A79" i="2"/>
  <c r="A84" i="2"/>
  <c r="A89" i="2"/>
  <c r="A114" i="2"/>
  <c r="A119" i="2"/>
  <c r="A124" i="2"/>
  <c r="A134" i="2"/>
  <c r="A144" i="2"/>
  <c r="A149" i="2"/>
  <c r="A154" i="2"/>
  <c r="A159" i="2"/>
  <c r="A35" i="2"/>
  <c r="A55" i="2"/>
  <c r="A60" i="2"/>
  <c r="A65" i="2"/>
  <c r="A70" i="2"/>
  <c r="A75" i="2"/>
  <c r="A90" i="2"/>
  <c r="A95" i="2"/>
  <c r="A105" i="2"/>
  <c r="A110" i="2"/>
  <c r="A115" i="2"/>
  <c r="A130" i="2"/>
  <c r="A145" i="2"/>
  <c r="A160" i="2"/>
  <c r="A165" i="2"/>
  <c r="A170" i="2"/>
  <c r="A175" i="2"/>
  <c r="A180" i="2"/>
  <c r="A200" i="2"/>
  <c r="A205" i="2"/>
  <c r="A15" i="2"/>
  <c r="A20" i="2"/>
  <c r="A25" i="2"/>
  <c r="A30" i="2"/>
  <c r="A40" i="2"/>
  <c r="A45" i="2"/>
  <c r="A50" i="2"/>
  <c r="A80" i="2"/>
  <c r="A85" i="2"/>
  <c r="A100" i="2"/>
  <c r="A120" i="2"/>
  <c r="A125" i="2"/>
  <c r="A135" i="2"/>
  <c r="A140" i="2"/>
  <c r="A150" i="2"/>
  <c r="A155" i="2"/>
  <c r="A185" i="2"/>
  <c r="A190" i="2"/>
  <c r="A195" i="2"/>
  <c r="A210" i="2"/>
  <c r="A16" i="2"/>
  <c r="A21" i="2"/>
  <c r="A31" i="2"/>
  <c r="A41" i="2"/>
  <c r="A46" i="2"/>
  <c r="A56" i="2"/>
  <c r="A76" i="2"/>
  <c r="A81" i="2"/>
  <c r="A91" i="2"/>
  <c r="A106" i="2"/>
  <c r="A131" i="2"/>
  <c r="A136" i="2"/>
  <c r="A141" i="2"/>
  <c r="A151" i="2"/>
  <c r="A161" i="2"/>
  <c r="A171" i="2"/>
  <c r="A181" i="2"/>
  <c r="A196" i="2"/>
  <c r="A211" i="2"/>
  <c r="A177" i="2"/>
  <c r="A183" i="2"/>
  <c r="A11" i="2"/>
  <c r="A26" i="2"/>
  <c r="A36" i="2"/>
  <c r="A51" i="2"/>
  <c r="A61" i="2"/>
  <c r="A66" i="2"/>
  <c r="A71" i="2"/>
  <c r="A86" i="2"/>
  <c r="A96" i="2"/>
  <c r="A101" i="2"/>
  <c r="A111" i="2"/>
  <c r="A116" i="2"/>
  <c r="A121" i="2"/>
  <c r="A126" i="2"/>
  <c r="A146" i="2"/>
  <c r="A156" i="2"/>
  <c r="A166" i="2"/>
  <c r="A176" i="2"/>
  <c r="A186" i="2"/>
  <c r="A191" i="2"/>
  <c r="A201" i="2"/>
  <c r="A206" i="2"/>
  <c r="A178" i="2"/>
  <c r="A193" i="2"/>
  <c r="A203" i="2"/>
  <c r="A164" i="2"/>
  <c r="A17" i="2"/>
  <c r="A22" i="2"/>
  <c r="A27" i="2"/>
  <c r="A32" i="2"/>
  <c r="A37" i="2"/>
  <c r="A42" i="2"/>
  <c r="A52" i="2"/>
  <c r="A57" i="2"/>
  <c r="A67" i="2"/>
  <c r="A72" i="2"/>
  <c r="A77" i="2"/>
  <c r="A82" i="2"/>
  <c r="A107" i="2"/>
  <c r="A112" i="2"/>
  <c r="A117" i="2"/>
  <c r="A142" i="2"/>
  <c r="A152" i="2"/>
  <c r="A162" i="2"/>
  <c r="A167" i="2"/>
  <c r="A182" i="2"/>
  <c r="A169" i="2"/>
  <c r="A184" i="2"/>
  <c r="A194" i="2"/>
  <c r="A12" i="2"/>
  <c r="A47" i="2"/>
  <c r="A62" i="2"/>
  <c r="A87" i="2"/>
  <c r="A92" i="2"/>
  <c r="A97" i="2"/>
  <c r="A102" i="2"/>
  <c r="A122" i="2"/>
  <c r="A127" i="2"/>
  <c r="A132" i="2"/>
  <c r="A137" i="2"/>
  <c r="A147" i="2"/>
  <c r="A157" i="2"/>
  <c r="A172" i="2"/>
  <c r="A187" i="2"/>
  <c r="A192" i="2"/>
  <c r="A197" i="2"/>
  <c r="A202" i="2"/>
  <c r="A207" i="2"/>
  <c r="A174" i="2"/>
  <c r="A209" i="2"/>
  <c r="A18" i="2"/>
  <c r="A38" i="2"/>
  <c r="A48" i="2"/>
  <c r="A53" i="2"/>
  <c r="A58" i="2"/>
  <c r="A73" i="2"/>
  <c r="A78" i="2"/>
  <c r="A83" i="2"/>
  <c r="A93" i="2"/>
  <c r="A108" i="2"/>
  <c r="A113" i="2"/>
  <c r="A123" i="2"/>
  <c r="A128" i="2"/>
  <c r="A138" i="2"/>
  <c r="A143" i="2"/>
  <c r="A148" i="2"/>
  <c r="A158" i="2"/>
  <c r="A168" i="2"/>
  <c r="A173" i="2"/>
  <c r="A208" i="2"/>
  <c r="A179" i="2"/>
  <c r="A189" i="2"/>
  <c r="A199" i="2"/>
  <c r="A13" i="2"/>
  <c r="A23" i="2"/>
  <c r="A28" i="2"/>
  <c r="A33" i="2"/>
  <c r="A43" i="2"/>
  <c r="A63" i="2"/>
  <c r="A68" i="2"/>
  <c r="A88" i="2"/>
  <c r="A98" i="2"/>
  <c r="A103" i="2"/>
  <c r="A118" i="2"/>
  <c r="A133" i="2"/>
  <c r="A153" i="2"/>
  <c r="A163" i="2"/>
  <c r="A188" i="2"/>
  <c r="A198" i="2"/>
  <c r="A14" i="2"/>
  <c r="A19" i="2"/>
  <c r="A49" i="2"/>
  <c r="A54" i="2"/>
  <c r="A64" i="2"/>
  <c r="A69" i="2"/>
  <c r="A94" i="2"/>
  <c r="A99" i="2"/>
  <c r="A104" i="2"/>
  <c r="A109" i="2"/>
  <c r="A129" i="2"/>
  <c r="A139" i="2"/>
  <c r="A204" i="2"/>
  <c r="L49" i="4" l="1"/>
  <c r="P49" i="4" s="1"/>
  <c r="L48" i="4"/>
  <c r="P48" i="4" s="1"/>
  <c r="L47" i="4"/>
  <c r="M47" i="4" s="1"/>
  <c r="R35" i="4"/>
  <c r="M49" i="4" l="1"/>
  <c r="M48" i="4"/>
  <c r="O49" i="4"/>
  <c r="P47" i="4"/>
  <c r="Q49" i="4"/>
  <c r="R49" i="4"/>
  <c r="S49" i="4"/>
  <c r="S47" i="4"/>
  <c r="S48" i="4"/>
  <c r="O48" i="4"/>
  <c r="R48" i="4"/>
  <c r="O47" i="4"/>
  <c r="Q48" i="4"/>
  <c r="R47" i="4"/>
  <c r="Q47" i="4"/>
  <c r="T20" i="4" l="1" a="1"/>
  <c r="T20" i="4" s="1"/>
  <c r="Z20" i="4" s="1" a="1"/>
  <c r="Z20" i="4" s="1"/>
  <c r="AA20" i="4" s="1" a="1"/>
  <c r="AA20" i="4" s="1"/>
  <c r="M35" i="4"/>
  <c r="N35" i="4"/>
  <c r="O35" i="4"/>
  <c r="P35" i="4"/>
  <c r="Q35" i="4"/>
  <c r="L35" i="4"/>
  <c r="I24" i="4"/>
  <c r="L20" i="4" a="1"/>
  <c r="AF4" i="4" a="1"/>
  <c r="AF4" i="4" s="1"/>
  <c r="AD4" i="4" a="1"/>
  <c r="AD4" i="4" s="1"/>
  <c r="S4" i="4" a="1"/>
  <c r="S4" i="4" s="1"/>
  <c r="W5" i="4" a="1"/>
  <c r="W5" i="4" s="1"/>
  <c r="W9" i="4" a="1"/>
  <c r="W9" i="4" s="1"/>
  <c r="S11" i="4" a="1"/>
  <c r="S11" i="4" s="1"/>
  <c r="M4" i="4" a="1"/>
  <c r="M4" i="4" s="1"/>
  <c r="N4" i="4" s="1" a="1"/>
  <c r="N4" i="4" s="1"/>
  <c r="L20" i="4" l="1"/>
  <c r="L24" i="4" s="1"/>
  <c r="O24" i="4"/>
  <c r="N24" i="4"/>
  <c r="P24" i="4"/>
  <c r="Q24" i="4"/>
  <c r="O4" i="4" a="1"/>
  <c r="O4" i="4" s="1"/>
  <c r="P4" i="4" s="1" a="1"/>
  <c r="P4" i="4" s="1"/>
  <c r="M24" i="4"/>
  <c r="P8" i="4" a="1"/>
  <c r="P8" i="4" s="1"/>
  <c r="P7" i="4" a="1"/>
  <c r="P7" i="4" s="1"/>
  <c r="P9" i="4" a="1"/>
  <c r="P9" i="4" s="1"/>
  <c r="P10" i="4" a="1"/>
  <c r="P10" i="4" s="1"/>
  <c r="P11" i="4" a="1"/>
  <c r="P11" i="4" s="1"/>
  <c r="P12" i="4" a="1"/>
  <c r="P12" i="4" s="1"/>
  <c r="P13" i="4" a="1"/>
  <c r="P13" i="4" s="1"/>
  <c r="P5" i="4" l="1" a="1"/>
  <c r="P5" i="4" s="1"/>
  <c r="I35" i="4" l="1"/>
  <c r="I34" i="4"/>
  <c r="I33" i="4"/>
  <c r="I32" i="4"/>
  <c r="I31" i="4"/>
  <c r="I30" i="4"/>
  <c r="I29" i="4"/>
  <c r="I28" i="4"/>
  <c r="I27" i="4"/>
  <c r="I26" i="4"/>
  <c r="I25" i="4"/>
  <c r="P28" i="4" l="1"/>
  <c r="Q28" i="4"/>
  <c r="L28" i="4"/>
  <c r="N28" i="4"/>
  <c r="O28" i="4"/>
  <c r="M28" i="4"/>
  <c r="L29" i="4"/>
  <c r="M29" i="4"/>
  <c r="N29" i="4"/>
  <c r="O29" i="4"/>
  <c r="P29" i="4"/>
  <c r="Q29" i="4"/>
  <c r="P30" i="4"/>
  <c r="Q30" i="4"/>
  <c r="L30" i="4"/>
  <c r="M30" i="4"/>
  <c r="O30" i="4"/>
  <c r="N30" i="4"/>
  <c r="L31" i="4"/>
  <c r="M31" i="4"/>
  <c r="N31" i="4"/>
  <c r="O31" i="4"/>
  <c r="P31" i="4"/>
  <c r="Q31" i="4"/>
  <c r="L32" i="4"/>
  <c r="Q32" i="4"/>
  <c r="P32" i="4"/>
  <c r="N32" i="4"/>
  <c r="M32" i="4"/>
  <c r="O32" i="4"/>
  <c r="M33" i="4"/>
  <c r="O33" i="4"/>
  <c r="N33" i="4"/>
  <c r="P33" i="4"/>
  <c r="Q33" i="4"/>
  <c r="L33" i="4"/>
  <c r="Q34" i="4"/>
  <c r="P34" i="4"/>
  <c r="M34" i="4"/>
  <c r="O34" i="4"/>
  <c r="L34" i="4"/>
  <c r="N34" i="4"/>
  <c r="Q25" i="4"/>
  <c r="M25" i="4"/>
  <c r="L25" i="4"/>
  <c r="N25" i="4"/>
  <c r="O25" i="4"/>
  <c r="P25" i="4"/>
  <c r="P27" i="4"/>
  <c r="Q27" i="4"/>
  <c r="L27" i="4"/>
  <c r="O27" i="4"/>
  <c r="N27" i="4"/>
  <c r="M27" i="4"/>
  <c r="O26" i="4"/>
  <c r="N26" i="4"/>
  <c r="L26" i="4"/>
  <c r="Q26" i="4"/>
  <c r="M26" i="4"/>
  <c r="P26" i="4"/>
  <c r="I37" i="4"/>
  <c r="I40" i="4" s="1"/>
  <c r="L44" i="4" l="1"/>
  <c r="M44" i="4" s="1"/>
  <c r="L45" i="4"/>
  <c r="M45" i="4" s="1"/>
  <c r="L43" i="4"/>
  <c r="M43" i="4" s="1"/>
  <c r="L42" i="4"/>
  <c r="M42" i="4" s="1"/>
  <c r="L41" i="4"/>
  <c r="L46" i="4"/>
  <c r="M46" i="4" s="1"/>
  <c r="O36" i="4"/>
  <c r="L36" i="4"/>
  <c r="P36" i="4"/>
  <c r="M36" i="4"/>
  <c r="N36" i="4"/>
  <c r="Q36" i="4"/>
  <c r="C9" i="4"/>
  <c r="F213" i="2"/>
  <c r="K49" i="4" l="1" a="1"/>
  <c r="K49" i="4" s="1"/>
  <c r="M41" i="4"/>
  <c r="S41" i="4" s="1"/>
  <c r="O41" i="4"/>
  <c r="P6" i="4" a="1"/>
  <c r="P6" i="4" s="1"/>
  <c r="Q46" i="4"/>
  <c r="R46" i="4"/>
  <c r="O46" i="4"/>
  <c r="P46" i="4"/>
  <c r="S43" i="4"/>
  <c r="P43" i="4"/>
  <c r="Q43" i="4"/>
  <c r="R43" i="4"/>
  <c r="O43" i="4"/>
  <c r="P41" i="4"/>
  <c r="Q41" i="4"/>
  <c r="R41" i="4"/>
  <c r="P42" i="4"/>
  <c r="Q42" i="4"/>
  <c r="R42" i="4"/>
  <c r="O42" i="4"/>
  <c r="R45" i="4"/>
  <c r="O45" i="4"/>
  <c r="P45" i="4"/>
  <c r="Q45" i="4"/>
  <c r="O44" i="4"/>
  <c r="S44" i="4"/>
  <c r="P44" i="4"/>
  <c r="Q44" i="4"/>
  <c r="R44" i="4"/>
  <c r="S46" i="4"/>
  <c r="S42" i="4"/>
  <c r="S45" i="4"/>
  <c r="F15" i="6" l="1" a="1"/>
  <c r="F15" i="6" s="1"/>
  <c r="F10" i="4"/>
  <c r="F9" i="4"/>
  <c r="A5" i="2"/>
  <c r="A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<sst xmlns="http://schemas.openxmlformats.org/spreadsheetml/2006/main" count="920" uniqueCount="351">
  <si>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</si>
  <si>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</si>
  <si>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</si>
  <si>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</si>
  <si>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</si>
  <si>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</si>
  <si>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</si>
  <si>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</si>
  <si>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</si>
  <si>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</si>
  <si>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</si>
  <si>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</si>
  <si>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</si>
  <si>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</si>
  <si>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</si>
  <si>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</si>
  <si>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</si>
  <si>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</si>
  <si>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</si>
  <si>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</si>
  <si>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</si>
  <si>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</si>
  <si>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</si>
  <si>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</si>
  <si>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</si>
  <si>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</si>
  <si>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</si>
  <si>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</si>
  <si>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</si>
  <si>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</si>
  <si>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</si>
  <si>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</si>
  <si>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</si>
  <si>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</si>
  <si>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</si>
  <si>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</si>
  <si>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</si>
  <si>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</si>
  <si>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</si>
  <si>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</si>
  <si>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</si>
  <si>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</si>
  <si>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</si>
  <si>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</si>
  <si>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</si>
  <si>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</si>
  <si>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</si>
  <si>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</si>
  <si>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</si>
  <si>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</si>
  <si>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</si>
  <si>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</si>
  <si>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</si>
  <si>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</si>
  <si>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</si>
  <si>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</si>
  <si>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</si>
  <si>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</si>
  <si>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</si>
  <si>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</si>
  <si>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</si>
  <si>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</si>
  <si>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</si>
  <si>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</si>
  <si>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</si>
  <si>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</si>
  <si>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</si>
  <si>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</si>
  <si>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</si>
  <si>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</si>
  <si>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</si>
  <si>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</si>
  <si>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</si>
  <si>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</si>
  <si>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</si>
  <si>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</si>
  <si>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</si>
  <si>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</si>
  <si>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</si>
  <si>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</si>
  <si>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</si>
  <si>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</si>
  <si>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</si>
  <si>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</si>
  <si>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</si>
  <si>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</si>
  <si>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</si>
  <si>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</si>
  <si>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</si>
  <si>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</si>
  <si>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</si>
  <si>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</si>
  <si>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</si>
  <si>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</si>
  <si>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</si>
  <si>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</si>
  <si>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</si>
  <si>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</si>
  <si>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</si>
  <si>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</si>
  <si>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</si>
  <si>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</si>
  <si>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</si>
  <si>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</si>
  <si>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</si>
  <si>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</si>
  <si>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</si>
  <si>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</si>
  <si>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</si>
  <si>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</si>
  <si>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</si>
  <si>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</si>
  <si>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</si>
  <si>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</si>
  <si>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</si>
  <si>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</si>
  <si>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</si>
  <si>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</si>
  <si>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</si>
  <si>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</si>
  <si>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</si>
  <si>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</si>
  <si>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</si>
  <si>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</si>
  <si>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</si>
  <si>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</si>
  <si>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</si>
  <si>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</si>
  <si>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</si>
  <si>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</si>
  <si>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</si>
  <si>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</si>
  <si>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</si>
  <si>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</si>
  <si>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</si>
  <si>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</si>
  <si>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</si>
  <si>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</si>
  <si>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</si>
  <si>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</si>
  <si>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</si>
  <si>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</si>
  <si>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</si>
  <si>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</si>
  <si>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</si>
  <si>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</si>
  <si>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</si>
  <si>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</si>
  <si>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</si>
  <si>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</si>
  <si>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</si>
  <si>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</si>
  <si>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</si>
  <si>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</si>
  <si>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</si>
  <si>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</si>
  <si>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</si>
  <si>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</si>
  <si>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</si>
  <si>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</si>
  <si>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</si>
  <si>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</si>
  <si>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</si>
  <si>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</si>
  <si>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</si>
  <si>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</si>
  <si>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</si>
  <si>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</si>
  <si>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</si>
  <si>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</si>
  <si>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</si>
  <si>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</si>
  <si>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</si>
  <si>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</si>
  <si>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</si>
  <si>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</si>
  <si>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</si>
  <si>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</si>
  <si>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</si>
  <si>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</si>
  <si>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</si>
  <si>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</si>
  <si>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</si>
  <si>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</si>
  <si>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</si>
  <si>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</si>
  <si>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</si>
  <si>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</si>
  <si>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</si>
  <si>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</si>
  <si>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</si>
  <si>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</si>
  <si>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</si>
  <si>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</si>
  <si>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</si>
  <si>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</si>
  <si>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</si>
  <si>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</si>
  <si>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</si>
  <si>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</si>
  <si>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</si>
  <si>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</si>
  <si>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</si>
  <si>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</si>
  <si>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</si>
  <si>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</si>
  <si>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</si>
  <si>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</si>
  <si>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</si>
  <si>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</si>
  <si>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</si>
  <si>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</si>
  <si>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</si>
  <si>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</si>
  <si>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</si>
  <si>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</si>
  <si>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</si>
  <si>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</si>
  <si>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</si>
  <si>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</si>
  <si>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</si>
  <si>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</si>
  <si>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</si>
  <si>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</si>
  <si>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</si>
  <si>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</si>
  <si>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</si>
  <si>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</si>
  <si>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</si>
  <si>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</si>
  <si>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</si>
  <si>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</si>
  <si>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</si>
  <si>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</si>
  <si>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</si>
  <si>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</si>
  <si>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</si>
  <si>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</si>
  <si>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</si>
  <si>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</si>
  <si>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</si>
  <si>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</si>
  <si>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</si>
  <si>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</si>
  <si>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</si>
  <si>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</si>
  <si>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</si>
  <si>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</si>
  <si>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</si>
  <si>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</si>
  <si>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</si>
  <si>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</si>
  <si>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</si>
  <si>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</si>
  <si>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</si>
  <si>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</si>
  <si>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</si>
  <si>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</si>
  <si>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</si>
  <si>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</si>
  <si>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</si>
  <si>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</si>
  <si>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</si>
  <si>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</si>
  <si>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</si>
  <si>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</si>
  <si>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</si>
  <si>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</si>
  <si>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</si>
  <si>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</si>
  <si>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</si>
  <si>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</si>
  <si>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</si>
  <si>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</si>
  <si>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</si>
  <si>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</si>
  <si>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</si>
  <si>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</si>
  <si>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</si>
  <si>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</si>
  <si>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</si>
  <si>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</si>
  <si>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</si>
  <si>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</si>
  <si>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</si>
  <si>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</si>
  <si>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</si>
  <si>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</si>
  <si>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</si>
  <si>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</si>
  <si>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</si>
  <si>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</si>
  <si>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</si>
  <si>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</si>
  <si>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</si>
  <si>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</si>
  <si>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</si>
  <si>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</si>
  <si>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</si>
  <si>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</si>
  <si>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</si>
  <si>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</si>
  <si>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</si>
  <si>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</si>
  <si>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</si>
  <si>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</si>
  <si>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</si>
  <si>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</si>
  <si>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</si>
  <si>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</si>
  <si>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</si>
  <si>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</si>
  <si>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</si>
  <si>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</si>
  <si>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</si>
  <si>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</si>
  <si>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</si>
  <si>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</si>
  <si>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</si>
  <si>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</si>
  <si>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</si>
  <si>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</si>
  <si>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</si>
  <si>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</si>
  <si>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</si>
  <si>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</si>
  <si>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</si>
  <si>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</si>
  <si>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</si>
  <si>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</si>
  <si>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</si>
  <si>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</si>
  <si>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</si>
  <si>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</si>
  <si>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</si>
  <si>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</si>
  <si>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</si>
  <si>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</si>
  <si>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</si>
  <si>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</si>
  <si>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</si>
  <si>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</si>
  <si>
    <t>=VSTACK(</t>
  </si>
  <si>
    <t xml:space="preserve">    LET(</t>
  </si>
  <si>
    <t xml:space="preserve">        REDUCE(</t>
  </si>
  <si>
    <t xml:space="preserve">            "", poList,</t>
  </si>
  <si>
    <t xml:space="preserve">    )</t>
  </si>
  <si>
    <t>RowCount</t>
  </si>
  <si>
    <t xml:space="preserve">        poList, PO_Index[PO],</t>
  </si>
  <si>
    <t>THIS WORKS</t>
  </si>
  <si>
    <t xml:space="preserve">            LAMBDA(a,poNum, VSTACK(a, INDIRECT("'" &amp; poNum &amp; "'!_" &amp; SUBSTITUTE(poNum, "-", "_") &amp; "_table"))))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</si>
</sst>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lt;=9999999]###\-####;\(###\)\ ###\-####"/>
    <numFmt numFmtId="166" formatCode="_(#,##0.00_);[Red]\(#,##0.00\)"/>
    <numFmt numFmtId="167" formatCode="0;\(0\);&quot;&quot;"/>
    <numFmt numFmtId="168" formatCode="000"/>
    <numFmt numFmtId="169" formatCode="m/d/yyyy;@"/>
  </numFmts>
  <fonts count="75">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b/>
      <sz val="11"/>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sz val="12"/>
      <color rgb="FFFF0000"/>
      <name val="Arial"/>
      <family val="2"/>
    </font>
    <font>
      <sz val="12"/>
      <color theme="1"/>
      <name val="Arial"/>
      <family val="2"/>
    </font>
    <font>
      <sz val="12"/>
      <color rgb="FFC00000"/>
      <name val="Arial"/>
      <family val="2"/>
    </font>
    <font>
      <b/>
      <sz val="12"/>
      <name val="Arial"/>
      <family val="2"/>
    </font>
    <font>
      <b/>
      <sz val="12"/>
      <color theme="1" tint="0.249977111117893"/>
      <name val="Aptos Narrow"/>
      <scheme val="minor"/>
    </font>
    <font>
      <sz val="12"/>
      <name val="Aptos Narrow"/>
      <family val="2"/>
      <scheme val="minor"/>
    </font>
    <font>
      <b/>
      <sz val="12"/>
      <color rgb="FFFFFFFF"/>
      <name val="Arial"/>
      <family val="2"/>
    </font>
    <font>
      <b/>
      <sz val="12"/>
      <color rgb="FF000000"/>
      <name val="Arial"/>
      <family val="2"/>
    </font>
    <font>
      <sz val="12"/>
      <color rgb="FF000000"/>
      <name val="Aptos Narrow"/>
    </font>
    <font>
      <sz val="14.3"/>
      <color rgb="FF000000"/>
      <name val="Aptos Narrow"/>
    </font>
    <font>
      <b/>
      <sz val="12"/>
      <color rgb="FFFF0000"/>
      <name val="Aptos Narrow"/>
      <scheme val="minor"/>
    </font>
    <font>
      <sz val="12"/>
      <color theme="6" tint="-0.499984740745262"/>
      <name val="Arial"/>
      <family val="2"/>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10"/>
      <color theme="1" tint="0.249977111117893"/>
      <name val="Aptos Narrow"/>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92">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style="thin">
        <color auto="1"/>
      </left>
      <right style="thin">
        <color indexed="64"/>
      </right>
      <top/>
      <bottom/>
      <diagonal/>
    </border>
    <border>
      <left/>
      <right style="thin">
        <color auto="1"/>
      </right>
      <top style="thin">
        <color auto="1"/>
      </top>
      <bottom/>
      <diagonal/>
    </border>
    <border>
      <left/>
      <right style="thin">
        <color auto="1"/>
      </right>
      <top/>
      <bottom/>
      <diagonal/>
    </border>
    <border>
      <left style="thin">
        <color indexed="64"/>
      </left>
      <right style="thin">
        <color indexed="64"/>
      </right>
      <top style="thin">
        <color indexed="64"/>
      </top>
      <bottom style="thin">
        <color auto="1"/>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auto="1"/>
      </left>
      <right style="thin">
        <color indexed="64"/>
      </right>
      <top style="thin">
        <color indexed="64"/>
      </top>
      <bottom style="thin">
        <color rgb="FF000000"/>
      </bottom>
      <diagonal/>
    </border>
    <border>
      <left style="thin">
        <color indexed="64"/>
      </left>
      <right style="thin">
        <color auto="1"/>
      </right>
      <top style="thin">
        <color rgb="FF000000"/>
      </top>
      <bottom/>
      <diagonal/>
    </border>
    <border>
      <left style="thin">
        <color auto="1"/>
      </left>
      <right/>
      <top style="thin">
        <color auto="1"/>
      </top>
      <bottom style="thin">
        <color rgb="FF000000"/>
      </bottom>
      <diagonal/>
    </border>
    <border>
      <left style="medium">
        <color rgb="FF000000"/>
      </left>
      <right style="medium">
        <color rgb="FF000000"/>
      </right>
      <top/>
      <bottom/>
      <diagonal/>
    </border>
  </borders>
  <cellStyleXfs count="3">
    <xf numFmtId="0" fontId="0" fillId="0" borderId="0"/>
    <xf numFmtId="0" fontId="3" fillId="0" borderId="0"/>
    <xf numFmtId="0" fontId="33" fillId="0" borderId="0"/>
  </cellStyleXfs>
  <cellXfs count="345">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2" fillId="0" borderId="0" xfId="0" applyFont="1" applyProtection="1">
      <protection hidden="1"/>
    </xf>
    <xf numFmtId="164" fontId="30" fillId="0" borderId="0" xfId="0" applyNumberFormat="1" applyFont="1" applyAlignment="1" applyProtection="1">
      <alignment horizontal="center"/>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4" fillId="0" borderId="11" xfId="2" applyFont="1" applyBorder="1" applyAlignment="1" applyProtection="1">
      <alignment horizontal="center"/>
      <protection hidden="1"/>
    </xf>
    <xf numFmtId="0" fontId="34" fillId="0" borderId="5" xfId="2" applyFont="1" applyBorder="1" applyProtection="1">
      <protection locked="0" hidden="1"/>
    </xf>
    <xf numFmtId="0" fontId="35" fillId="0" borderId="5" xfId="2" applyFont="1" applyBorder="1" applyProtection="1">
      <protection locked="0"/>
    </xf>
    <xf numFmtId="0" fontId="36" fillId="0" borderId="11" xfId="2" applyFont="1" applyBorder="1" applyAlignment="1" applyProtection="1">
      <alignment horizontal="center"/>
      <protection hidden="1"/>
    </xf>
    <xf numFmtId="0" fontId="35" fillId="0" borderId="10" xfId="2" applyFont="1" applyBorder="1" applyProtection="1">
      <protection locked="0"/>
    </xf>
    <xf numFmtId="0" fontId="35" fillId="0" borderId="5" xfId="0" applyFont="1" applyBorder="1"/>
    <xf numFmtId="0" fontId="35" fillId="0" borderId="5" xfId="0" applyFont="1" applyBorder="1" applyProtection="1">
      <protection locked="0"/>
    </xf>
    <xf numFmtId="0" fontId="36" fillId="0" borderId="12" xfId="2" applyFont="1" applyBorder="1" applyAlignment="1" applyProtection="1">
      <alignment horizontal="center"/>
      <protection hidden="1"/>
    </xf>
    <xf numFmtId="0" fontId="35" fillId="0" borderId="13" xfId="0" applyFont="1" applyBorder="1" applyProtection="1">
      <protection locked="0"/>
    </xf>
    <xf numFmtId="0" fontId="35" fillId="0" borderId="14" xfId="2" applyFont="1" applyBorder="1" applyProtection="1">
      <protection locked="0"/>
    </xf>
    <xf numFmtId="0" fontId="35" fillId="0" borderId="6" xfId="0" applyFont="1" applyBorder="1" applyProtection="1">
      <protection locked="0"/>
    </xf>
    <xf numFmtId="0" fontId="34" fillId="0" borderId="5" xfId="2" applyFont="1" applyBorder="1" applyProtection="1">
      <protection locked="0"/>
    </xf>
    <xf numFmtId="167" fontId="35"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7" fillId="0" borderId="16" xfId="2" applyFont="1" applyBorder="1" applyProtection="1">
      <protection locked="0"/>
    </xf>
    <xf numFmtId="167" fontId="35" fillId="0" borderId="18" xfId="0" applyNumberFormat="1" applyFont="1" applyBorder="1"/>
    <xf numFmtId="167" fontId="35" fillId="0" borderId="18" xfId="0" applyNumberFormat="1" applyFont="1" applyBorder="1" applyProtection="1">
      <protection locked="0"/>
    </xf>
    <xf numFmtId="167" fontId="35" fillId="0" borderId="6" xfId="0" applyNumberFormat="1" applyFont="1" applyBorder="1" applyProtection="1">
      <protection locked="0"/>
    </xf>
    <xf numFmtId="0" fontId="34" fillId="0" borderId="19" xfId="2" applyFont="1" applyBorder="1" applyAlignment="1" applyProtection="1">
      <alignment horizontal="center"/>
      <protection hidden="1"/>
    </xf>
    <xf numFmtId="0" fontId="34" fillId="0" borderId="20" xfId="2" applyFont="1" applyBorder="1" applyProtection="1">
      <protection locked="0" hidden="1"/>
    </xf>
    <xf numFmtId="167" fontId="35" fillId="0" borderId="5" xfId="0" applyNumberFormat="1" applyFont="1" applyBorder="1"/>
    <xf numFmtId="0" fontId="35" fillId="0" borderId="10" xfId="0" applyFont="1" applyBorder="1" applyProtection="1">
      <protection locked="0"/>
    </xf>
    <xf numFmtId="0" fontId="38" fillId="0" borderId="5" xfId="0" applyFont="1" applyBorder="1" applyAlignment="1">
      <alignment horizontal="right"/>
    </xf>
    <xf numFmtId="0" fontId="36" fillId="0" borderId="10" xfId="2" applyFont="1" applyBorder="1" applyAlignment="1" applyProtection="1">
      <alignment horizontal="center"/>
      <protection hidden="1"/>
    </xf>
    <xf numFmtId="2" fontId="34" fillId="0" borderId="11" xfId="2" applyNumberFormat="1" applyFont="1" applyBorder="1" applyAlignment="1" applyProtection="1">
      <alignment horizontal="center"/>
      <protection hidden="1"/>
    </xf>
    <xf numFmtId="1" fontId="36" fillId="0" borderId="12" xfId="2" applyNumberFormat="1" applyFont="1" applyBorder="1" applyAlignment="1" applyProtection="1">
      <alignment horizontal="center"/>
      <protection hidden="1"/>
    </xf>
    <xf numFmtId="4" fontId="34" fillId="0" borderId="11" xfId="2" applyNumberFormat="1" applyFont="1" applyBorder="1" applyAlignment="1" applyProtection="1">
      <alignment horizontal="center"/>
      <protection hidden="1"/>
    </xf>
    <xf numFmtId="1" fontId="36" fillId="0" borderId="14" xfId="2" applyNumberFormat="1" applyFont="1" applyBorder="1" applyAlignment="1" applyProtection="1">
      <alignment horizontal="center"/>
      <protection hidden="1"/>
    </xf>
    <xf numFmtId="1" fontId="36" fillId="0" borderId="10" xfId="2" applyNumberFormat="1" applyFont="1" applyBorder="1" applyAlignment="1" applyProtection="1">
      <alignment horizontal="center"/>
      <protection hidden="1"/>
    </xf>
    <xf numFmtId="38" fontId="35" fillId="0" borderId="21" xfId="0" applyNumberFormat="1" applyFont="1" applyBorder="1" applyProtection="1">
      <protection hidden="1"/>
    </xf>
    <xf numFmtId="38" fontId="35" fillId="0" borderId="21" xfId="2" applyNumberFormat="1" applyFont="1" applyBorder="1" applyProtection="1">
      <protection hidden="1"/>
    </xf>
    <xf numFmtId="0" fontId="35" fillId="0" borderId="10" xfId="2" applyFont="1" applyBorder="1" applyProtection="1">
      <protection locked="0" hidden="1"/>
    </xf>
    <xf numFmtId="0" fontId="39" fillId="0" borderId="5" xfId="2" applyFont="1" applyBorder="1" applyProtection="1">
      <protection hidden="1"/>
    </xf>
    <xf numFmtId="0" fontId="35" fillId="0" borderId="6" xfId="2" applyFont="1" applyBorder="1" applyProtection="1">
      <protection locked="0"/>
    </xf>
    <xf numFmtId="0" fontId="35" fillId="0" borderId="5" xfId="2" applyFont="1" applyBorder="1" applyProtection="1">
      <protection hidden="1"/>
    </xf>
    <xf numFmtId="0" fontId="35" fillId="0" borderId="14" xfId="0" applyFont="1" applyBorder="1" applyProtection="1">
      <protection locked="0"/>
    </xf>
    <xf numFmtId="0" fontId="40" fillId="0" borderId="0" xfId="0" applyFont="1"/>
    <xf numFmtId="0" fontId="0" fillId="0" borderId="24" xfId="0" applyBorder="1"/>
    <xf numFmtId="0" fontId="40" fillId="10" borderId="0" xfId="0" applyFont="1" applyFill="1"/>
    <xf numFmtId="0" fontId="0" fillId="10" borderId="0" xfId="0" applyFill="1"/>
    <xf numFmtId="0" fontId="40" fillId="10" borderId="23" xfId="0" applyFont="1" applyFill="1" applyBorder="1"/>
    <xf numFmtId="0" fontId="41" fillId="10" borderId="0" xfId="0" applyFont="1" applyFill="1"/>
    <xf numFmtId="0" fontId="40" fillId="0" borderId="25" xfId="0" applyFont="1" applyBorder="1"/>
    <xf numFmtId="0" fontId="40" fillId="10" borderId="28" xfId="0" applyFont="1" applyFill="1" applyBorder="1"/>
    <xf numFmtId="0" fontId="41" fillId="0" borderId="0" xfId="0" applyFont="1"/>
    <xf numFmtId="168" fontId="40" fillId="0" borderId="25" xfId="0" applyNumberFormat="1" applyFont="1" applyBorder="1"/>
    <xf numFmtId="168" fontId="40" fillId="10" borderId="0" xfId="0" applyNumberFormat="1" applyFont="1" applyFill="1"/>
    <xf numFmtId="0" fontId="0" fillId="0" borderId="26" xfId="0" applyBorder="1"/>
    <xf numFmtId="168" fontId="0" fillId="0" borderId="35" xfId="0" applyNumberFormat="1" applyBorder="1"/>
    <xf numFmtId="168" fontId="0" fillId="0" borderId="36" xfId="0" applyNumberFormat="1" applyBorder="1"/>
    <xf numFmtId="168" fontId="42" fillId="0" borderId="37" xfId="0" applyNumberFormat="1" applyFont="1" applyBorder="1"/>
    <xf numFmtId="0" fontId="1" fillId="9" borderId="37" xfId="0" applyFont="1" applyFill="1" applyBorder="1"/>
    <xf numFmtId="0" fontId="0" fillId="0" borderId="38" xfId="0" applyBorder="1"/>
    <xf numFmtId="0" fontId="0" fillId="0" borderId="39" xfId="0" applyBorder="1"/>
    <xf numFmtId="0" fontId="0" fillId="0" borderId="27" xfId="0" applyBorder="1"/>
    <xf numFmtId="40" fontId="0" fillId="0" borderId="11" xfId="0" applyNumberFormat="1" applyBorder="1" applyAlignment="1" applyProtection="1">
      <alignment shrinkToFit="1"/>
      <protection hidden="1"/>
    </xf>
    <xf numFmtId="0" fontId="45" fillId="7" borderId="42" xfId="0" applyFont="1" applyFill="1" applyBorder="1" applyAlignment="1">
      <alignment horizontal="center"/>
    </xf>
    <xf numFmtId="0" fontId="45" fillId="7" borderId="40" xfId="0" applyFont="1" applyFill="1" applyBorder="1" applyAlignment="1">
      <alignment horizontal="center"/>
    </xf>
    <xf numFmtId="164" fontId="45" fillId="7" borderId="40" xfId="0" applyNumberFormat="1" applyFont="1" applyFill="1" applyBorder="1" applyAlignment="1">
      <alignment horizontal="center"/>
    </xf>
    <xf numFmtId="40" fontId="45" fillId="7" borderId="40" xfId="0" applyNumberFormat="1" applyFont="1" applyFill="1" applyBorder="1" applyAlignment="1">
      <alignment horizontal="center"/>
    </xf>
    <xf numFmtId="0" fontId="45" fillId="8" borderId="40" xfId="0" applyFont="1" applyFill="1" applyBorder="1" applyAlignment="1">
      <alignment horizontal="center"/>
    </xf>
    <xf numFmtId="0" fontId="46" fillId="8" borderId="14" xfId="0" applyFont="1" applyFill="1" applyBorder="1" applyAlignment="1" applyProtection="1">
      <alignment horizontal="left"/>
      <protection hidden="1"/>
    </xf>
    <xf numFmtId="0" fontId="43" fillId="0" borderId="22" xfId="0" applyFont="1" applyBorder="1" applyAlignment="1">
      <alignment horizontal="left" vertical="center" shrinkToFit="1"/>
    </xf>
    <xf numFmtId="0" fontId="44" fillId="0" borderId="22" xfId="0" applyFont="1" applyBorder="1" applyAlignment="1">
      <alignment horizontal="left" vertical="center" shrinkToFit="1"/>
    </xf>
    <xf numFmtId="0" fontId="46" fillId="0" borderId="11" xfId="0" applyFont="1" applyBorder="1" applyAlignment="1" applyProtection="1">
      <alignment horizontal="center" shrinkToFit="1"/>
      <protection hidden="1"/>
    </xf>
    <xf numFmtId="0" fontId="52" fillId="0" borderId="0" xfId="0" applyFont="1"/>
    <xf numFmtId="0" fontId="49" fillId="0" borderId="22" xfId="0" applyFont="1" applyBorder="1" applyAlignment="1">
      <alignment horizontal="left" vertical="center" shrinkToFit="1"/>
    </xf>
    <xf numFmtId="0" fontId="15" fillId="3" borderId="6" xfId="1" applyFont="1" applyFill="1" applyBorder="1" applyAlignment="1" applyProtection="1">
      <alignment horizontal="center"/>
      <protection locked="0"/>
    </xf>
    <xf numFmtId="0" fontId="40" fillId="0" borderId="32" xfId="0" applyFont="1" applyBorder="1" applyAlignment="1">
      <alignment horizontal="left"/>
    </xf>
    <xf numFmtId="0" fontId="40" fillId="0" borderId="29" xfId="0" applyFont="1" applyBorder="1" applyAlignment="1">
      <alignment horizontal="left"/>
    </xf>
    <xf numFmtId="0" fontId="40" fillId="0" borderId="30" xfId="0" applyFont="1" applyBorder="1" applyAlignment="1">
      <alignment horizontal="left"/>
    </xf>
    <xf numFmtId="0" fontId="40" fillId="0" borderId="33" xfId="0" applyFont="1" applyBorder="1" applyAlignment="1">
      <alignment horizontal="left"/>
    </xf>
    <xf numFmtId="0" fontId="40" fillId="0" borderId="31" xfId="0" applyFont="1" applyBorder="1" applyAlignment="1">
      <alignment horizontal="left"/>
    </xf>
    <xf numFmtId="0" fontId="40" fillId="0" borderId="34" xfId="0" applyFont="1" applyBorder="1" applyAlignment="1">
      <alignment horizontal="left"/>
    </xf>
    <xf numFmtId="0" fontId="31" fillId="0" borderId="0" xfId="0" applyFont="1" applyAlignment="1" applyProtection="1">
      <alignment horizontal="center"/>
      <protection hidden="1"/>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165" fontId="16" fillId="3" borderId="5" xfId="1" applyNumberFormat="1" applyFont="1" applyFill="1" applyBorder="1" applyAlignment="1" applyProtection="1">
      <alignment horizontal="center"/>
      <protection locked="0"/>
    </xf>
    <xf numFmtId="0" fontId="22" fillId="0" borderId="0" xfId="1" applyFont="1" applyAlignment="1">
      <alignment horizontal="left" indent="1"/>
    </xf>
    <xf numFmtId="0" fontId="23" fillId="3" borderId="6" xfId="1" applyFont="1" applyFill="1" applyBorder="1" applyAlignment="1">
      <alignment horizontal="center"/>
    </xf>
    <xf numFmtId="0" fontId="43" fillId="0" borderId="43" xfId="0" applyFont="1" applyFill="1" applyBorder="1" applyAlignment="1">
      <alignment horizontal="left" vertical="center" shrinkToFit="1"/>
    </xf>
    <xf numFmtId="14" fontId="43" fillId="0" borderId="43" xfId="0" applyNumberFormat="1" applyFont="1" applyFill="1" applyBorder="1" applyAlignment="1">
      <alignment horizontal="left" vertical="center" shrinkToFit="1"/>
    </xf>
    <xf numFmtId="0" fontId="50" fillId="0" borderId="43" xfId="0" applyFont="1" applyFill="1" applyBorder="1" applyAlignment="1">
      <alignment horizontal="left" vertical="center" shrinkToFit="1"/>
    </xf>
    <xf numFmtId="166" fontId="43" fillId="0" borderId="43" xfId="0" applyNumberFormat="1" applyFont="1" applyFill="1" applyBorder="1" applyAlignment="1">
      <alignment horizontal="left" vertical="center" shrinkToFit="1"/>
    </xf>
    <xf numFmtId="0" fontId="54" fillId="0" borderId="43" xfId="0" applyFont="1" applyFill="1" applyBorder="1" applyAlignment="1" applyProtection="1">
      <alignment horizontal="right"/>
      <protection locked="0"/>
    </xf>
    <xf numFmtId="0" fontId="54" fillId="0" borderId="43" xfId="0" applyFont="1" applyFill="1" applyBorder="1" applyAlignment="1" applyProtection="1">
      <alignment horizontal="left"/>
      <protection locked="0"/>
    </xf>
    <xf numFmtId="169" fontId="54" fillId="0" borderId="43" xfId="0" applyNumberFormat="1" applyFont="1" applyFill="1" applyBorder="1" applyAlignment="1" applyProtection="1">
      <alignment horizontal="right"/>
      <protection locked="0"/>
    </xf>
    <xf numFmtId="40" fontId="54" fillId="0" borderId="43" xfId="0" applyNumberFormat="1" applyFont="1" applyFill="1" applyBorder="1" applyAlignment="1" applyProtection="1">
      <alignment horizontal="right"/>
      <protection locked="0"/>
    </xf>
    <xf numFmtId="0" fontId="44" fillId="0" borderId="43" xfId="0" applyFont="1" applyFill="1" applyBorder="1" applyAlignment="1">
      <alignment horizontal="left" vertical="center" shrinkToFit="1"/>
    </xf>
    <xf numFmtId="166" fontId="44" fillId="0" borderId="43" xfId="0" applyNumberFormat="1" applyFont="1" applyFill="1" applyBorder="1" applyAlignment="1">
      <alignment horizontal="left" vertical="center" shrinkToFit="1"/>
    </xf>
    <xf numFmtId="0" fontId="53" fillId="0" borderId="43" xfId="0" applyFont="1" applyFill="1" applyBorder="1" applyAlignment="1">
      <alignment horizontal="left" vertical="center" shrinkToFit="1"/>
    </xf>
    <xf numFmtId="0" fontId="47" fillId="0" borderId="43" xfId="0" applyFont="1" applyFill="1" applyBorder="1" applyAlignment="1">
      <alignment horizontal="left" vertical="center" shrinkToFit="1"/>
    </xf>
    <xf numFmtId="14" fontId="47" fillId="0" borderId="43" xfId="0" applyNumberFormat="1" applyFont="1" applyFill="1" applyBorder="1" applyAlignment="1">
      <alignment horizontal="left" vertical="center" shrinkToFit="1"/>
    </xf>
    <xf numFmtId="14" fontId="44" fillId="0" borderId="43" xfId="0" applyNumberFormat="1" applyFont="1" applyFill="1" applyBorder="1" applyAlignment="1">
      <alignment horizontal="left" vertical="center" shrinkToFit="1"/>
    </xf>
    <xf numFmtId="0" fontId="48" fillId="0" borderId="43" xfId="0" applyFont="1" applyFill="1" applyBorder="1" applyAlignment="1">
      <alignment horizontal="left" vertical="center" shrinkToFit="1"/>
    </xf>
    <xf numFmtId="14" fontId="48" fillId="0" borderId="43" xfId="0" applyNumberFormat="1" applyFont="1" applyFill="1" applyBorder="1" applyAlignment="1">
      <alignment horizontal="left" vertical="center" shrinkToFit="1"/>
    </xf>
    <xf numFmtId="0" fontId="42" fillId="0" borderId="43" xfId="0" applyFont="1" applyFill="1" applyBorder="1"/>
    <xf numFmtId="166" fontId="47" fillId="0" borderId="43" xfId="0" applyNumberFormat="1" applyFont="1" applyFill="1" applyBorder="1" applyAlignment="1">
      <alignment horizontal="left" vertical="center" shrinkToFit="1"/>
    </xf>
    <xf numFmtId="14" fontId="49" fillId="0" borderId="43" xfId="0" applyNumberFormat="1" applyFont="1" applyFill="1" applyBorder="1" applyAlignment="1">
      <alignment horizontal="left" vertical="center" shrinkToFit="1"/>
    </xf>
    <xf numFmtId="166" fontId="58" fillId="0" borderId="43" xfId="0" applyNumberFormat="1" applyFont="1" applyFill="1" applyBorder="1" applyAlignment="1">
      <alignment horizontal="left" vertical="center" shrinkToFit="1"/>
    </xf>
    <xf numFmtId="14" fontId="43" fillId="0" borderId="43" xfId="0" applyNumberFormat="1" applyFont="1" applyFill="1" applyBorder="1" applyAlignment="1" applyProtection="1">
      <alignment horizontal="left" vertical="center" shrinkToFit="1"/>
      <protection locked="0"/>
    </xf>
    <xf numFmtId="0" fontId="43" fillId="0" borderId="43" xfId="0" applyFont="1" applyFill="1" applyBorder="1" applyAlignment="1" applyProtection="1">
      <alignment horizontal="left" vertical="center" shrinkToFit="1"/>
      <protection locked="0"/>
    </xf>
    <xf numFmtId="166" fontId="43" fillId="0" borderId="43" xfId="0" applyNumberFormat="1" applyFont="1" applyFill="1" applyBorder="1" applyAlignment="1" applyProtection="1">
      <alignment horizontal="left" vertical="center" shrinkToFit="1"/>
      <protection locked="0"/>
    </xf>
    <xf numFmtId="0" fontId="49" fillId="0" borderId="43" xfId="0" applyFont="1" applyFill="1" applyBorder="1" applyAlignment="1">
      <alignment horizontal="left" vertical="center" shrinkToFit="1"/>
    </xf>
    <xf numFmtId="166" fontId="49" fillId="0" borderId="43" xfId="0" applyNumberFormat="1" applyFont="1" applyFill="1" applyBorder="1" applyAlignment="1">
      <alignment horizontal="left" vertical="center" shrinkToFit="1"/>
    </xf>
    <xf numFmtId="0" fontId="44" fillId="0" borderId="43" xfId="0" applyFont="1" applyFill="1" applyBorder="1" applyAlignment="1" applyProtection="1">
      <alignment horizontal="left" vertical="center" shrinkToFit="1"/>
      <protection locked="0"/>
    </xf>
    <xf numFmtId="0" fontId="49" fillId="0" borderId="43" xfId="0" applyFont="1" applyFill="1" applyBorder="1" applyAlignment="1" applyProtection="1">
      <alignment horizontal="left" vertical="center" shrinkToFit="1"/>
      <protection locked="0"/>
    </xf>
    <xf numFmtId="0" fontId="16" fillId="0" borderId="44" xfId="1" applyFont="1" applyBorder="1" applyAlignment="1">
      <alignment horizontal="center"/>
    </xf>
    <xf numFmtId="0" fontId="16" fillId="0" borderId="41" xfId="1" applyFont="1" applyBorder="1" applyAlignment="1">
      <alignment horizontal="center"/>
    </xf>
    <xf numFmtId="0" fontId="16" fillId="0" borderId="6" xfId="1" applyFont="1" applyBorder="1" applyAlignment="1">
      <alignment horizontal="center"/>
    </xf>
    <xf numFmtId="0" fontId="16" fillId="0" borderId="46" xfId="1" applyFont="1" applyBorder="1" applyAlignment="1">
      <alignment horizontal="center"/>
    </xf>
    <xf numFmtId="0" fontId="4" fillId="0" borderId="20" xfId="1" applyFont="1" applyBorder="1"/>
    <xf numFmtId="0" fontId="4" fillId="0" borderId="45" xfId="1" applyFont="1" applyBorder="1"/>
    <xf numFmtId="0" fontId="26" fillId="0" borderId="0" xfId="1" applyFont="1" applyBorder="1"/>
    <xf numFmtId="0" fontId="4" fillId="0" borderId="0" xfId="1" applyFont="1" applyBorder="1"/>
    <xf numFmtId="0" fontId="4" fillId="0" borderId="0" xfId="1" applyFont="1" applyBorder="1"/>
    <xf numFmtId="0" fontId="24" fillId="0" borderId="0" xfId="1" applyFont="1" applyBorder="1" applyAlignment="1">
      <alignment horizontal="left"/>
    </xf>
    <xf numFmtId="0" fontId="4" fillId="0" borderId="0" xfId="1" applyFont="1" applyBorder="1" applyAlignment="1">
      <alignment horizontal="left"/>
    </xf>
    <xf numFmtId="0" fontId="7" fillId="0" borderId="0" xfId="1" applyFont="1" applyBorder="1" applyAlignment="1">
      <alignment horizontal="right"/>
    </xf>
    <xf numFmtId="0" fontId="11" fillId="0" borderId="45" xfId="1" applyFont="1" applyBorder="1"/>
    <xf numFmtId="0" fontId="11" fillId="0" borderId="0" xfId="1" applyFont="1" applyBorder="1" applyAlignment="1">
      <alignment horizontal="left"/>
    </xf>
    <xf numFmtId="0" fontId="11" fillId="0" borderId="0" xfId="1" applyFont="1" applyBorder="1" applyAlignment="1">
      <alignment horizontal="left"/>
    </xf>
    <xf numFmtId="0" fontId="12" fillId="0" borderId="45" xfId="1" applyFont="1" applyBorder="1"/>
    <xf numFmtId="0" fontId="21" fillId="0" borderId="0" xfId="1" applyFont="1" applyBorder="1" applyAlignment="1">
      <alignment horizontal="left" vertical="top" wrapText="1"/>
    </xf>
    <xf numFmtId="0" fontId="16" fillId="0" borderId="0" xfId="1" applyFont="1" applyBorder="1" applyAlignment="1">
      <alignment horizontal="left" indent="1"/>
    </xf>
    <xf numFmtId="0" fontId="16" fillId="0" borderId="0" xfId="1" applyFont="1" applyBorder="1"/>
    <xf numFmtId="0" fontId="16" fillId="0" borderId="0" xfId="1" applyFont="1" applyBorder="1" applyAlignment="1">
      <alignment horizontal="right"/>
    </xf>
    <xf numFmtId="0" fontId="16" fillId="0" borderId="0" xfId="1" applyFont="1" applyBorder="1" applyAlignment="1">
      <alignment horizontal="left" indent="1"/>
    </xf>
    <xf numFmtId="0" fontId="16" fillId="0" borderId="0" xfId="1" applyFont="1" applyBorder="1"/>
    <xf numFmtId="0" fontId="18" fillId="0" borderId="0" xfId="1" applyFont="1" applyBorder="1" applyAlignment="1">
      <alignment horizontal="right" wrapText="1"/>
    </xf>
    <xf numFmtId="0" fontId="19" fillId="0" borderId="0" xfId="1" applyFont="1" applyBorder="1"/>
    <xf numFmtId="0" fontId="12" fillId="0" borderId="0" xfId="1" applyFont="1" applyBorder="1"/>
    <xf numFmtId="0" fontId="16" fillId="4" borderId="0" xfId="1" applyFont="1" applyFill="1" applyBorder="1" applyAlignment="1">
      <alignment horizontal="left"/>
    </xf>
    <xf numFmtId="0" fontId="16" fillId="3" borderId="0" xfId="1" applyFont="1" applyFill="1" applyBorder="1" applyAlignment="1">
      <alignment horizontal="left"/>
    </xf>
    <xf numFmtId="0" fontId="2" fillId="0" borderId="0" xfId="1" applyFont="1" applyBorder="1" applyAlignment="1" applyProtection="1">
      <alignment horizontal="center"/>
      <protection locked="0"/>
    </xf>
    <xf numFmtId="164" fontId="11" fillId="0" borderId="0" xfId="1" applyNumberFormat="1" applyFont="1" applyBorder="1"/>
    <xf numFmtId="0" fontId="11" fillId="0" borderId="0" xfId="1" applyFont="1" applyBorder="1"/>
    <xf numFmtId="0" fontId="10" fillId="0" borderId="0" xfId="1" applyFont="1" applyBorder="1" applyAlignment="1" applyProtection="1">
      <alignment horizontal="right"/>
      <protection locked="0"/>
    </xf>
    <xf numFmtId="0" fontId="11" fillId="0" borderId="0" xfId="1" applyFont="1" applyBorder="1"/>
    <xf numFmtId="44" fontId="8" fillId="2" borderId="0" xfId="1" applyNumberFormat="1" applyFont="1" applyFill="1" applyBorder="1" applyAlignment="1" applyProtection="1">
      <alignment horizontal="center"/>
      <protection locked="0"/>
    </xf>
    <xf numFmtId="44" fontId="8" fillId="2" borderId="0" xfId="1" applyNumberFormat="1" applyFont="1" applyFill="1" applyBorder="1" applyProtection="1">
      <protection locked="0"/>
    </xf>
    <xf numFmtId="44" fontId="8" fillId="2" borderId="0" xfId="1" applyNumberFormat="1" applyFont="1" applyFill="1" applyBorder="1"/>
    <xf numFmtId="0" fontId="7" fillId="0" borderId="0" xfId="1" applyFont="1" applyBorder="1" applyAlignment="1">
      <alignment horizontal="left" indent="1"/>
    </xf>
    <xf numFmtId="44" fontId="6" fillId="2" borderId="0" xfId="1" applyNumberFormat="1" applyFont="1" applyFill="1" applyBorder="1" applyAlignment="1">
      <alignment horizontal="left" vertical="center"/>
    </xf>
    <xf numFmtId="0" fontId="4" fillId="0" borderId="14" xfId="1" applyFont="1" applyBorder="1"/>
    <xf numFmtId="0" fontId="4" fillId="0" borderId="6" xfId="1" applyFont="1" applyBorder="1"/>
    <xf numFmtId="0" fontId="4" fillId="0" borderId="46" xfId="1" applyFont="1" applyBorder="1"/>
    <xf numFmtId="164" fontId="13" fillId="5" borderId="47" xfId="1" applyNumberFormat="1" applyFont="1" applyFill="1" applyBorder="1" applyAlignment="1">
      <alignment horizontal="center" vertical="center"/>
    </xf>
    <xf numFmtId="164" fontId="13" fillId="5" borderId="48" xfId="1" applyNumberFormat="1" applyFont="1" applyFill="1" applyBorder="1" applyAlignment="1">
      <alignment horizontal="center" vertical="center"/>
    </xf>
    <xf numFmtId="0" fontId="13" fillId="5" borderId="49" xfId="1" applyFont="1" applyFill="1" applyBorder="1" applyAlignment="1">
      <alignment horizontal="center" vertical="center"/>
    </xf>
    <xf numFmtId="0" fontId="4" fillId="4" borderId="50" xfId="1" applyFont="1" applyFill="1" applyBorder="1" applyAlignment="1" applyProtection="1">
      <alignment horizontal="left"/>
      <protection locked="0"/>
    </xf>
    <xf numFmtId="0" fontId="4" fillId="4" borderId="51" xfId="1" applyFont="1" applyFill="1" applyBorder="1" applyAlignment="1" applyProtection="1">
      <alignment horizontal="left"/>
      <protection locked="0"/>
    </xf>
    <xf numFmtId="0" fontId="12" fillId="4" borderId="52" xfId="1" applyFont="1" applyFill="1" applyBorder="1" applyAlignment="1" applyProtection="1">
      <alignment horizontal="center"/>
      <protection locked="0"/>
    </xf>
    <xf numFmtId="0" fontId="12" fillId="4" borderId="50" xfId="1" applyFont="1" applyFill="1" applyBorder="1" applyAlignment="1" applyProtection="1">
      <alignment horizontal="center"/>
      <protection locked="0"/>
    </xf>
    <xf numFmtId="0" fontId="12" fillId="4" borderId="0" xfId="1" applyFont="1" applyFill="1" applyBorder="1" applyProtection="1">
      <protection locked="0"/>
    </xf>
    <xf numFmtId="0" fontId="10" fillId="4" borderId="0" xfId="1" applyFont="1" applyFill="1" applyBorder="1" applyAlignment="1" applyProtection="1">
      <alignment horizontal="right"/>
      <protection locked="0"/>
    </xf>
    <xf numFmtId="0" fontId="15" fillId="3" borderId="0" xfId="1" applyFont="1" applyFill="1" applyBorder="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0" fontId="4" fillId="0" borderId="0" xfId="1" applyFont="1" applyFill="1" applyBorder="1"/>
    <xf numFmtId="44" fontId="8" fillId="0" borderId="0" xfId="1" applyNumberFormat="1" applyFont="1" applyFill="1" applyBorder="1"/>
    <xf numFmtId="44" fontId="6" fillId="0" borderId="0" xfId="1" applyNumberFormat="1" applyFont="1" applyFill="1" applyBorder="1" applyAlignment="1">
      <alignment vertical="center"/>
    </xf>
    <xf numFmtId="44" fontId="6" fillId="0" borderId="0" xfId="1" applyNumberFormat="1" applyFont="1" applyFill="1" applyBorder="1" applyAlignment="1">
      <alignment horizontal="left" vertical="center"/>
    </xf>
    <xf numFmtId="0" fontId="28" fillId="0" borderId="54" xfId="1" applyFont="1" applyBorder="1" applyAlignment="1">
      <alignment horizontal="center"/>
    </xf>
    <xf numFmtId="0" fontId="28" fillId="0" borderId="55" xfId="1" applyFont="1" applyBorder="1" applyAlignment="1">
      <alignment horizontal="center"/>
    </xf>
    <xf numFmtId="0" fontId="27" fillId="0" borderId="56" xfId="1" applyFont="1" applyBorder="1"/>
    <xf numFmtId="0" fontId="4" fillId="0" borderId="57" xfId="1" applyFont="1" applyBorder="1"/>
    <xf numFmtId="0" fontId="25" fillId="0" borderId="56" xfId="1" applyFont="1" applyBorder="1" applyAlignment="1">
      <alignment horizontal="left"/>
    </xf>
    <xf numFmtId="0" fontId="23" fillId="3" borderId="58" xfId="1" applyFont="1" applyFill="1" applyBorder="1" applyAlignment="1">
      <alignment horizontal="center"/>
    </xf>
    <xf numFmtId="0" fontId="11" fillId="0" borderId="56" xfId="1" applyFont="1" applyBorder="1" applyAlignment="1">
      <alignment horizontal="left"/>
    </xf>
    <xf numFmtId="0" fontId="11" fillId="0" borderId="57" xfId="1" applyFont="1" applyBorder="1" applyAlignment="1">
      <alignment horizontal="left"/>
    </xf>
    <xf numFmtId="0" fontId="59" fillId="0" borderId="59" xfId="1" applyFont="1" applyBorder="1" applyAlignment="1"/>
    <xf numFmtId="0" fontId="21" fillId="0" borderId="57" xfId="1" applyFont="1" applyBorder="1" applyAlignment="1">
      <alignment horizontal="center"/>
    </xf>
    <xf numFmtId="0" fontId="59" fillId="0" borderId="60" xfId="1" applyFont="1" applyBorder="1" applyAlignment="1"/>
    <xf numFmtId="0" fontId="20" fillId="0" borderId="57" xfId="1" applyFont="1" applyBorder="1" applyAlignment="1">
      <alignment horizontal="center"/>
    </xf>
    <xf numFmtId="0" fontId="16" fillId="0" borderId="56" xfId="1" applyFont="1" applyBorder="1" applyAlignment="1">
      <alignment horizontal="left" indent="1"/>
    </xf>
    <xf numFmtId="0" fontId="16" fillId="0" borderId="57" xfId="1" applyFont="1" applyBorder="1" applyAlignment="1">
      <alignment horizontal="right"/>
    </xf>
    <xf numFmtId="0" fontId="16" fillId="0" borderId="56" xfId="1" applyFont="1" applyBorder="1" applyAlignment="1">
      <alignment horizontal="left" indent="1"/>
    </xf>
    <xf numFmtId="0" fontId="18" fillId="0" borderId="56" xfId="1" applyFont="1" applyBorder="1" applyAlignment="1">
      <alignment horizontal="right" wrapText="1"/>
    </xf>
    <xf numFmtId="0" fontId="16" fillId="3" borderId="58" xfId="1" applyFont="1" applyFill="1" applyBorder="1" applyAlignment="1">
      <alignment horizontal="center"/>
    </xf>
    <xf numFmtId="0" fontId="16" fillId="3" borderId="61" xfId="1" applyFont="1" applyFill="1" applyBorder="1" applyAlignment="1">
      <alignment horizontal="center"/>
    </xf>
    <xf numFmtId="0" fontId="18" fillId="0" borderId="56" xfId="1" applyFont="1" applyBorder="1" applyAlignment="1">
      <alignment horizontal="right"/>
    </xf>
    <xf numFmtId="0" fontId="12" fillId="0" borderId="57" xfId="1" applyFont="1" applyBorder="1"/>
    <xf numFmtId="0" fontId="16" fillId="3" borderId="62" xfId="1" applyFont="1" applyFill="1" applyBorder="1" applyProtection="1">
      <protection locked="0"/>
    </xf>
    <xf numFmtId="0" fontId="17" fillId="0" borderId="56" xfId="1" applyFont="1" applyBorder="1"/>
    <xf numFmtId="0" fontId="16" fillId="3" borderId="63" xfId="1" applyFont="1" applyFill="1" applyBorder="1" applyAlignment="1" applyProtection="1">
      <alignment horizontal="center"/>
      <protection locked="0"/>
    </xf>
    <xf numFmtId="0" fontId="16" fillId="4" borderId="56" xfId="1" applyFont="1" applyFill="1" applyBorder="1"/>
    <xf numFmtId="0" fontId="14" fillId="0" borderId="56" xfId="1" applyFont="1" applyBorder="1" applyAlignment="1">
      <alignment horizontal="right" wrapText="1" indent="1"/>
    </xf>
    <xf numFmtId="0" fontId="15" fillId="3" borderId="58" xfId="1" applyFont="1" applyFill="1" applyBorder="1" applyAlignment="1" applyProtection="1">
      <alignment horizontal="center"/>
      <protection locked="0"/>
    </xf>
    <xf numFmtId="0" fontId="2" fillId="3" borderId="61" xfId="1" applyFont="1" applyFill="1" applyBorder="1" applyAlignment="1" applyProtection="1">
      <alignment horizontal="center"/>
      <protection locked="0"/>
    </xf>
    <xf numFmtId="0" fontId="2" fillId="0" borderId="57" xfId="1" applyFont="1" applyBorder="1" applyAlignment="1" applyProtection="1">
      <alignment horizontal="center"/>
      <protection locked="0"/>
    </xf>
    <xf numFmtId="164" fontId="11" fillId="0" borderId="56" xfId="1" applyNumberFormat="1" applyFont="1" applyBorder="1"/>
    <xf numFmtId="0" fontId="11" fillId="0" borderId="57" xfId="1" applyFont="1" applyBorder="1"/>
    <xf numFmtId="164" fontId="13" fillId="5" borderId="64" xfId="1" applyNumberFormat="1" applyFont="1" applyFill="1" applyBorder="1" applyAlignment="1">
      <alignment horizontal="center" vertical="center"/>
    </xf>
    <xf numFmtId="0" fontId="13" fillId="5" borderId="65" xfId="1" applyFont="1" applyFill="1" applyBorder="1" applyAlignment="1">
      <alignment horizontal="center" vertical="center"/>
    </xf>
    <xf numFmtId="44" fontId="12" fillId="4" borderId="67" xfId="1" applyNumberFormat="1" applyFont="1" applyFill="1" applyBorder="1" applyAlignment="1" applyProtection="1">
      <alignment horizontal="center"/>
      <protection locked="0"/>
    </xf>
    <xf numFmtId="44" fontId="12" fillId="4" borderId="69" xfId="1" applyNumberFormat="1" applyFont="1" applyFill="1" applyBorder="1" applyAlignment="1" applyProtection="1">
      <alignment horizontal="center"/>
      <protection locked="0"/>
    </xf>
    <xf numFmtId="0" fontId="12" fillId="4" borderId="56" xfId="1" applyFont="1" applyFill="1" applyBorder="1" applyProtection="1">
      <protection locked="0"/>
    </xf>
    <xf numFmtId="44" fontId="12" fillId="0" borderId="57" xfId="1" applyNumberFormat="1" applyFont="1" applyBorder="1" applyAlignment="1" applyProtection="1">
      <alignment horizontal="center"/>
      <protection locked="0"/>
    </xf>
    <xf numFmtId="0" fontId="4" fillId="0" borderId="56" xfId="1" applyFont="1" applyBorder="1"/>
    <xf numFmtId="0" fontId="10" fillId="0" borderId="57" xfId="1" applyFont="1" applyBorder="1" applyAlignment="1" applyProtection="1">
      <alignment horizontal="center"/>
      <protection locked="0"/>
    </xf>
    <xf numFmtId="44" fontId="9" fillId="3" borderId="57" xfId="1" applyNumberFormat="1" applyFont="1" applyFill="1" applyBorder="1" applyAlignment="1" applyProtection="1">
      <alignment horizontal="center"/>
      <protection locked="0"/>
    </xf>
    <xf numFmtId="44" fontId="5" fillId="2" borderId="57" xfId="1" applyNumberFormat="1" applyFont="1" applyFill="1" applyBorder="1"/>
    <xf numFmtId="0" fontId="4" fillId="0" borderId="70" xfId="1" applyFont="1" applyFill="1" applyBorder="1"/>
    <xf numFmtId="0" fontId="4" fillId="0" borderId="71" xfId="1" applyFont="1" applyFill="1" applyBorder="1"/>
    <xf numFmtId="0" fontId="4" fillId="0" borderId="72" xfId="1" applyFont="1" applyFill="1" applyBorder="1"/>
    <xf numFmtId="0" fontId="10" fillId="0" borderId="73" xfId="1" applyFont="1" applyBorder="1" applyAlignment="1" applyProtection="1">
      <alignment horizontal="right"/>
      <protection locked="0"/>
    </xf>
    <xf numFmtId="0" fontId="10" fillId="0" borderId="74" xfId="1" applyFont="1" applyBorder="1" applyAlignment="1" applyProtection="1">
      <alignment horizontal="right"/>
      <protection locked="0"/>
    </xf>
    <xf numFmtId="44" fontId="12" fillId="3" borderId="75" xfId="1" applyNumberFormat="1" applyFont="1" applyFill="1" applyBorder="1" applyAlignment="1" applyProtection="1">
      <alignment horizontal="center"/>
      <protection locked="0"/>
    </xf>
    <xf numFmtId="0" fontId="10" fillId="0" borderId="56"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60" fillId="0" borderId="0" xfId="0" applyFont="1" applyAlignment="1">
      <alignment horizontal="left"/>
    </xf>
    <xf numFmtId="0" fontId="61" fillId="0" borderId="0" xfId="0" applyFont="1" applyAlignment="1">
      <alignment horizontal="left"/>
    </xf>
    <xf numFmtId="0" fontId="51" fillId="0" borderId="0" xfId="1" applyFont="1"/>
    <xf numFmtId="14" fontId="12" fillId="4" borderId="3" xfId="1" applyNumberFormat="1" applyFont="1" applyFill="1" applyBorder="1" applyAlignment="1" applyProtection="1">
      <alignment horizontal="center"/>
      <protection locked="0"/>
    </xf>
    <xf numFmtId="0" fontId="57" fillId="0" borderId="0" xfId="1" applyFont="1"/>
    <xf numFmtId="0" fontId="51" fillId="0" borderId="53" xfId="1" applyFont="1" applyBorder="1"/>
    <xf numFmtId="0" fontId="63" fillId="0" borderId="0" xfId="0" applyFont="1"/>
    <xf numFmtId="0" fontId="64" fillId="0" borderId="0" xfId="1" applyFont="1"/>
    <xf numFmtId="0" fontId="65" fillId="0" borderId="0" xfId="1" applyFont="1"/>
    <xf numFmtId="0" fontId="66" fillId="0" borderId="0" xfId="1" applyFont="1"/>
    <xf numFmtId="0" fontId="4" fillId="0" borderId="0" xfId="1" applyFont="1" applyAlignment="1"/>
    <xf numFmtId="1" fontId="12" fillId="4" borderId="66" xfId="1" applyNumberFormat="1" applyFont="1" applyFill="1" applyBorder="1" applyAlignment="1" applyProtection="1">
      <alignment horizontal="center"/>
      <protection locked="0"/>
    </xf>
    <xf numFmtId="1" fontId="12" fillId="4" borderId="68"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52" xfId="1" applyNumberFormat="1" applyFont="1" applyFill="1" applyBorder="1" applyAlignment="1" applyProtection="1">
      <alignment horizontal="center"/>
      <protection locked="0"/>
    </xf>
    <xf numFmtId="14" fontId="64" fillId="0" borderId="0" xfId="1" applyNumberFormat="1" applyFont="1"/>
    <xf numFmtId="14" fontId="65" fillId="0" borderId="0" xfId="1" applyNumberFormat="1" applyFont="1"/>
    <xf numFmtId="44" fontId="67" fillId="0" borderId="0" xfId="1" applyNumberFormat="1" applyFont="1" applyFill="1" applyBorder="1"/>
    <xf numFmtId="0" fontId="51" fillId="0" borderId="23" xfId="1" applyFont="1" applyBorder="1"/>
    <xf numFmtId="0" fontId="51" fillId="0" borderId="79" xfId="1" applyFont="1" applyBorder="1"/>
    <xf numFmtId="0" fontId="51" fillId="0" borderId="80" xfId="1" applyFont="1" applyBorder="1"/>
    <xf numFmtId="0" fontId="51" fillId="0" borderId="81" xfId="1" applyFont="1" applyBorder="1"/>
    <xf numFmtId="2" fontId="12" fillId="0" borderId="0" xfId="1" applyNumberFormat="1" applyFont="1"/>
    <xf numFmtId="0" fontId="11" fillId="0" borderId="82" xfId="1" applyFont="1" applyBorder="1" applyAlignment="1">
      <alignment horizontal="center"/>
    </xf>
    <xf numFmtId="14" fontId="11" fillId="0" borderId="83" xfId="1" applyNumberFormat="1" applyFont="1" applyBorder="1" applyAlignment="1">
      <alignment horizontal="center"/>
    </xf>
    <xf numFmtId="0" fontId="4" fillId="0" borderId="83" xfId="1" applyFont="1" applyBorder="1" applyAlignment="1">
      <alignment horizontal="center"/>
    </xf>
    <xf numFmtId="0" fontId="68" fillId="0" borderId="0" xfId="1" applyFont="1" applyFill="1" applyAlignment="1">
      <alignment horizontal="center"/>
    </xf>
    <xf numFmtId="2" fontId="12" fillId="0" borderId="73" xfId="1" applyNumberFormat="1" applyFont="1" applyBorder="1"/>
    <xf numFmtId="2" fontId="12" fillId="0" borderId="76" xfId="1" applyNumberFormat="1" applyFont="1" applyBorder="1"/>
    <xf numFmtId="2" fontId="12" fillId="0" borderId="77" xfId="1" applyNumberFormat="1" applyFont="1" applyBorder="1"/>
    <xf numFmtId="2" fontId="12" fillId="0" borderId="78" xfId="1" applyNumberFormat="1" applyFont="1" applyBorder="1"/>
    <xf numFmtId="0" fontId="4" fillId="0" borderId="0" xfId="1" applyFont="1" applyFill="1" applyBorder="1" applyAlignment="1"/>
    <xf numFmtId="0" fontId="7" fillId="0" borderId="0" xfId="1" applyFont="1" applyFill="1" applyBorder="1" applyAlignment="1"/>
    <xf numFmtId="0" fontId="29" fillId="0" borderId="54" xfId="1" applyFont="1" applyBorder="1" applyAlignment="1"/>
    <xf numFmtId="0" fontId="12" fillId="0" borderId="6" xfId="1" applyFont="1" applyBorder="1" applyAlignment="1">
      <alignment horizontal="center"/>
    </xf>
    <xf numFmtId="0" fontId="69" fillId="0" borderId="73" xfId="1" applyFont="1" applyBorder="1" applyAlignment="1">
      <alignment horizontal="center"/>
    </xf>
    <xf numFmtId="0" fontId="69" fillId="0" borderId="74" xfId="1" applyFont="1" applyBorder="1" applyAlignment="1">
      <alignment horizontal="center"/>
    </xf>
    <xf numFmtId="0" fontId="69" fillId="0" borderId="75" xfId="1" applyFont="1" applyBorder="1" applyAlignment="1">
      <alignment horizontal="center"/>
    </xf>
    <xf numFmtId="0" fontId="11" fillId="0" borderId="20" xfId="1" applyFont="1" applyBorder="1" applyAlignment="1">
      <alignment horizontal="center"/>
    </xf>
    <xf numFmtId="0" fontId="11" fillId="0" borderId="44" xfId="1" applyFont="1" applyBorder="1"/>
    <xf numFmtId="0" fontId="11" fillId="0" borderId="41" xfId="1" applyFont="1" applyBorder="1"/>
    <xf numFmtId="0" fontId="11" fillId="0" borderId="42" xfId="1" applyFont="1" applyBorder="1"/>
    <xf numFmtId="0" fontId="11" fillId="0" borderId="0" xfId="1" applyFont="1" applyAlignment="1">
      <alignment wrapText="1"/>
    </xf>
    <xf numFmtId="0" fontId="45" fillId="7" borderId="0" xfId="0" applyFont="1" applyFill="1" applyBorder="1" applyAlignment="1">
      <alignment horizontal="center"/>
    </xf>
    <xf numFmtId="168" fontId="42" fillId="0" borderId="84" xfId="0" applyNumberFormat="1" applyFont="1" applyBorder="1"/>
    <xf numFmtId="0" fontId="42" fillId="0" borderId="85" xfId="0" applyFont="1" applyBorder="1"/>
    <xf numFmtId="0" fontId="42" fillId="0" borderId="86" xfId="0" applyFont="1" applyBorder="1"/>
    <xf numFmtId="0" fontId="70" fillId="11" borderId="44" xfId="0" applyFont="1" applyFill="1" applyBorder="1" applyAlignment="1">
      <alignment horizontal="left" vertical="center" shrinkToFit="1"/>
    </xf>
    <xf numFmtId="0" fontId="70" fillId="12" borderId="20" xfId="0" applyFont="1" applyFill="1" applyBorder="1" applyAlignment="1">
      <alignment horizontal="left" vertical="center" shrinkToFit="1"/>
    </xf>
    <xf numFmtId="0" fontId="70" fillId="11" borderId="20" xfId="0" applyFont="1" applyFill="1" applyBorder="1" applyAlignment="1">
      <alignment horizontal="left" vertical="center" shrinkToFit="1"/>
    </xf>
    <xf numFmtId="14" fontId="70" fillId="11" borderId="20" xfId="0" applyNumberFormat="1" applyFont="1" applyFill="1" applyBorder="1" applyAlignment="1">
      <alignment horizontal="left" vertical="center" shrinkToFit="1"/>
    </xf>
    <xf numFmtId="166" fontId="70" fillId="11" borderId="20" xfId="0" applyNumberFormat="1" applyFont="1" applyFill="1" applyBorder="1" applyAlignment="1">
      <alignment horizontal="left" vertical="center" shrinkToFit="1"/>
    </xf>
    <xf numFmtId="0" fontId="70" fillId="0" borderId="20" xfId="0" applyFont="1" applyBorder="1" applyAlignment="1">
      <alignment horizontal="left" vertical="center" shrinkToFit="1"/>
    </xf>
    <xf numFmtId="14" fontId="70" fillId="0" borderId="20" xfId="0" applyNumberFormat="1" applyFont="1" applyBorder="1" applyAlignment="1">
      <alignment horizontal="left" vertical="center" shrinkToFit="1"/>
    </xf>
    <xf numFmtId="166" fontId="70" fillId="0" borderId="20" xfId="0" applyNumberFormat="1" applyFont="1" applyBorder="1" applyAlignment="1">
      <alignment horizontal="left" vertical="center" shrinkToFit="1"/>
    </xf>
    <xf numFmtId="14" fontId="71" fillId="11" borderId="20" xfId="1" applyNumberFormat="1" applyFont="1" applyFill="1" applyBorder="1" applyAlignment="1"/>
    <xf numFmtId="0" fontId="71" fillId="11" borderId="20" xfId="1" applyNumberFormat="1" applyFont="1" applyFill="1" applyBorder="1" applyAlignment="1"/>
    <xf numFmtId="14" fontId="71" fillId="0" borderId="20" xfId="1" applyNumberFormat="1" applyFont="1" applyBorder="1" applyAlignment="1"/>
    <xf numFmtId="0" fontId="71" fillId="0" borderId="20" xfId="1" applyNumberFormat="1" applyFont="1" applyBorder="1" applyAlignment="1"/>
    <xf numFmtId="0" fontId="51" fillId="11" borderId="74" xfId="1" applyNumberFormat="1" applyFont="1" applyFill="1" applyBorder="1" applyAlignment="1"/>
    <xf numFmtId="0" fontId="72" fillId="0" borderId="74" xfId="0" applyFont="1" applyBorder="1" applyAlignment="1">
      <alignment horizontal="left" vertical="center" shrinkToFit="1"/>
    </xf>
    <xf numFmtId="0" fontId="72" fillId="11" borderId="44" xfId="0" applyFont="1" applyFill="1" applyBorder="1" applyAlignment="1">
      <alignment horizontal="left" vertical="center" shrinkToFit="1"/>
    </xf>
    <xf numFmtId="0" fontId="72" fillId="0" borderId="44" xfId="0" applyFont="1" applyBorder="1" applyAlignment="1">
      <alignment horizontal="left" vertical="center" shrinkToFit="1"/>
    </xf>
    <xf numFmtId="0" fontId="73" fillId="7" borderId="0" xfId="0" applyFont="1" applyFill="1" applyBorder="1" applyAlignment="1">
      <alignment horizontal="center"/>
    </xf>
    <xf numFmtId="0" fontId="45" fillId="7" borderId="45" xfId="0" applyFont="1" applyFill="1" applyBorder="1" applyAlignment="1">
      <alignment horizontal="center"/>
    </xf>
    <xf numFmtId="164" fontId="45" fillId="7" borderId="45" xfId="0" applyNumberFormat="1" applyFont="1" applyFill="1" applyBorder="1" applyAlignment="1">
      <alignment horizontal="center"/>
    </xf>
    <xf numFmtId="40" fontId="45" fillId="7" borderId="45" xfId="0" applyNumberFormat="1" applyFont="1" applyFill="1" applyBorder="1" applyAlignment="1">
      <alignment horizontal="center"/>
    </xf>
    <xf numFmtId="0" fontId="45" fillId="8" borderId="45" xfId="0" applyFont="1" applyFill="1" applyBorder="1" applyAlignment="1">
      <alignment horizontal="center"/>
    </xf>
    <xf numFmtId="0" fontId="71" fillId="0" borderId="0" xfId="1" applyNumberFormat="1" applyFont="1" applyFill="1" applyBorder="1" applyAlignment="1"/>
    <xf numFmtId="0" fontId="74" fillId="0" borderId="0" xfId="0" applyFont="1" applyFill="1" applyBorder="1"/>
    <xf numFmtId="166" fontId="71" fillId="0" borderId="0" xfId="1" applyNumberFormat="1" applyFont="1" applyFill="1" applyBorder="1" applyAlignment="1"/>
    <xf numFmtId="0" fontId="45" fillId="7" borderId="87" xfId="0" applyFont="1" applyFill="1" applyBorder="1" applyAlignment="1">
      <alignment horizontal="center"/>
    </xf>
    <xf numFmtId="164" fontId="45" fillId="7" borderId="87" xfId="0" applyNumberFormat="1" applyFont="1" applyFill="1" applyBorder="1" applyAlignment="1">
      <alignment horizontal="center"/>
    </xf>
    <xf numFmtId="40" fontId="45" fillId="7" borderId="87" xfId="0" applyNumberFormat="1" applyFont="1" applyFill="1" applyBorder="1" applyAlignment="1">
      <alignment horizontal="center"/>
    </xf>
    <xf numFmtId="0" fontId="45" fillId="8" borderId="87" xfId="0" applyFont="1" applyFill="1" applyBorder="1" applyAlignment="1">
      <alignment horizontal="center"/>
    </xf>
    <xf numFmtId="0" fontId="45" fillId="8" borderId="89" xfId="0" applyFont="1" applyFill="1" applyBorder="1" applyAlignment="1">
      <alignment horizontal="left"/>
    </xf>
    <xf numFmtId="0" fontId="43" fillId="0" borderId="20" xfId="0" applyFont="1" applyBorder="1" applyAlignment="1">
      <alignment horizontal="left" vertical="center" shrinkToFit="1"/>
    </xf>
    <xf numFmtId="14" fontId="43" fillId="0" borderId="20" xfId="0" applyNumberFormat="1" applyFont="1" applyBorder="1" applyAlignment="1">
      <alignment horizontal="left" vertical="center" shrinkToFit="1"/>
    </xf>
    <xf numFmtId="166" fontId="43" fillId="0" borderId="20" xfId="0" applyNumberFormat="1" applyFont="1" applyBorder="1" applyAlignment="1">
      <alignment horizontal="left" vertical="center" shrinkToFit="1"/>
    </xf>
    <xf numFmtId="0" fontId="44" fillId="0" borderId="20" xfId="0" applyFont="1" applyBorder="1" applyAlignment="1">
      <alignment horizontal="left" vertical="center" shrinkToFit="1"/>
    </xf>
    <xf numFmtId="166" fontId="44" fillId="0" borderId="20" xfId="0" applyNumberFormat="1" applyFont="1" applyBorder="1" applyAlignment="1">
      <alignment horizontal="left" vertical="center" shrinkToFit="1"/>
    </xf>
    <xf numFmtId="0" fontId="53" fillId="0" borderId="20" xfId="0" applyFont="1" applyBorder="1" applyAlignment="1">
      <alignment horizontal="left" vertical="center" shrinkToFit="1"/>
    </xf>
    <xf numFmtId="0" fontId="49" fillId="0" borderId="20" xfId="0" applyFont="1" applyBorder="1" applyAlignment="1">
      <alignment horizontal="left" vertical="center" shrinkToFit="1"/>
    </xf>
    <xf numFmtId="0" fontId="47" fillId="0" borderId="20" xfId="0" applyFont="1" applyBorder="1" applyAlignment="1">
      <alignment horizontal="left" vertical="center" shrinkToFit="1"/>
    </xf>
    <xf numFmtId="14" fontId="47" fillId="0" borderId="20" xfId="0" applyNumberFormat="1" applyFont="1" applyBorder="1" applyAlignment="1">
      <alignment horizontal="left" vertical="center" shrinkToFit="1"/>
    </xf>
    <xf numFmtId="14" fontId="44" fillId="0" borderId="20" xfId="0" applyNumberFormat="1" applyFont="1" applyBorder="1" applyAlignment="1">
      <alignment horizontal="left" vertical="center" shrinkToFit="1"/>
    </xf>
    <xf numFmtId="0" fontId="48" fillId="0" borderId="20" xfId="0" applyFont="1" applyBorder="1" applyAlignment="1">
      <alignment horizontal="left" vertical="center" shrinkToFit="1"/>
    </xf>
    <xf numFmtId="14" fontId="48" fillId="0" borderId="20" xfId="0" applyNumberFormat="1" applyFont="1" applyBorder="1" applyAlignment="1">
      <alignment horizontal="left" vertical="center" shrinkToFit="1"/>
    </xf>
    <xf numFmtId="0" fontId="42" fillId="0" borderId="20" xfId="0" applyFont="1" applyBorder="1"/>
    <xf numFmtId="166" fontId="47" fillId="0" borderId="20" xfId="0" applyNumberFormat="1" applyFont="1" applyBorder="1" applyAlignment="1">
      <alignment horizontal="left" vertical="center" shrinkToFit="1"/>
    </xf>
    <xf numFmtId="0" fontId="50" fillId="0" borderId="20" xfId="0" applyFont="1" applyBorder="1" applyAlignment="1">
      <alignment horizontal="left" vertical="center" shrinkToFit="1"/>
    </xf>
    <xf numFmtId="14" fontId="49" fillId="0" borderId="20" xfId="0" applyNumberFormat="1" applyFont="1" applyBorder="1" applyAlignment="1">
      <alignment horizontal="left" vertical="center" shrinkToFit="1"/>
    </xf>
    <xf numFmtId="166" fontId="58" fillId="0" borderId="20" xfId="0" applyNumberFormat="1" applyFont="1" applyBorder="1" applyAlignment="1">
      <alignment horizontal="left" vertical="center" shrinkToFit="1"/>
    </xf>
    <xf numFmtId="0" fontId="54" fillId="0" borderId="20" xfId="0" applyFont="1" applyBorder="1" applyAlignment="1">
      <alignment horizontal="right"/>
    </xf>
    <xf numFmtId="0" fontId="54" fillId="0" borderId="20" xfId="0" applyFont="1" applyBorder="1" applyAlignment="1">
      <alignment horizontal="left"/>
    </xf>
    <xf numFmtId="169" fontId="54" fillId="0" borderId="20" xfId="0" applyNumberFormat="1" applyFont="1" applyBorder="1" applyAlignment="1">
      <alignment horizontal="right"/>
    </xf>
    <xf numFmtId="40" fontId="54" fillId="0" borderId="20" xfId="0" applyNumberFormat="1" applyFont="1" applyBorder="1" applyAlignment="1">
      <alignment horizontal="right"/>
    </xf>
    <xf numFmtId="166" fontId="49" fillId="0" borderId="20" xfId="0" applyNumberFormat="1" applyFont="1" applyBorder="1" applyAlignment="1">
      <alignment horizontal="left" vertical="center" shrinkToFit="1"/>
    </xf>
    <xf numFmtId="0" fontId="43" fillId="0" borderId="90" xfId="0" applyFont="1" applyBorder="1" applyAlignment="1">
      <alignment horizontal="left" vertical="center" shrinkToFit="1"/>
    </xf>
    <xf numFmtId="14" fontId="43" fillId="0" borderId="90" xfId="0" applyNumberFormat="1" applyFont="1" applyBorder="1" applyAlignment="1">
      <alignment horizontal="left" vertical="center" shrinkToFit="1"/>
    </xf>
    <xf numFmtId="0" fontId="53" fillId="0" borderId="90" xfId="0" applyFont="1" applyBorder="1" applyAlignment="1">
      <alignment horizontal="left" vertical="center" shrinkToFit="1"/>
    </xf>
    <xf numFmtId="166" fontId="43" fillId="0" borderId="90" xfId="0" applyNumberFormat="1" applyFont="1" applyBorder="1" applyAlignment="1">
      <alignment horizontal="left" vertical="center" shrinkToFit="1"/>
    </xf>
    <xf numFmtId="0" fontId="43" fillId="0" borderId="88" xfId="0" applyFont="1" applyBorder="1" applyAlignment="1">
      <alignment horizontal="left" vertical="center" shrinkToFit="1"/>
    </xf>
    <xf numFmtId="168" fontId="42" fillId="0" borderId="91" xfId="0" applyNumberFormat="1" applyFont="1" applyBorder="1"/>
  </cellXfs>
  <cellStyles count="3">
    <cellStyle name="Normal" xfId="0" builtinId="0"/>
    <cellStyle name="Normal 2" xfId="1" xr:uid="{F1FDC4A7-59B1-674E-9761-EE3200EEA20F}"/>
    <cellStyle name="Normal_OFI MV BID v.6.1_1" xfId="2" xr:uid="{B917B692-F88F-6041-949B-558AE934CABD}"/>
  </cellStyles>
  <dxfs count="64">
    <dxf>
      <font>
        <b val="0"/>
        <i val="0"/>
        <strike val="0"/>
        <condense val="0"/>
        <extend val="0"/>
        <outline val="0"/>
        <shadow val="0"/>
        <u val="none"/>
        <vertAlign val="baseline"/>
        <sz val="12"/>
        <color rgb="FF000000"/>
        <name val="Aptos Narrow"/>
        <family val="2"/>
        <scheme val="minor"/>
      </font>
      <numFmt numFmtId="168"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70"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70"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70"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70"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70" formatCode=";;;"/>
    </dxf>
    <dxf>
      <numFmt numFmtId="170" formatCode=";;;"/>
    </dxf>
    <dxf>
      <numFmt numFmtId="170" formatCode=";;;"/>
    </dxf>
    <dxf>
      <numFmt numFmtId="170" formatCode=";;;"/>
    </dxf>
    <dxf>
      <font>
        <b val="0"/>
        <i val="0"/>
        <strike val="0"/>
        <condense val="0"/>
        <extend val="0"/>
        <outline val="0"/>
        <shadow val="0"/>
        <u val="none"/>
        <vertAlign val="baseline"/>
        <sz val="12"/>
        <color auto="1"/>
        <name val="Arial"/>
        <family val="2"/>
        <scheme val="none"/>
      </font>
      <numFmt numFmtId="0" formatCode="General"/>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
      <font>
        <b val="0"/>
        <i val="0"/>
        <strike val="0"/>
        <condense val="0"/>
        <extend val="0"/>
        <outline val="0"/>
        <shadow val="0"/>
        <u val="none"/>
        <vertAlign val="baseline"/>
        <sz val="12"/>
        <color auto="1"/>
        <name val="Arial"/>
        <family val="2"/>
        <scheme val="none"/>
      </font>
      <numFmt numFmtId="0" formatCode="General"/>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6" formatCode="_(#,##0.00_);[Red]\(#,##0.00\)"/>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9" formatCode="m/d/yy"/>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auto="1"/>
        </left>
        <right style="thin">
          <color auto="1"/>
        </right>
        <top style="thin">
          <color indexed="64"/>
        </top>
        <bottom style="thin">
          <color indexed="64"/>
        </bottom>
      </border>
    </dxf>
    <dxf>
      <font>
        <strike val="0"/>
        <outline val="0"/>
        <shadow val="0"/>
        <u val="none"/>
        <vertAlign val="baseline"/>
        <sz val="12"/>
      </font>
      <alignment horizontal="left" vertical="center" textRotation="0" wrapText="0" indent="0" justifyLastLine="0" shrinkToFit="1" readingOrder="0"/>
    </dxf>
    <dxf>
      <font>
        <strike val="0"/>
        <outline val="0"/>
        <shadow val="0"/>
        <u val="none"/>
        <vertAlign val="baseline"/>
        <sz val="12"/>
      </font>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660400</xdr:colOff>
          <xdr:row>0</xdr:row>
          <xdr:rowOff>279400</xdr:rowOff>
        </xdr:from>
        <xdr:to>
          <xdr:col>6</xdr:col>
          <xdr:colOff>2184400</xdr:colOff>
          <xdr:row>0</xdr:row>
          <xdr:rowOff>660400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0</xdr:row>
          <xdr:rowOff>241300</xdr:rowOff>
        </xdr:from>
        <xdr:to>
          <xdr:col>4</xdr:col>
          <xdr:colOff>482600</xdr:colOff>
          <xdr:row>0</xdr:row>
          <xdr:rowOff>622300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Delete Last Row</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7</v>
    <v>8</v>
    <v>45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260A8E-3764-CE4E-8DC5-5217FD92C6E6}" name="PO_LOG" displayName="PO_LOG" ref="A8:H211" totalsRowShown="0" headerRowDxfId="63" dataDxfId="62" tableBorderDxfId="61">
  <autoFilter ref="A8:H211" xr:uid="{9D260A8E-3764-CE4E-8DC5-5217FD92C6E6}"/>
  <sortState xmlns:xlrd2="http://schemas.microsoft.com/office/spreadsheetml/2017/richdata2" ref="A9:H211">
    <sortCondition ref="C8:C211"/>
  </sortState>
  <tableColumns count="8">
    <tableColumn id="1" xr3:uid="{EE46603D-9AC7-574A-BA1A-570278CA5D56}" name="LINE" dataDxfId="44">
      <calculatedColumnFormula array="1">_xlfn.VSTACK(
    _xlfn.LET(
        _xlpm.poList, PO_Index[PO],
        _xlfn.REDUCE(
            "", _xlpm.poList,
            _xlfn.LAMBDA(_xlpm.a,_xlpm.poNum, _xlfn.VSTACK(_xlpm.a, INDIRECT("'" &amp; _xlpm.poNum &amp; "'!_" &amp; SUBSTITUTE(_xlpm.poNum, "-", "_") &amp; "_table"))))
    )
)</calculatedColumnFormula>
    </tableColumn>
    <tableColumn id="2" xr3:uid="{0004BA05-6F32-8C4E-AE09-D3F2608331B3}" name="PAYEE" dataDxfId="60"/>
    <tableColumn id="3" xr3:uid="{79066615-B7FF-704A-BCA7-901EAEFC03ED}" name="PO" dataDxfId="54"/>
    <tableColumn id="4" xr3:uid="{28972D32-A3AE-6C4B-89F7-4116ACA91B1E}" name="DATE" dataDxfId="59"/>
    <tableColumn id="5" xr3:uid="{192D528C-832E-7C47-BEA8-39026E04A1C5}" name="PAY ID" dataDxfId="58"/>
    <tableColumn id="6" xr3:uid="{CE4AAA08-F7FB-204D-B998-0AEAB01A6866}" name="ACTUAL" dataDxfId="57"/>
    <tableColumn id="7" xr3:uid="{3EFE470E-BB24-FE41-A1E2-3E446E75EBB4}" name="LINE DESCRIPTION" dataDxfId="56"/>
    <tableColumn id="8" xr3:uid="{BBC4A531-8635-5641-87EA-31A5CBBA1CF5}" name="NOTES" dataDxfId="55"/>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L40:S49" totalsRowShown="0" tableBorderDxfId="53">
  <autoFilter ref="L40:S49" xr:uid="{4D6D6425-C385-6E43-AE33-4189C7CA529D}"/>
  <tableColumns count="8">
    <tableColumn id="1" xr3:uid="{5C2ADD1E-C256-024C-9733-C704D834A26C}" name="HHEADER" dataDxfId="52"/>
    <tableColumn id="2" xr3:uid="{192B304B-F713-8949-BB64-E457E96C367A}" name="LINE" dataDxfId="51"/>
    <tableColumn id="3" xr3:uid="{0255337F-F403-5247-99EF-BA78C2ADE147}" name="PAYEE" dataDxfId="50"/>
    <tableColumn id="4" xr3:uid="{5A53409B-B76D-F54F-847E-045DA41D5593}" name="PO" dataDxfId="49"/>
    <tableColumn id="5" xr3:uid="{1AF16A3B-6C13-5B47-9FE6-437F5BFF9145}" name="DATE"/>
    <tableColumn id="6" xr3:uid="{03D58825-9679-EF4B-A299-BB735896609E}" name="PAY ID"/>
    <tableColumn id="7" xr3:uid="{5523D66A-7B72-BC46-B4E7-107048CF5B70}" name="ACTUAL" dataDxfId="48"/>
    <tableColumn id="8" xr3:uid="{65621292-A5A4-E64F-ADC8-B5483F6779D4}" name="LINE DESCRIPTION"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45">
  <autoFilter ref="A1:B6" xr:uid="{EF457DCB-8490-FD46-ADA1-9529D7839E04}"/>
  <tableColumns count="2">
    <tableColumn id="1" xr3:uid="{0EAF6A37-D265-C145-9E97-323F27DEB41B}" name="PO" dataDxfId="46"/>
    <tableColumn id="2" xr3:uid="{8BBB3114-E2A5-5A4E-8176-6B40DF66B0A7}" name="RowCount" dataDxfId="0">
      <calculatedColumnFormula array="1">INDIRECT("'" &amp; A2 &amp; "'!count")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E20A5FE-F52E-1C47-987E-F36A8A487FC1}" name="2499-001_table" displayName="_2499_001_table" ref="L40:S49" totalsRowShown="0" tableBorderDxfId="39">
  <autoFilter ref="L40:S49" xr:uid="{4D6D6425-C385-6E43-AE33-4189C7CA529D}"/>
  <tableColumns count="8">
    <tableColumn id="1" xr3:uid="{00832985-E146-384E-AC43-BCE69136D72A}" name="HHEADER" dataDxfId="38"/>
    <tableColumn id="2" xr3:uid="{53483022-EDA3-5D4E-89E0-216FAF844145}" name="LINE" dataDxfId="37"/>
    <tableColumn id="3" xr3:uid="{324B73DE-10A2-A446-B10D-E9BE43D6BC0F}" name="PAYEE" dataDxfId="36"/>
    <tableColumn id="4" xr3:uid="{DB755D1B-69FF-DF45-A9A1-C6DDF42C64A0}" name="PO" dataDxfId="35"/>
    <tableColumn id="5" xr3:uid="{9C6EF182-FB11-124C-8797-BEBD9257F2B6}" name="DATE"/>
    <tableColumn id="6" xr3:uid="{CF8C2521-4929-BB4A-93A2-13F0F6661D0D}" name="PAY ID"/>
    <tableColumn id="7" xr3:uid="{0801E940-EF31-164A-92DD-3B1CFCFB16B3}" name="ACTUAL" dataDxfId="34"/>
    <tableColumn id="8" xr3:uid="{87BFED67-4B3B-D64C-BA63-34D1444DF180}" name="LINE DESCRIPTION"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24B05B3-E426-5C4E-8F1F-74C15C6C7795}" name="2499-002_table" displayName="_2499_002_table" ref="L40:S49" totalsRowShown="0" tableBorderDxfId="31">
  <autoFilter ref="L40:S49" xr:uid="{4D6D6425-C385-6E43-AE33-4189C7CA529D}"/>
  <tableColumns count="8">
    <tableColumn id="1" xr3:uid="{ACD6FD5A-1817-9345-BB63-056EC688425E}" name="HHEADER" dataDxfId="30"/>
    <tableColumn id="2" xr3:uid="{0B11DC36-4962-5A46-AAFB-694178BD4DD0}" name="LINE" dataDxfId="29"/>
    <tableColumn id="3" xr3:uid="{C4A304A4-6C64-5B4E-B24A-925F6E9DF54E}" name="PAYEE" dataDxfId="28"/>
    <tableColumn id="4" xr3:uid="{63D4B232-F495-8545-90D8-DB1350540651}" name="PO" dataDxfId="27"/>
    <tableColumn id="5" xr3:uid="{4277BB2A-65B3-1C45-9DB4-24B79F64AE34}" name="DATE"/>
    <tableColumn id="6" xr3:uid="{2F09E8A6-6D07-3142-8893-DE2D14E55CAA}" name="PAY ID"/>
    <tableColumn id="7" xr3:uid="{4CBC34AD-A92C-7541-9388-FFDEC05AA2B3}" name="ACTUAL" dataDxfId="26"/>
    <tableColumn id="8" xr3:uid="{AEC14E41-A339-8444-9813-1E4D44E337FF}" name="LINE DESCRIPTION" dataDxfId="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62EC880-65CB-8441-9C9B-C612F2E000EE}" name="2499-003_table" displayName="_2499_003_table" ref="L40:S49" totalsRowShown="0" tableBorderDxfId="23">
  <autoFilter ref="L40:S49" xr:uid="{4D6D6425-C385-6E43-AE33-4189C7CA529D}"/>
  <tableColumns count="8">
    <tableColumn id="1" xr3:uid="{253ECF21-08FF-0345-BF2D-87BA2AF2F211}" name="HHEADER" dataDxfId="22"/>
    <tableColumn id="2" xr3:uid="{EEAD6090-E04A-8D43-9C6F-9AB2C14811B3}" name="LINE" dataDxfId="21"/>
    <tableColumn id="3" xr3:uid="{CD01F46F-466B-454C-BDF9-BF2875E295A7}" name="PAYEE" dataDxfId="20"/>
    <tableColumn id="4" xr3:uid="{C5AFD276-5192-7143-B250-B4B9A0A86C2D}" name="PO" dataDxfId="19"/>
    <tableColumn id="5" xr3:uid="{6F391CA3-BCD7-7349-B1F8-F2C6994E57AF}" name="DATE"/>
    <tableColumn id="6" xr3:uid="{DCCD9FCD-EBB2-0D4E-8AA6-62E53B419308}" name="PAY ID"/>
    <tableColumn id="7" xr3:uid="{73173A93-AB10-534C-B595-8B9F00411DED}" name="ACTUAL" dataDxfId="18"/>
    <tableColumn id="8" xr3:uid="{E39D1A1C-D001-0143-B273-9A429E8FF41D}" name="LINE DESCRIPTION" dataDxfId="1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936854C-78C3-9F40-A461-7394C4795B89}" name="2499-004_table" displayName="_2499_004_table" ref="L40:S49" totalsRowShown="0" tableBorderDxfId="15">
  <autoFilter ref="L40:S49" xr:uid="{4D6D6425-C385-6E43-AE33-4189C7CA529D}"/>
  <tableColumns count="8">
    <tableColumn id="1" xr3:uid="{7014A318-64C5-9C4D-B1D2-3F1D522895F8}" name="HHEADER" dataDxfId="14"/>
    <tableColumn id="2" xr3:uid="{6911CCCD-AFBA-B344-BD83-5DBEE40D3B8F}" name="LINE" dataDxfId="13"/>
    <tableColumn id="3" xr3:uid="{B845308D-4930-514A-A807-AD49019A3D2A}" name="PAYEE" dataDxfId="12"/>
    <tableColumn id="4" xr3:uid="{4E0ECD0F-D7A0-FA44-9E83-BE68C7FFD9D3}" name="PO" dataDxfId="11"/>
    <tableColumn id="5" xr3:uid="{5E328920-E4D6-9F4C-ADEA-EFACCFE6E535}" name="DATE"/>
    <tableColumn id="6" xr3:uid="{B14F2914-C08A-344A-97DA-35C319C1ADAA}" name="PAY ID"/>
    <tableColumn id="7" xr3:uid="{2119BDDC-68A2-914A-8FFE-58063120185A}" name="ACTUAL" dataDxfId="10"/>
    <tableColumn id="8" xr3:uid="{531B819E-BA02-E042-8CA3-5DADC38BD015}" name="LINE DESCRIPTION" data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797814A-1E1D-4E44-AC6F-0FCE3B03D631}" name="2499-005_table" displayName="_2499_005_table" ref="L40:S49" totalsRowShown="0" tableBorderDxfId="7">
  <autoFilter ref="L40:S49" xr:uid="{4D6D6425-C385-6E43-AE33-4189C7CA529D}"/>
  <tableColumns count="8">
    <tableColumn id="1" xr3:uid="{EAADC72C-72C9-3448-B195-8F630E57707A}" name="HHEADER" dataDxfId="6"/>
    <tableColumn id="2" xr3:uid="{AC04F473-4116-4C4F-8DC4-F3EB659C75F5}" name="LINE" dataDxfId="5"/>
    <tableColumn id="3" xr3:uid="{A528F9FB-A951-8A47-9357-0BDF9512A685}" name="PAYEE" dataDxfId="4"/>
    <tableColumn id="4" xr3:uid="{C485B164-E700-FC4B-A790-FAB76A70665B}" name="PO" dataDxfId="3"/>
    <tableColumn id="5" xr3:uid="{719E0A1C-8BE8-F140-BACD-1266300CAB85}" name="DATE"/>
    <tableColumn id="6" xr3:uid="{8E54AF33-F610-AA40-90DD-60DC39B21CEC}" name="PAY ID"/>
    <tableColumn id="7" xr3:uid="{416ECCEC-E4A1-1749-959B-D65FBCC9B00E}" name="ACTUAL" dataDxfId="2"/>
    <tableColumn id="8" xr3:uid="{B4109C6D-C98A-2F46-A183-E14736710818}" name="LINE 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s>
  <sheetFormatPr baseColWidth="10" defaultRowHeight="16"/>
  <cols>
    <col min="1" max="1" width="3.83203125" style="239" customWidth="1"/>
    <col min="2" max="2" width="10.83203125" style="240"/>
  </cols>
  <sheetData>
    <row r="2" spans="1:2" ht="24">
      <c r="B2" s="241" t="s">
        <v>271</v>
      </c>
    </row>
    <row r="3" spans="1:2">
      <c r="A3" s="239" t="s">
        <v>273</v>
      </c>
      <c r="B3" s="240" t="s">
        <v>270</v>
      </c>
    </row>
    <row r="5" spans="1:2" ht="24">
      <c r="B5" s="241" t="s">
        <v>272</v>
      </c>
    </row>
    <row r="6" spans="1:2">
      <c r="A6" s="239" t="s">
        <v>273</v>
      </c>
      <c r="B6" s="240" t="s">
        <v>274</v>
      </c>
    </row>
    <row r="7" spans="1:2">
      <c r="A7" s="239" t="s">
        <v>273</v>
      </c>
      <c r="B7" s="240" t="s">
        <v>275</v>
      </c>
    </row>
    <row r="11" spans="1:2" ht="24">
      <c r="B11" s="241" t="s">
        <v>269</v>
      </c>
    </row>
    <row r="12" spans="1:2">
      <c r="A12" s="239" t="s">
        <v>273</v>
      </c>
      <c r="B12" s="240" t="s">
        <v>276</v>
      </c>
    </row>
    <row r="13" spans="1:2">
      <c r="A13" s="239" t="s">
        <v>273</v>
      </c>
      <c r="B13" s="240" t="s">
        <v>284</v>
      </c>
    </row>
    <row r="14" spans="1:2">
      <c r="A14" s="239" t="s">
        <v>273</v>
      </c>
      <c r="B14" s="240" t="s">
        <v>277</v>
      </c>
    </row>
    <row r="15" spans="1:2">
      <c r="A15" s="239" t="s">
        <v>273</v>
      </c>
      <c r="B15" s="240" t="s">
        <v>278</v>
      </c>
    </row>
    <row r="16" spans="1:2">
      <c r="A16" s="239" t="s">
        <v>273</v>
      </c>
      <c r="B16" s="240" t="s">
        <v>283</v>
      </c>
    </row>
    <row r="17" spans="1:3">
      <c r="A17" s="239" t="s">
        <v>273</v>
      </c>
      <c r="B17" s="240" t="s">
        <v>279</v>
      </c>
    </row>
    <row r="18" spans="1:3" ht="20">
      <c r="B18" s="242" t="s">
        <v>280</v>
      </c>
      <c r="C18" s="242"/>
    </row>
    <row r="19" spans="1:3">
      <c r="A19" s="239" t="s">
        <v>273</v>
      </c>
      <c r="B19" s="240" t="s">
        <v>281</v>
      </c>
    </row>
    <row r="20" spans="1:3">
      <c r="A20" s="239" t="s">
        <v>273</v>
      </c>
      <c r="B20" s="240" t="s">
        <v>282</v>
      </c>
    </row>
    <row r="21" spans="1:3">
      <c r="A21" s="239" t="s">
        <v>273</v>
      </c>
      <c r="B21" s="240" t="s">
        <v>285</v>
      </c>
    </row>
    <row r="22" spans="1:3">
      <c r="A22" s="239" t="s">
        <v>273</v>
      </c>
      <c r="B22" s="240" t="s">
        <v>286</v>
      </c>
    </row>
    <row r="23" spans="1:3">
      <c r="A23" s="239" t="s">
        <v>273</v>
      </c>
      <c r="B23" s="240" t="s">
        <v>287</v>
      </c>
    </row>
    <row r="25" spans="1:3" ht="24">
      <c r="B25" s="241" t="s">
        <v>288</v>
      </c>
    </row>
    <row r="26" spans="1:3">
      <c r="A26" s="239" t="s">
        <v>273</v>
      </c>
      <c r="B26" s="240" t="s">
        <v>289</v>
      </c>
    </row>
    <row r="27" spans="1:3">
      <c r="A27" s="239" t="s">
        <v>273</v>
      </c>
      <c r="B27" s="240" t="s">
        <v>290</v>
      </c>
    </row>
    <row r="28" spans="1:3">
      <c r="A28" s="239" t="s">
        <v>273</v>
      </c>
      <c r="B28" s="240" t="s">
        <v>291</v>
      </c>
    </row>
    <row r="29" spans="1:3">
      <c r="A29" s="239" t="s">
        <v>273</v>
      </c>
      <c r="B29" s="240" t="s">
        <v>292</v>
      </c>
    </row>
    <row r="30" spans="1:3">
      <c r="A30" s="239" t="s">
        <v>273</v>
      </c>
      <c r="B30" s="240" t="s">
        <v>294</v>
      </c>
    </row>
    <row r="31" spans="1:3">
      <c r="A31" s="239" t="s">
        <v>273</v>
      </c>
      <c r="B31" s="240" t="s">
        <v>295</v>
      </c>
    </row>
    <row r="32" spans="1:3">
      <c r="A32" s="239" t="s">
        <v>273</v>
      </c>
      <c r="B32" s="240" t="s">
        <v>293</v>
      </c>
    </row>
    <row r="34" spans="1:2" ht="24">
      <c r="B34" s="241" t="s">
        <v>296</v>
      </c>
    </row>
    <row r="35" spans="1:2">
      <c r="A35" s="239" t="s">
        <v>273</v>
      </c>
      <c r="B35" s="240" t="s">
        <v>297</v>
      </c>
    </row>
    <row r="36" spans="1:2">
      <c r="A36" s="239" t="s">
        <v>273</v>
      </c>
      <c r="B36" s="240" t="s">
        <v>298</v>
      </c>
    </row>
    <row r="37" spans="1:2">
      <c r="A37" s="239" t="s">
        <v>273</v>
      </c>
      <c r="B37" s="240" t="s">
        <v>299</v>
      </c>
    </row>
    <row r="38" spans="1:2">
      <c r="A38" s="239" t="s">
        <v>273</v>
      </c>
      <c r="B38" s="240" t="s">
        <v>300</v>
      </c>
    </row>
    <row r="39" spans="1:2">
      <c r="A39" s="239" t="s">
        <v>273</v>
      </c>
      <c r="B39" s="240" t="s">
        <v>301</v>
      </c>
    </row>
    <row r="40" spans="1:2">
      <c r="A40" s="239" t="s">
        <v>273</v>
      </c>
      <c r="B40" s="240" t="s">
        <v>302</v>
      </c>
    </row>
    <row r="41" spans="1:2">
      <c r="A41" s="239" t="s">
        <v>273</v>
      </c>
      <c r="B41" s="240" t="s">
        <v>303</v>
      </c>
    </row>
    <row r="43" spans="1:2">
      <c r="A43" s="239" t="s">
        <v>273</v>
      </c>
      <c r="B43" s="240" t="s">
        <v>304</v>
      </c>
    </row>
    <row r="44" spans="1:2">
      <c r="A44" s="239" t="s">
        <v>273</v>
      </c>
      <c r="B44" s="240"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workbookViewId="0"/>
  </sheetViews>
  <sheetFormatPr baseColWidth="10" defaultRowHeight="16"/>
  <cols>
    <col min="2" max="2" width="36.33203125" customWidth="1"/>
  </cols>
  <sheetData>
    <row r="1" spans="1:3">
      <c r="A1" s="20" t="s">
        <v>22</v>
      </c>
      <c r="B1" s="21" t="s">
        <v>23</v>
      </c>
      <c r="C1" s="22"/>
    </row>
    <row r="2" spans="1:3">
      <c r="A2" s="23">
        <v>1</v>
      </c>
      <c r="B2" s="24" t="s">
        <v>24</v>
      </c>
      <c r="C2" s="25"/>
    </row>
    <row r="3" spans="1:3">
      <c r="A3" s="23">
        <v>2</v>
      </c>
      <c r="B3" s="24" t="s">
        <v>25</v>
      </c>
      <c r="C3" s="25"/>
    </row>
    <row r="4" spans="1:3">
      <c r="A4" s="23">
        <v>3</v>
      </c>
      <c r="B4" s="24" t="s">
        <v>26</v>
      </c>
      <c r="C4" s="25"/>
    </row>
    <row r="5" spans="1:3">
      <c r="A5" s="23">
        <v>4</v>
      </c>
      <c r="B5" s="24" t="s">
        <v>27</v>
      </c>
      <c r="C5" s="25"/>
    </row>
    <row r="6" spans="1:3">
      <c r="A6" s="23">
        <v>5</v>
      </c>
      <c r="B6" s="24" t="s">
        <v>28</v>
      </c>
      <c r="C6" s="25"/>
    </row>
    <row r="7" spans="1:3">
      <c r="A7" s="23">
        <v>6</v>
      </c>
      <c r="B7" s="24" t="s">
        <v>29</v>
      </c>
      <c r="C7" s="25"/>
    </row>
    <row r="8" spans="1:3">
      <c r="A8" s="23">
        <v>7</v>
      </c>
      <c r="B8" s="24" t="s">
        <v>30</v>
      </c>
      <c r="C8" s="26"/>
    </row>
    <row r="9" spans="1:3">
      <c r="A9" s="23">
        <v>8</v>
      </c>
      <c r="B9" s="24" t="s">
        <v>31</v>
      </c>
      <c r="C9" s="25"/>
    </row>
    <row r="10" spans="1:3">
      <c r="A10" s="23">
        <v>9</v>
      </c>
      <c r="B10" s="24" t="s">
        <v>32</v>
      </c>
      <c r="C10" s="26"/>
    </row>
    <row r="11" spans="1:3">
      <c r="A11" s="23">
        <v>10</v>
      </c>
      <c r="B11" s="24" t="s">
        <v>33</v>
      </c>
      <c r="C11" s="26"/>
    </row>
    <row r="12" spans="1:3">
      <c r="A12" s="23">
        <v>11</v>
      </c>
      <c r="B12" s="24" t="s">
        <v>34</v>
      </c>
      <c r="C12" s="25"/>
    </row>
    <row r="13" spans="1:3">
      <c r="A13" s="23">
        <v>12</v>
      </c>
      <c r="B13" s="24" t="s">
        <v>35</v>
      </c>
      <c r="C13" s="25"/>
    </row>
    <row r="14" spans="1:3">
      <c r="A14" s="23">
        <v>13</v>
      </c>
      <c r="B14" s="24" t="s">
        <v>36</v>
      </c>
      <c r="C14" s="26"/>
    </row>
    <row r="15" spans="1:3">
      <c r="A15" s="23">
        <v>14</v>
      </c>
      <c r="B15" s="24" t="s">
        <v>37</v>
      </c>
      <c r="C15" s="26"/>
    </row>
    <row r="16" spans="1:3">
      <c r="A16" s="23">
        <v>15</v>
      </c>
      <c r="B16" s="24" t="s">
        <v>38</v>
      </c>
      <c r="C16" s="26"/>
    </row>
    <row r="17" spans="1:3">
      <c r="A17" s="23">
        <v>16</v>
      </c>
      <c r="B17" s="24" t="s">
        <v>39</v>
      </c>
      <c r="C17" s="25"/>
    </row>
    <row r="18" spans="1:3">
      <c r="A18" s="23">
        <v>17</v>
      </c>
      <c r="B18" s="24" t="s">
        <v>40</v>
      </c>
      <c r="C18" s="25"/>
    </row>
    <row r="19" spans="1:3">
      <c r="A19" s="23">
        <v>18</v>
      </c>
      <c r="B19" s="24" t="s">
        <v>41</v>
      </c>
      <c r="C19" s="25"/>
    </row>
    <row r="20" spans="1:3">
      <c r="A20" s="23">
        <v>19</v>
      </c>
      <c r="B20" s="24" t="s">
        <v>42</v>
      </c>
      <c r="C20" s="25"/>
    </row>
    <row r="21" spans="1:3">
      <c r="A21" s="23">
        <v>20</v>
      </c>
      <c r="B21" s="24" t="s">
        <v>43</v>
      </c>
      <c r="C21" s="25"/>
    </row>
    <row r="22" spans="1:3">
      <c r="A22" s="23">
        <v>21</v>
      </c>
      <c r="B22" s="24" t="s">
        <v>44</v>
      </c>
      <c r="C22" s="25"/>
    </row>
    <row r="23" spans="1:3">
      <c r="A23" s="23">
        <v>22</v>
      </c>
      <c r="B23" s="24" t="s">
        <v>45</v>
      </c>
      <c r="C23" s="25"/>
    </row>
    <row r="24" spans="1:3">
      <c r="A24" s="23">
        <v>23</v>
      </c>
      <c r="B24" s="24" t="s">
        <v>46</v>
      </c>
      <c r="C24" s="25"/>
    </row>
    <row r="25" spans="1:3">
      <c r="A25" s="23">
        <v>24</v>
      </c>
      <c r="B25" s="24" t="s">
        <v>47</v>
      </c>
      <c r="C25" s="25"/>
    </row>
    <row r="26" spans="1:3">
      <c r="A26" s="23">
        <v>25</v>
      </c>
      <c r="B26" s="24" t="s">
        <v>48</v>
      </c>
      <c r="C26" s="25"/>
    </row>
    <row r="27" spans="1:3">
      <c r="A27" s="23">
        <v>26</v>
      </c>
      <c r="B27" s="24" t="s">
        <v>49</v>
      </c>
      <c r="C27" s="25"/>
    </row>
    <row r="28" spans="1:3">
      <c r="A28" s="23">
        <v>27</v>
      </c>
      <c r="B28" s="24" t="s">
        <v>50</v>
      </c>
      <c r="C28" s="25"/>
    </row>
    <row r="29" spans="1:3">
      <c r="A29" s="23">
        <v>28</v>
      </c>
      <c r="B29" s="24" t="s">
        <v>51</v>
      </c>
      <c r="C29" s="25"/>
    </row>
    <row r="30" spans="1:3">
      <c r="A30" s="23">
        <v>29</v>
      </c>
      <c r="B30" s="24" t="s">
        <v>52</v>
      </c>
      <c r="C30" s="25"/>
    </row>
    <row r="31" spans="1:3">
      <c r="A31" s="23">
        <v>30</v>
      </c>
      <c r="B31" s="24" t="s">
        <v>53</v>
      </c>
      <c r="C31" s="25"/>
    </row>
    <row r="32" spans="1:3">
      <c r="A32" s="23">
        <v>31</v>
      </c>
      <c r="B32" s="24" t="s">
        <v>54</v>
      </c>
      <c r="C32" s="25"/>
    </row>
    <row r="33" spans="1:3">
      <c r="A33" s="23">
        <v>32</v>
      </c>
      <c r="B33" s="24" t="s">
        <v>55</v>
      </c>
      <c r="C33" s="25"/>
    </row>
    <row r="34" spans="1:3">
      <c r="A34" s="23">
        <v>33</v>
      </c>
      <c r="B34" s="24" t="s">
        <v>56</v>
      </c>
      <c r="C34" s="25"/>
    </row>
    <row r="35" spans="1:3">
      <c r="A35" s="23">
        <v>34</v>
      </c>
      <c r="B35" s="24" t="s">
        <v>57</v>
      </c>
      <c r="C35" s="25"/>
    </row>
    <row r="36" spans="1:3">
      <c r="A36" s="23">
        <v>35</v>
      </c>
      <c r="B36" s="24" t="s">
        <v>58</v>
      </c>
      <c r="C36" s="25"/>
    </row>
    <row r="37" spans="1:3">
      <c r="A37" s="23">
        <v>36</v>
      </c>
      <c r="B37" s="24" t="s">
        <v>59</v>
      </c>
      <c r="C37" s="25"/>
    </row>
    <row r="38" spans="1:3">
      <c r="A38" s="23">
        <v>37</v>
      </c>
      <c r="B38" s="24" t="s">
        <v>60</v>
      </c>
      <c r="C38" s="25"/>
    </row>
    <row r="39" spans="1:3">
      <c r="A39" s="23">
        <v>38</v>
      </c>
      <c r="B39" s="24" t="s">
        <v>61</v>
      </c>
      <c r="C39" s="25"/>
    </row>
    <row r="40" spans="1:3">
      <c r="A40" s="23">
        <v>39</v>
      </c>
      <c r="B40" s="24" t="s">
        <v>62</v>
      </c>
      <c r="C40" s="25"/>
    </row>
    <row r="41" spans="1:3">
      <c r="A41" s="23">
        <v>40</v>
      </c>
      <c r="B41" s="24" t="s">
        <v>63</v>
      </c>
      <c r="C41" s="25"/>
    </row>
    <row r="42" spans="1:3">
      <c r="A42" s="23">
        <v>41</v>
      </c>
      <c r="B42" s="24" t="s">
        <v>64</v>
      </c>
      <c r="C42" s="25"/>
    </row>
    <row r="43" spans="1:3">
      <c r="A43" s="23">
        <v>42</v>
      </c>
      <c r="B43" s="24" t="s">
        <v>65</v>
      </c>
      <c r="C43" s="25"/>
    </row>
    <row r="44" spans="1:3">
      <c r="A44" s="23">
        <v>43</v>
      </c>
      <c r="B44" s="24" t="s">
        <v>66</v>
      </c>
      <c r="C44" s="25"/>
    </row>
    <row r="45" spans="1:3">
      <c r="A45" s="23">
        <v>44</v>
      </c>
      <c r="B45" s="24" t="s">
        <v>67</v>
      </c>
      <c r="C45" s="25"/>
    </row>
    <row r="46" spans="1:3">
      <c r="A46" s="23">
        <v>45</v>
      </c>
      <c r="B46" s="24" t="s">
        <v>68</v>
      </c>
      <c r="C46" s="25"/>
    </row>
    <row r="47" spans="1:3">
      <c r="A47" s="23">
        <v>46</v>
      </c>
      <c r="B47" s="24" t="s">
        <v>68</v>
      </c>
      <c r="C47" s="26"/>
    </row>
    <row r="48" spans="1:3">
      <c r="A48" s="23">
        <v>47</v>
      </c>
      <c r="B48" s="24" t="s">
        <v>69</v>
      </c>
      <c r="C48" s="26"/>
    </row>
    <row r="49" spans="1:3">
      <c r="A49" s="23">
        <v>48</v>
      </c>
      <c r="B49" s="24" t="s">
        <v>70</v>
      </c>
      <c r="C49" s="22"/>
    </row>
    <row r="50" spans="1:3">
      <c r="A50" s="23">
        <v>49</v>
      </c>
      <c r="B50" s="24" t="s">
        <v>70</v>
      </c>
      <c r="C50" s="22"/>
    </row>
    <row r="51" spans="1:3">
      <c r="A51" s="23">
        <v>50</v>
      </c>
      <c r="B51" s="24"/>
      <c r="C51" s="22"/>
    </row>
    <row r="52" spans="1:3">
      <c r="A52" s="23">
        <v>51</v>
      </c>
      <c r="B52" s="24" t="s">
        <v>24</v>
      </c>
      <c r="C52" s="25"/>
    </row>
    <row r="53" spans="1:3">
      <c r="A53" s="23">
        <v>52</v>
      </c>
      <c r="B53" s="24" t="s">
        <v>25</v>
      </c>
      <c r="C53" s="25"/>
    </row>
    <row r="54" spans="1:3">
      <c r="A54" s="23">
        <v>53</v>
      </c>
      <c r="B54" s="24" t="s">
        <v>26</v>
      </c>
      <c r="C54" s="25"/>
    </row>
    <row r="55" spans="1:3">
      <c r="A55" s="23">
        <v>54</v>
      </c>
      <c r="B55" s="24" t="s">
        <v>27</v>
      </c>
      <c r="C55" s="25"/>
    </row>
    <row r="56" spans="1:3">
      <c r="A56" s="23">
        <v>55</v>
      </c>
      <c r="B56" s="24" t="s">
        <v>28</v>
      </c>
      <c r="C56" s="25"/>
    </row>
    <row r="57" spans="1:3">
      <c r="A57" s="23">
        <v>56</v>
      </c>
      <c r="B57" s="24" t="s">
        <v>29</v>
      </c>
      <c r="C57" s="25"/>
    </row>
    <row r="58" spans="1:3">
      <c r="A58" s="23">
        <v>57</v>
      </c>
      <c r="B58" s="24" t="s">
        <v>30</v>
      </c>
      <c r="C58" s="26"/>
    </row>
    <row r="59" spans="1:3">
      <c r="A59" s="23">
        <v>58</v>
      </c>
      <c r="B59" s="24" t="s">
        <v>31</v>
      </c>
      <c r="C59" s="25"/>
    </row>
    <row r="60" spans="1:3">
      <c r="A60" s="23">
        <v>59</v>
      </c>
      <c r="B60" s="24" t="s">
        <v>71</v>
      </c>
      <c r="C60" s="26"/>
    </row>
    <row r="61" spans="1:3">
      <c r="A61" s="23">
        <v>60</v>
      </c>
      <c r="B61" s="24" t="s">
        <v>33</v>
      </c>
      <c r="C61" s="26"/>
    </row>
    <row r="62" spans="1:3">
      <c r="A62" s="23">
        <v>61</v>
      </c>
      <c r="B62" s="24" t="s">
        <v>34</v>
      </c>
      <c r="C62" s="25"/>
    </row>
    <row r="63" spans="1:3">
      <c r="A63" s="23">
        <v>62</v>
      </c>
      <c r="B63" s="24" t="s">
        <v>35</v>
      </c>
      <c r="C63" s="25"/>
    </row>
    <row r="64" spans="1:3">
      <c r="A64" s="23">
        <v>63</v>
      </c>
      <c r="B64" s="24" t="s">
        <v>36</v>
      </c>
      <c r="C64" s="26"/>
    </row>
    <row r="65" spans="1:3">
      <c r="A65" s="23">
        <v>64</v>
      </c>
      <c r="B65" s="24" t="s">
        <v>72</v>
      </c>
      <c r="C65" s="26"/>
    </row>
    <row r="66" spans="1:3">
      <c r="A66" s="23">
        <v>65</v>
      </c>
      <c r="B66" s="24" t="s">
        <v>38</v>
      </c>
      <c r="C66" s="26"/>
    </row>
    <row r="67" spans="1:3">
      <c r="A67" s="23">
        <v>66</v>
      </c>
      <c r="B67" s="24" t="s">
        <v>39</v>
      </c>
      <c r="C67" s="25"/>
    </row>
    <row r="68" spans="1:3">
      <c r="A68" s="23">
        <v>67</v>
      </c>
      <c r="B68" s="24" t="s">
        <v>40</v>
      </c>
      <c r="C68" s="25"/>
    </row>
    <row r="69" spans="1:3">
      <c r="A69" s="23">
        <v>68</v>
      </c>
      <c r="B69" s="24" t="s">
        <v>41</v>
      </c>
      <c r="C69" s="25"/>
    </row>
    <row r="70" spans="1:3">
      <c r="A70" s="23">
        <v>69</v>
      </c>
      <c r="B70" s="24" t="s">
        <v>73</v>
      </c>
      <c r="C70" s="25"/>
    </row>
    <row r="71" spans="1:3">
      <c r="A71" s="23">
        <v>70</v>
      </c>
      <c r="B71" s="24" t="s">
        <v>74</v>
      </c>
      <c r="C71" s="25"/>
    </row>
    <row r="72" spans="1:3">
      <c r="A72" s="23">
        <v>71</v>
      </c>
      <c r="B72" s="24" t="s">
        <v>44</v>
      </c>
      <c r="C72" s="25"/>
    </row>
    <row r="73" spans="1:3">
      <c r="A73" s="23">
        <v>72</v>
      </c>
      <c r="B73" s="24" t="s">
        <v>45</v>
      </c>
      <c r="C73" s="25"/>
    </row>
    <row r="74" spans="1:3">
      <c r="A74" s="23">
        <v>73</v>
      </c>
      <c r="B74" s="24" t="s">
        <v>75</v>
      </c>
      <c r="C74" s="25"/>
    </row>
    <row r="75" spans="1:3">
      <c r="A75" s="23">
        <v>74</v>
      </c>
      <c r="B75" s="24" t="s">
        <v>76</v>
      </c>
      <c r="C75" s="25"/>
    </row>
    <row r="76" spans="1:3">
      <c r="A76" s="23">
        <v>75</v>
      </c>
      <c r="B76" s="24" t="s">
        <v>48</v>
      </c>
      <c r="C76" s="25"/>
    </row>
    <row r="77" spans="1:3">
      <c r="A77" s="23">
        <v>76</v>
      </c>
      <c r="B77" s="24" t="s">
        <v>49</v>
      </c>
      <c r="C77" s="25"/>
    </row>
    <row r="78" spans="1:3">
      <c r="A78" s="23">
        <v>77</v>
      </c>
      <c r="B78" s="24" t="s">
        <v>50</v>
      </c>
      <c r="C78" s="25"/>
    </row>
    <row r="79" spans="1:3">
      <c r="A79" s="23">
        <v>78</v>
      </c>
      <c r="B79" s="24" t="s">
        <v>51</v>
      </c>
      <c r="C79" s="25"/>
    </row>
    <row r="80" spans="1:3">
      <c r="A80" s="23">
        <v>79</v>
      </c>
      <c r="B80" s="24" t="s">
        <v>77</v>
      </c>
      <c r="C80" s="25"/>
    </row>
    <row r="81" spans="1:3">
      <c r="A81" s="23">
        <v>80</v>
      </c>
      <c r="B81" s="24" t="s">
        <v>53</v>
      </c>
      <c r="C81" s="25"/>
    </row>
    <row r="82" spans="1:3">
      <c r="A82" s="23">
        <v>81</v>
      </c>
      <c r="B82" s="24" t="s">
        <v>54</v>
      </c>
      <c r="C82" s="25"/>
    </row>
    <row r="83" spans="1:3">
      <c r="A83" s="23">
        <v>82</v>
      </c>
      <c r="B83" s="24" t="s">
        <v>78</v>
      </c>
      <c r="C83" s="25"/>
    </row>
    <row r="84" spans="1:3">
      <c r="A84" s="23">
        <v>83</v>
      </c>
      <c r="B84" s="24" t="s">
        <v>56</v>
      </c>
      <c r="C84" s="25"/>
    </row>
    <row r="85" spans="1:3">
      <c r="A85" s="23">
        <v>84</v>
      </c>
      <c r="B85" s="24" t="s">
        <v>52</v>
      </c>
      <c r="C85" s="25"/>
    </row>
    <row r="86" spans="1:3">
      <c r="A86" s="23">
        <v>85</v>
      </c>
      <c r="B86" s="24" t="s">
        <v>58</v>
      </c>
      <c r="C86" s="25"/>
    </row>
    <row r="87" spans="1:3">
      <c r="A87" s="23">
        <v>86</v>
      </c>
      <c r="B87" s="24" t="s">
        <v>59</v>
      </c>
      <c r="C87" s="25"/>
    </row>
    <row r="88" spans="1:3">
      <c r="A88" s="23">
        <v>87</v>
      </c>
      <c r="B88" s="24" t="s">
        <v>60</v>
      </c>
      <c r="C88" s="25"/>
    </row>
    <row r="89" spans="1:3">
      <c r="A89" s="23">
        <v>88</v>
      </c>
      <c r="B89" s="24" t="s">
        <v>61</v>
      </c>
      <c r="C89" s="25"/>
    </row>
    <row r="90" spans="1:3">
      <c r="A90" s="23">
        <v>89</v>
      </c>
      <c r="B90" s="24" t="s">
        <v>62</v>
      </c>
      <c r="C90" s="25"/>
    </row>
    <row r="91" spans="1:3">
      <c r="A91" s="23">
        <v>90</v>
      </c>
      <c r="B91" s="24" t="s">
        <v>63</v>
      </c>
      <c r="C91" s="25"/>
    </row>
    <row r="92" spans="1:3">
      <c r="A92" s="23">
        <v>91</v>
      </c>
      <c r="B92" s="24" t="s">
        <v>79</v>
      </c>
      <c r="C92" s="25"/>
    </row>
    <row r="93" spans="1:3">
      <c r="A93" s="23">
        <v>92</v>
      </c>
      <c r="B93" s="24" t="s">
        <v>64</v>
      </c>
      <c r="C93" s="25"/>
    </row>
    <row r="94" spans="1:3">
      <c r="A94" s="23">
        <v>93</v>
      </c>
      <c r="B94" s="24" t="s">
        <v>65</v>
      </c>
      <c r="C94" s="25"/>
    </row>
    <row r="95" spans="1:3">
      <c r="A95" s="23">
        <v>94</v>
      </c>
      <c r="B95" s="24" t="s">
        <v>80</v>
      </c>
      <c r="C95" s="25"/>
    </row>
    <row r="96" spans="1:3">
      <c r="A96" s="23">
        <v>95</v>
      </c>
      <c r="B96" s="24" t="s">
        <v>68</v>
      </c>
      <c r="C96" s="25"/>
    </row>
    <row r="97" spans="1:3">
      <c r="A97" s="23">
        <v>96</v>
      </c>
      <c r="B97" s="24" t="s">
        <v>68</v>
      </c>
      <c r="C97" s="26"/>
    </row>
    <row r="98" spans="1:3">
      <c r="A98" s="23">
        <v>97</v>
      </c>
      <c r="B98" s="24" t="s">
        <v>69</v>
      </c>
      <c r="C98" s="26"/>
    </row>
    <row r="99" spans="1:3">
      <c r="A99" s="23">
        <v>98</v>
      </c>
      <c r="B99" s="24" t="s">
        <v>70</v>
      </c>
      <c r="C99" s="26"/>
    </row>
    <row r="100" spans="1:3">
      <c r="A100" s="23">
        <v>99</v>
      </c>
      <c r="B100" s="24" t="s">
        <v>70</v>
      </c>
      <c r="C100" s="26"/>
    </row>
    <row r="101" spans="1:3">
      <c r="A101" s="23">
        <v>100</v>
      </c>
      <c r="B101" s="24" t="s">
        <v>81</v>
      </c>
      <c r="C101" s="22"/>
    </row>
    <row r="102" spans="1:3">
      <c r="A102" s="20" t="s">
        <v>82</v>
      </c>
      <c r="B102" s="21" t="s">
        <v>83</v>
      </c>
      <c r="C102" s="22"/>
    </row>
    <row r="103" spans="1:3">
      <c r="A103" s="27">
        <v>101</v>
      </c>
      <c r="B103" s="24" t="s">
        <v>84</v>
      </c>
      <c r="C103" s="26"/>
    </row>
    <row r="104" spans="1:3">
      <c r="A104" s="27">
        <v>102</v>
      </c>
      <c r="B104" s="24" t="s">
        <v>260</v>
      </c>
      <c r="C104" s="28"/>
    </row>
    <row r="105" spans="1:3">
      <c r="A105" s="27">
        <v>103</v>
      </c>
      <c r="B105" s="29" t="s">
        <v>85</v>
      </c>
      <c r="C105" s="30"/>
    </row>
    <row r="106" spans="1:3">
      <c r="A106" s="27">
        <v>104</v>
      </c>
      <c r="B106" s="29" t="s">
        <v>86</v>
      </c>
      <c r="C106" s="30"/>
    </row>
    <row r="107" spans="1:3">
      <c r="A107" s="27">
        <v>105</v>
      </c>
      <c r="B107" s="29" t="s">
        <v>87</v>
      </c>
      <c r="C107" s="30"/>
    </row>
    <row r="108" spans="1:3">
      <c r="A108" s="27">
        <v>106</v>
      </c>
      <c r="B108" s="29" t="s">
        <v>88</v>
      </c>
      <c r="C108" s="30"/>
    </row>
    <row r="109" spans="1:3">
      <c r="A109" s="27">
        <v>107</v>
      </c>
      <c r="B109" s="29" t="s">
        <v>89</v>
      </c>
      <c r="C109" s="30"/>
    </row>
    <row r="110" spans="1:3">
      <c r="A110" s="27">
        <v>108</v>
      </c>
      <c r="B110" s="29" t="s">
        <v>90</v>
      </c>
      <c r="C110" s="30"/>
    </row>
    <row r="111" spans="1:3">
      <c r="A111" s="27">
        <v>109</v>
      </c>
      <c r="B111" s="29" t="s">
        <v>91</v>
      </c>
      <c r="C111" s="30"/>
    </row>
    <row r="112" spans="1:3">
      <c r="A112" s="27">
        <v>110</v>
      </c>
      <c r="B112" s="29" t="s">
        <v>92</v>
      </c>
      <c r="C112" s="28"/>
    </row>
    <row r="113" spans="1:3">
      <c r="A113" s="27">
        <v>111</v>
      </c>
      <c r="B113" s="29" t="s">
        <v>93</v>
      </c>
      <c r="C113" s="30"/>
    </row>
    <row r="114" spans="1:3">
      <c r="A114" s="27">
        <v>112</v>
      </c>
      <c r="B114" s="29" t="s">
        <v>94</v>
      </c>
      <c r="C114" s="30"/>
    </row>
    <row r="115" spans="1:3">
      <c r="A115" s="27">
        <v>113</v>
      </c>
      <c r="B115" s="29" t="s">
        <v>95</v>
      </c>
      <c r="C115" s="30"/>
    </row>
    <row r="116" spans="1:3">
      <c r="A116" s="20" t="s">
        <v>96</v>
      </c>
      <c r="B116" s="31" t="s">
        <v>97</v>
      </c>
      <c r="C116" s="32"/>
    </row>
    <row r="117" spans="1:3">
      <c r="A117" s="23">
        <v>114</v>
      </c>
      <c r="B117" s="24" t="s">
        <v>98</v>
      </c>
      <c r="C117" s="26"/>
    </row>
    <row r="118" spans="1:3">
      <c r="A118" s="23">
        <v>115</v>
      </c>
      <c r="B118" s="24" t="s">
        <v>99</v>
      </c>
      <c r="C118" s="26"/>
    </row>
    <row r="119" spans="1:3">
      <c r="A119" s="23">
        <v>116</v>
      </c>
      <c r="B119" s="24" t="s">
        <v>100</v>
      </c>
      <c r="C119" s="28"/>
    </row>
    <row r="120" spans="1:3">
      <c r="A120" s="23">
        <v>117</v>
      </c>
      <c r="B120" s="24" t="s">
        <v>101</v>
      </c>
      <c r="C120" s="26"/>
    </row>
    <row r="121" spans="1:3">
      <c r="A121" s="23">
        <v>118</v>
      </c>
      <c r="B121" s="24" t="s">
        <v>102</v>
      </c>
      <c r="C121" s="26"/>
    </row>
    <row r="122" spans="1:3">
      <c r="A122" s="23">
        <v>119</v>
      </c>
      <c r="B122" s="24" t="s">
        <v>103</v>
      </c>
      <c r="C122" s="26"/>
    </row>
    <row r="123" spans="1:3">
      <c r="A123" s="23">
        <v>120</v>
      </c>
      <c r="B123" s="24" t="s">
        <v>104</v>
      </c>
      <c r="C123" s="26"/>
    </row>
    <row r="124" spans="1:3">
      <c r="A124" s="23">
        <v>121</v>
      </c>
      <c r="B124" s="24" t="s">
        <v>105</v>
      </c>
      <c r="C124" s="26"/>
    </row>
    <row r="125" spans="1:3">
      <c r="A125" s="23">
        <v>122</v>
      </c>
      <c r="B125" s="24" t="s">
        <v>106</v>
      </c>
      <c r="C125" s="26"/>
    </row>
    <row r="126" spans="1:3">
      <c r="A126" s="23">
        <v>123</v>
      </c>
      <c r="B126" s="24" t="s">
        <v>107</v>
      </c>
      <c r="C126" s="26"/>
    </row>
    <row r="127" spans="1:3">
      <c r="A127" s="23">
        <v>124</v>
      </c>
      <c r="B127" s="24" t="s">
        <v>108</v>
      </c>
      <c r="C127" s="26"/>
    </row>
    <row r="128" spans="1:3">
      <c r="A128" s="23">
        <v>125</v>
      </c>
      <c r="B128" s="24" t="s">
        <v>109</v>
      </c>
      <c r="C128" s="26"/>
    </row>
    <row r="129" spans="1:3">
      <c r="A129" s="23">
        <v>126</v>
      </c>
      <c r="B129" s="24" t="s">
        <v>110</v>
      </c>
      <c r="C129" s="26"/>
    </row>
    <row r="130" spans="1:3">
      <c r="A130" s="23">
        <v>127</v>
      </c>
      <c r="B130" s="24" t="s">
        <v>111</v>
      </c>
      <c r="C130" s="26"/>
    </row>
    <row r="131" spans="1:3">
      <c r="A131" s="23">
        <v>128</v>
      </c>
      <c r="B131" s="24" t="s">
        <v>259</v>
      </c>
      <c r="C131" s="26"/>
    </row>
    <row r="132" spans="1:3">
      <c r="A132" s="23">
        <v>129</v>
      </c>
      <c r="B132" s="24" t="s">
        <v>112</v>
      </c>
      <c r="C132" s="26"/>
    </row>
    <row r="133" spans="1:3">
      <c r="A133" s="23">
        <v>130</v>
      </c>
      <c r="B133" s="24" t="s">
        <v>113</v>
      </c>
      <c r="C133" s="26"/>
    </row>
    <row r="134" spans="1:3">
      <c r="A134" s="23">
        <v>131</v>
      </c>
      <c r="B134" s="24" t="s">
        <v>114</v>
      </c>
      <c r="C134" s="26"/>
    </row>
    <row r="135" spans="1:3">
      <c r="A135" s="23">
        <v>132</v>
      </c>
      <c r="B135" s="24" t="s">
        <v>115</v>
      </c>
      <c r="C135" s="26"/>
    </row>
    <row r="136" spans="1:3">
      <c r="A136" s="23">
        <v>133</v>
      </c>
      <c r="B136" s="24" t="s">
        <v>258</v>
      </c>
      <c r="C136" s="26"/>
    </row>
    <row r="137" spans="1:3">
      <c r="A137" s="23">
        <v>134</v>
      </c>
      <c r="B137" s="24" t="s">
        <v>116</v>
      </c>
      <c r="C137" s="28"/>
    </row>
    <row r="138" spans="1:3">
      <c r="A138" s="23">
        <v>135</v>
      </c>
      <c r="B138" s="24" t="s">
        <v>117</v>
      </c>
      <c r="C138" s="26"/>
    </row>
    <row r="139" spans="1:3">
      <c r="A139" s="23">
        <v>136</v>
      </c>
      <c r="B139" s="24" t="s">
        <v>118</v>
      </c>
      <c r="C139" s="26"/>
    </row>
    <row r="140" spans="1:3">
      <c r="A140" s="23">
        <v>137</v>
      </c>
      <c r="B140" s="24" t="s">
        <v>119</v>
      </c>
      <c r="C140" s="26"/>
    </row>
    <row r="141" spans="1:3">
      <c r="A141" s="23">
        <v>138</v>
      </c>
      <c r="B141" s="24" t="s">
        <v>120</v>
      </c>
      <c r="C141" s="26"/>
    </row>
    <row r="142" spans="1:3">
      <c r="A142" s="23">
        <v>139</v>
      </c>
      <c r="B142" s="24" t="s">
        <v>65</v>
      </c>
      <c r="C142" s="26"/>
    </row>
    <row r="143" spans="1:3">
      <c r="A143" s="20" t="s">
        <v>121</v>
      </c>
      <c r="B143" s="31" t="s">
        <v>122</v>
      </c>
      <c r="C143" s="22"/>
    </row>
    <row r="144" spans="1:3">
      <c r="A144" s="23">
        <v>140</v>
      </c>
      <c r="B144" s="24" t="s">
        <v>123</v>
      </c>
      <c r="C144" s="33"/>
    </row>
    <row r="145" spans="1:3">
      <c r="A145" s="23">
        <v>141</v>
      </c>
      <c r="B145" s="24" t="s">
        <v>124</v>
      </c>
      <c r="C145" s="34"/>
    </row>
    <row r="146" spans="1:3">
      <c r="A146" s="23">
        <v>142</v>
      </c>
      <c r="B146" s="24" t="s">
        <v>125</v>
      </c>
      <c r="C146" s="35"/>
    </row>
    <row r="147" spans="1:3">
      <c r="A147" s="23">
        <v>143</v>
      </c>
      <c r="B147" s="24" t="s">
        <v>125</v>
      </c>
      <c r="C147" s="33"/>
    </row>
    <row r="148" spans="1:3">
      <c r="A148" s="23">
        <v>144</v>
      </c>
      <c r="B148" s="24" t="s">
        <v>125</v>
      </c>
      <c r="C148" s="34"/>
    </row>
    <row r="149" spans="1:3">
      <c r="A149" s="23">
        <v>145</v>
      </c>
      <c r="B149" s="24" t="s">
        <v>126</v>
      </c>
      <c r="C149" s="35"/>
    </row>
    <row r="150" spans="1:3">
      <c r="A150" s="23">
        <v>146</v>
      </c>
      <c r="B150" s="24" t="s">
        <v>126</v>
      </c>
      <c r="C150" s="33"/>
    </row>
    <row r="151" spans="1:3">
      <c r="A151" s="23">
        <v>147</v>
      </c>
      <c r="B151" s="24" t="s">
        <v>127</v>
      </c>
      <c r="C151" s="34"/>
    </row>
    <row r="152" spans="1:3">
      <c r="A152" s="23">
        <v>148</v>
      </c>
      <c r="B152" s="24" t="s">
        <v>128</v>
      </c>
      <c r="C152" s="35"/>
    </row>
    <row r="153" spans="1:3">
      <c r="A153" s="23">
        <v>149</v>
      </c>
      <c r="B153" s="24" t="s">
        <v>129</v>
      </c>
      <c r="C153" s="33"/>
    </row>
    <row r="154" spans="1:3">
      <c r="A154" s="23">
        <v>150</v>
      </c>
      <c r="B154" s="24"/>
      <c r="C154" s="34"/>
    </row>
    <row r="155" spans="1:3">
      <c r="A155" s="20" t="s">
        <v>130</v>
      </c>
      <c r="B155" s="21" t="s">
        <v>131</v>
      </c>
      <c r="C155" s="36"/>
    </row>
    <row r="156" spans="1:3">
      <c r="A156" s="23">
        <v>151</v>
      </c>
      <c r="B156" s="24" t="s">
        <v>132</v>
      </c>
      <c r="C156" s="37"/>
    </row>
    <row r="157" spans="1:3">
      <c r="A157" s="23">
        <v>152</v>
      </c>
      <c r="B157" s="24" t="s">
        <v>133</v>
      </c>
      <c r="C157" s="37"/>
    </row>
    <row r="158" spans="1:3">
      <c r="A158" s="23">
        <v>153</v>
      </c>
      <c r="B158" s="24" t="s">
        <v>134</v>
      </c>
      <c r="C158" s="37"/>
    </row>
    <row r="159" spans="1:3">
      <c r="A159" s="23">
        <v>154</v>
      </c>
      <c r="B159" s="24" t="s">
        <v>135</v>
      </c>
      <c r="C159" s="37"/>
    </row>
    <row r="160" spans="1:3">
      <c r="A160" s="23">
        <v>155</v>
      </c>
      <c r="B160" s="24" t="s">
        <v>136</v>
      </c>
      <c r="C160" s="37"/>
    </row>
    <row r="161" spans="1:3">
      <c r="A161" s="23">
        <v>156</v>
      </c>
      <c r="B161" s="24" t="s">
        <v>137</v>
      </c>
      <c r="C161" s="37"/>
    </row>
    <row r="162" spans="1:3">
      <c r="A162" s="23">
        <v>157</v>
      </c>
      <c r="B162" s="24" t="s">
        <v>138</v>
      </c>
      <c r="C162" s="37"/>
    </row>
    <row r="163" spans="1:3">
      <c r="A163" s="23">
        <v>158</v>
      </c>
      <c r="B163" s="24" t="s">
        <v>139</v>
      </c>
      <c r="C163" s="37"/>
    </row>
    <row r="164" spans="1:3">
      <c r="A164" s="23">
        <v>159</v>
      </c>
      <c r="B164" s="24" t="s">
        <v>140</v>
      </c>
      <c r="C164" s="37"/>
    </row>
    <row r="165" spans="1:3">
      <c r="A165" s="23">
        <v>160</v>
      </c>
      <c r="B165" s="24" t="s">
        <v>141</v>
      </c>
      <c r="C165" s="37"/>
    </row>
    <row r="166" spans="1:3">
      <c r="A166" s="23">
        <v>161</v>
      </c>
      <c r="B166" s="24" t="s">
        <v>142</v>
      </c>
      <c r="C166" s="37"/>
    </row>
    <row r="167" spans="1:3">
      <c r="A167" s="23">
        <v>162</v>
      </c>
      <c r="B167" s="24" t="s">
        <v>143</v>
      </c>
      <c r="C167" s="37"/>
    </row>
    <row r="168" spans="1:3">
      <c r="A168" s="23">
        <v>163</v>
      </c>
      <c r="B168" s="24"/>
      <c r="C168" s="37"/>
    </row>
    <row r="169" spans="1:3">
      <c r="A169" s="23">
        <v>164</v>
      </c>
      <c r="B169" s="24"/>
      <c r="C169" s="38"/>
    </row>
    <row r="170" spans="1:3">
      <c r="A170" s="23">
        <v>165</v>
      </c>
      <c r="B170" s="24"/>
      <c r="C170" s="39"/>
    </row>
    <row r="171" spans="1:3">
      <c r="A171" s="23">
        <v>166</v>
      </c>
      <c r="B171" s="24"/>
      <c r="C171" s="38"/>
    </row>
    <row r="172" spans="1:3">
      <c r="A172" s="23">
        <v>167</v>
      </c>
      <c r="B172" s="24"/>
      <c r="C172" s="39"/>
    </row>
    <row r="173" spans="1:3">
      <c r="A173" s="40" t="s">
        <v>144</v>
      </c>
      <c r="B173" s="41" t="s">
        <v>145</v>
      </c>
      <c r="C173" s="39"/>
    </row>
    <row r="174" spans="1:3">
      <c r="A174" s="23">
        <v>168</v>
      </c>
      <c r="B174" s="24" t="s">
        <v>146</v>
      </c>
      <c r="C174" s="42"/>
    </row>
    <row r="175" spans="1:3">
      <c r="A175" s="23">
        <v>169</v>
      </c>
      <c r="B175" s="43" t="s">
        <v>147</v>
      </c>
      <c r="C175" s="42"/>
    </row>
    <row r="176" spans="1:3">
      <c r="A176" s="23">
        <v>170</v>
      </c>
      <c r="B176" s="43" t="s">
        <v>148</v>
      </c>
      <c r="C176" s="42"/>
    </row>
    <row r="177" spans="1:3">
      <c r="A177" s="23">
        <v>171</v>
      </c>
      <c r="B177" s="43" t="s">
        <v>149</v>
      </c>
      <c r="C177" s="42"/>
    </row>
    <row r="178" spans="1:3">
      <c r="A178" s="23">
        <v>172</v>
      </c>
      <c r="B178" s="43" t="s">
        <v>150</v>
      </c>
      <c r="C178" s="42"/>
    </row>
    <row r="179" spans="1:3">
      <c r="A179" s="23">
        <v>173</v>
      </c>
      <c r="B179" s="43" t="s">
        <v>151</v>
      </c>
      <c r="C179" s="42"/>
    </row>
    <row r="180" spans="1:3">
      <c r="A180" s="23">
        <v>174</v>
      </c>
      <c r="B180" s="43" t="s">
        <v>151</v>
      </c>
      <c r="C180" s="42"/>
    </row>
    <row r="181" spans="1:3">
      <c r="A181" s="23">
        <v>175</v>
      </c>
      <c r="B181" s="43" t="s">
        <v>152</v>
      </c>
      <c r="C181" s="42"/>
    </row>
    <row r="182" spans="1:3">
      <c r="A182" s="23">
        <v>176</v>
      </c>
      <c r="B182" s="43" t="s">
        <v>153</v>
      </c>
      <c r="C182" s="42"/>
    </row>
    <row r="183" spans="1:3">
      <c r="A183" s="23">
        <v>177</v>
      </c>
      <c r="B183" s="43" t="s">
        <v>154</v>
      </c>
      <c r="C183" s="42"/>
    </row>
    <row r="184" spans="1:3">
      <c r="A184" s="23">
        <v>178</v>
      </c>
      <c r="B184" s="43" t="s">
        <v>155</v>
      </c>
      <c r="C184" s="32"/>
    </row>
    <row r="185" spans="1:3">
      <c r="A185" s="23">
        <v>179</v>
      </c>
      <c r="B185" s="43" t="s">
        <v>156</v>
      </c>
      <c r="C185" s="32"/>
    </row>
    <row r="186" spans="1:3">
      <c r="A186" s="23">
        <v>180</v>
      </c>
      <c r="B186" s="43" t="s">
        <v>157</v>
      </c>
      <c r="C186" s="32"/>
    </row>
    <row r="187" spans="1:3">
      <c r="A187" s="20" t="s">
        <v>158</v>
      </c>
      <c r="B187" s="31" t="s">
        <v>159</v>
      </c>
      <c r="C187" s="32"/>
    </row>
    <row r="188" spans="1:3">
      <c r="A188" s="23">
        <v>181</v>
      </c>
      <c r="B188" s="24" t="s">
        <v>160</v>
      </c>
      <c r="C188" s="44"/>
    </row>
    <row r="189" spans="1:3">
      <c r="A189" s="23">
        <v>182</v>
      </c>
      <c r="B189" s="24" t="s">
        <v>161</v>
      </c>
      <c r="C189" s="44"/>
    </row>
    <row r="190" spans="1:3">
      <c r="A190" s="23">
        <v>183</v>
      </c>
      <c r="B190" s="24" t="s">
        <v>162</v>
      </c>
      <c r="C190" s="44"/>
    </row>
    <row r="191" spans="1:3">
      <c r="A191" s="23">
        <v>184</v>
      </c>
      <c r="B191" s="24" t="s">
        <v>163</v>
      </c>
      <c r="C191" s="44"/>
    </row>
    <row r="192" spans="1:3">
      <c r="A192" s="23">
        <v>185</v>
      </c>
      <c r="B192" s="24" t="s">
        <v>164</v>
      </c>
      <c r="C192" s="44"/>
    </row>
    <row r="193" spans="1:3">
      <c r="A193" s="23">
        <v>186</v>
      </c>
      <c r="B193" s="24" t="s">
        <v>165</v>
      </c>
      <c r="C193" s="42"/>
    </row>
    <row r="194" spans="1:3">
      <c r="A194" s="23">
        <v>187</v>
      </c>
      <c r="B194" s="24" t="s">
        <v>166</v>
      </c>
      <c r="C194" s="42"/>
    </row>
    <row r="195" spans="1:3">
      <c r="A195" s="23">
        <v>188</v>
      </c>
      <c r="B195" s="24" t="s">
        <v>167</v>
      </c>
      <c r="C195" s="42"/>
    </row>
    <row r="196" spans="1:3">
      <c r="A196" s="23">
        <v>189</v>
      </c>
      <c r="B196" s="24" t="s">
        <v>168</v>
      </c>
      <c r="C196" s="42"/>
    </row>
    <row r="197" spans="1:3">
      <c r="A197" s="23">
        <v>190</v>
      </c>
      <c r="B197" s="24" t="s">
        <v>169</v>
      </c>
      <c r="C197" s="42"/>
    </row>
    <row r="198" spans="1:3">
      <c r="A198" s="23">
        <v>191</v>
      </c>
      <c r="B198" s="24" t="s">
        <v>170</v>
      </c>
      <c r="C198" s="32"/>
    </row>
    <row r="199" spans="1:3">
      <c r="A199" s="23">
        <v>192</v>
      </c>
      <c r="B199" s="24" t="s">
        <v>171</v>
      </c>
      <c r="C199" s="32"/>
    </row>
    <row r="200" spans="1:3">
      <c r="A200" s="20" t="s">
        <v>172</v>
      </c>
      <c r="B200" s="21" t="s">
        <v>173</v>
      </c>
      <c r="C200" s="32"/>
    </row>
    <row r="201" spans="1:3">
      <c r="A201" s="45">
        <v>193</v>
      </c>
      <c r="B201" s="24" t="s">
        <v>174</v>
      </c>
      <c r="C201" s="42"/>
    </row>
    <row r="202" spans="1:3">
      <c r="A202" s="45">
        <v>194</v>
      </c>
      <c r="B202" s="24" t="s">
        <v>175</v>
      </c>
      <c r="C202" s="42"/>
    </row>
    <row r="203" spans="1:3">
      <c r="A203" s="45">
        <v>195</v>
      </c>
      <c r="B203" s="24" t="s">
        <v>176</v>
      </c>
      <c r="C203" s="42"/>
    </row>
    <row r="204" spans="1:3">
      <c r="A204" s="45">
        <v>196</v>
      </c>
      <c r="B204" s="24" t="s">
        <v>177</v>
      </c>
      <c r="C204" s="42"/>
    </row>
    <row r="205" spans="1:3">
      <c r="A205" s="45">
        <v>197</v>
      </c>
      <c r="B205" s="24" t="s">
        <v>178</v>
      </c>
      <c r="C205" s="42"/>
    </row>
    <row r="206" spans="1:3">
      <c r="A206" s="45">
        <v>198</v>
      </c>
      <c r="B206" s="24" t="s">
        <v>179</v>
      </c>
      <c r="C206" s="42"/>
    </row>
    <row r="207" spans="1:3">
      <c r="A207" s="45">
        <v>199</v>
      </c>
      <c r="B207" s="24" t="s">
        <v>180</v>
      </c>
      <c r="C207" s="42"/>
    </row>
    <row r="208" spans="1:3">
      <c r="A208" s="45">
        <v>200</v>
      </c>
      <c r="B208" s="24" t="s">
        <v>181</v>
      </c>
      <c r="C208" s="42"/>
    </row>
    <row r="209" spans="1:3">
      <c r="A209" s="45">
        <v>201</v>
      </c>
      <c r="B209" s="24" t="s">
        <v>182</v>
      </c>
      <c r="C209" s="42"/>
    </row>
    <row r="210" spans="1:3">
      <c r="A210" s="45">
        <v>202</v>
      </c>
      <c r="B210" s="24" t="s">
        <v>183</v>
      </c>
      <c r="C210" s="42"/>
    </row>
    <row r="211" spans="1:3">
      <c r="A211" s="45">
        <v>203</v>
      </c>
      <c r="B211" s="24" t="s">
        <v>184</v>
      </c>
      <c r="C211" s="42"/>
    </row>
    <row r="212" spans="1:3">
      <c r="A212" s="45">
        <v>204</v>
      </c>
      <c r="B212" s="24" t="s">
        <v>185</v>
      </c>
      <c r="C212" s="32"/>
    </row>
    <row r="213" spans="1:3">
      <c r="A213" s="45">
        <v>205</v>
      </c>
      <c r="B213" s="24" t="s">
        <v>186</v>
      </c>
      <c r="C213" s="32"/>
    </row>
    <row r="214" spans="1:3">
      <c r="A214" s="45">
        <v>206</v>
      </c>
      <c r="B214" s="24" t="s">
        <v>187</v>
      </c>
      <c r="C214" s="32"/>
    </row>
    <row r="215" spans="1:3">
      <c r="A215" s="45">
        <v>207</v>
      </c>
      <c r="B215" s="24" t="s">
        <v>188</v>
      </c>
      <c r="C215" s="32"/>
    </row>
    <row r="216" spans="1:3">
      <c r="A216" s="45">
        <v>208</v>
      </c>
      <c r="B216" s="24" t="s">
        <v>189</v>
      </c>
      <c r="C216" s="32"/>
    </row>
    <row r="217" spans="1:3">
      <c r="A217" s="45">
        <v>209</v>
      </c>
      <c r="B217" s="24" t="s">
        <v>190</v>
      </c>
      <c r="C217" s="32"/>
    </row>
    <row r="218" spans="1:3">
      <c r="A218" s="45">
        <v>210</v>
      </c>
      <c r="B218" s="24" t="s">
        <v>191</v>
      </c>
      <c r="C218" s="32"/>
    </row>
    <row r="219" spans="1:3">
      <c r="A219" s="46" t="s">
        <v>192</v>
      </c>
      <c r="B219" s="21" t="s">
        <v>193</v>
      </c>
      <c r="C219" s="32"/>
    </row>
    <row r="220" spans="1:3">
      <c r="A220" s="47">
        <v>211</v>
      </c>
      <c r="B220" s="24" t="s">
        <v>194</v>
      </c>
      <c r="C220" s="42"/>
    </row>
    <row r="221" spans="1:3">
      <c r="A221" s="47">
        <v>212</v>
      </c>
      <c r="B221" s="24" t="s">
        <v>195</v>
      </c>
      <c r="C221" s="42"/>
    </row>
    <row r="222" spans="1:3">
      <c r="A222" s="47">
        <v>213</v>
      </c>
      <c r="B222" s="24" t="s">
        <v>196</v>
      </c>
      <c r="C222" s="42"/>
    </row>
    <row r="223" spans="1:3">
      <c r="A223" s="47">
        <v>214</v>
      </c>
      <c r="B223" s="24" t="s">
        <v>197</v>
      </c>
      <c r="C223" s="42"/>
    </row>
    <row r="224" spans="1:3">
      <c r="A224" s="47">
        <v>215</v>
      </c>
      <c r="B224" s="24" t="s">
        <v>198</v>
      </c>
      <c r="C224" s="42"/>
    </row>
    <row r="225" spans="1:3">
      <c r="A225" s="47">
        <v>216</v>
      </c>
      <c r="B225" s="24" t="s">
        <v>199</v>
      </c>
      <c r="C225" s="42"/>
    </row>
    <row r="226" spans="1:3">
      <c r="A226" s="48" t="s">
        <v>200</v>
      </c>
      <c r="B226" s="21" t="s">
        <v>201</v>
      </c>
      <c r="C226" s="42"/>
    </row>
    <row r="227" spans="1:3">
      <c r="A227" s="49">
        <v>217</v>
      </c>
      <c r="B227" s="24" t="s">
        <v>202</v>
      </c>
      <c r="C227" s="42"/>
    </row>
    <row r="228" spans="1:3">
      <c r="A228" s="49">
        <v>218</v>
      </c>
      <c r="B228" s="24" t="s">
        <v>203</v>
      </c>
      <c r="C228" s="42"/>
    </row>
    <row r="229" spans="1:3">
      <c r="A229" s="49">
        <v>219</v>
      </c>
      <c r="B229" s="24" t="s">
        <v>204</v>
      </c>
      <c r="C229" s="42"/>
    </row>
    <row r="230" spans="1:3">
      <c r="A230" s="49">
        <v>220</v>
      </c>
      <c r="B230" s="24" t="s">
        <v>205</v>
      </c>
      <c r="C230" s="42"/>
    </row>
    <row r="231" spans="1:3">
      <c r="A231" s="49">
        <v>221</v>
      </c>
      <c r="B231" s="24" t="s">
        <v>206</v>
      </c>
      <c r="C231" s="42"/>
    </row>
    <row r="232" spans="1:3">
      <c r="A232" s="49">
        <v>222</v>
      </c>
      <c r="B232" s="24" t="s">
        <v>207</v>
      </c>
      <c r="C232" s="42"/>
    </row>
    <row r="233" spans="1:3">
      <c r="A233" s="49">
        <v>223</v>
      </c>
      <c r="B233" s="24" t="s">
        <v>208</v>
      </c>
      <c r="C233" s="42"/>
    </row>
    <row r="234" spans="1:3">
      <c r="A234" s="49">
        <v>224</v>
      </c>
      <c r="B234" s="24" t="s">
        <v>209</v>
      </c>
      <c r="C234" s="32"/>
    </row>
    <row r="235" spans="1:3">
      <c r="A235" s="49">
        <v>225</v>
      </c>
      <c r="B235" s="24" t="s">
        <v>210</v>
      </c>
      <c r="C235" s="32"/>
    </row>
    <row r="236" spans="1:3">
      <c r="A236" s="49">
        <v>226</v>
      </c>
      <c r="B236" s="24"/>
      <c r="C236" s="32"/>
    </row>
    <row r="237" spans="1:3">
      <c r="A237" s="48" t="s">
        <v>211</v>
      </c>
      <c r="B237" s="21" t="s">
        <v>212</v>
      </c>
      <c r="C237" s="32"/>
    </row>
    <row r="238" spans="1:3">
      <c r="A238" s="50">
        <v>227</v>
      </c>
      <c r="B238" s="24" t="s">
        <v>213</v>
      </c>
      <c r="C238" s="51"/>
    </row>
    <row r="239" spans="1:3">
      <c r="A239" s="50">
        <v>228</v>
      </c>
      <c r="B239" s="24" t="s">
        <v>214</v>
      </c>
      <c r="C239" s="51"/>
    </row>
    <row r="240" spans="1:3">
      <c r="A240" s="50">
        <v>229</v>
      </c>
      <c r="B240" s="24" t="s">
        <v>215</v>
      </c>
      <c r="C240" s="51"/>
    </row>
    <row r="241" spans="1:3">
      <c r="A241" s="50">
        <v>230</v>
      </c>
      <c r="B241" s="24" t="s">
        <v>216</v>
      </c>
      <c r="C241" s="51"/>
    </row>
    <row r="242" spans="1:3">
      <c r="A242" s="50">
        <v>231</v>
      </c>
      <c r="B242" s="24" t="s">
        <v>217</v>
      </c>
      <c r="C242" s="51"/>
    </row>
    <row r="243" spans="1:3">
      <c r="A243" s="50">
        <v>232</v>
      </c>
      <c r="B243" s="24" t="s">
        <v>67</v>
      </c>
      <c r="C243" s="51"/>
    </row>
    <row r="244" spans="1:3">
      <c r="A244" s="50">
        <v>233</v>
      </c>
      <c r="B244" s="24"/>
      <c r="C244" s="51"/>
    </row>
    <row r="245" spans="1:3">
      <c r="A245" s="48" t="s">
        <v>218</v>
      </c>
      <c r="B245" s="21" t="s">
        <v>219</v>
      </c>
      <c r="C245" s="32"/>
    </row>
    <row r="246" spans="1:3">
      <c r="A246" s="23">
        <v>236</v>
      </c>
      <c r="B246" s="24" t="s">
        <v>220</v>
      </c>
      <c r="C246" s="52"/>
    </row>
    <row r="247" spans="1:3">
      <c r="A247" s="23">
        <v>237</v>
      </c>
      <c r="B247" s="24" t="s">
        <v>220</v>
      </c>
      <c r="C247" s="52"/>
    </row>
    <row r="248" spans="1:3">
      <c r="A248" s="23">
        <v>238</v>
      </c>
      <c r="B248" s="24" t="s">
        <v>220</v>
      </c>
      <c r="C248" s="52"/>
    </row>
    <row r="249" spans="1:3">
      <c r="A249" s="23">
        <v>239</v>
      </c>
      <c r="B249" s="24" t="s">
        <v>220</v>
      </c>
      <c r="C249" s="52"/>
    </row>
    <row r="250" spans="1:3">
      <c r="A250" s="23">
        <v>240</v>
      </c>
      <c r="B250" s="24" t="s">
        <v>220</v>
      </c>
      <c r="C250" s="52"/>
    </row>
    <row r="251" spans="1:3">
      <c r="A251" s="23">
        <v>241</v>
      </c>
      <c r="B251" s="24" t="s">
        <v>220</v>
      </c>
      <c r="C251" s="52"/>
    </row>
    <row r="252" spans="1:3">
      <c r="A252" s="23">
        <v>242</v>
      </c>
      <c r="B252" s="24" t="s">
        <v>220</v>
      </c>
      <c r="C252" s="32"/>
    </row>
    <row r="253" spans="1:3">
      <c r="A253" s="23">
        <v>243</v>
      </c>
      <c r="B253" s="24" t="s">
        <v>220</v>
      </c>
      <c r="C253" s="52"/>
    </row>
    <row r="254" spans="1:3">
      <c r="A254" s="23">
        <v>244</v>
      </c>
      <c r="B254" s="24" t="s">
        <v>220</v>
      </c>
      <c r="C254" s="52"/>
    </row>
    <row r="255" spans="1:3">
      <c r="A255" s="23">
        <v>245</v>
      </c>
      <c r="B255" s="24" t="s">
        <v>220</v>
      </c>
      <c r="C255" s="52"/>
    </row>
    <row r="256" spans="1:3">
      <c r="A256" s="23">
        <v>246</v>
      </c>
      <c r="B256" s="24"/>
      <c r="C256" s="52"/>
    </row>
    <row r="257" spans="1:3">
      <c r="A257" s="23">
        <v>247</v>
      </c>
      <c r="B257" s="24"/>
      <c r="C257" s="52"/>
    </row>
    <row r="258" spans="1:3">
      <c r="A258" s="23">
        <v>248</v>
      </c>
      <c r="B258" s="24"/>
      <c r="C258" s="52"/>
    </row>
    <row r="259" spans="1:3">
      <c r="A259" s="23">
        <v>249</v>
      </c>
      <c r="B259" s="24" t="s">
        <v>221</v>
      </c>
      <c r="C259" s="52"/>
    </row>
    <row r="260" spans="1:3">
      <c r="A260" s="23">
        <v>250</v>
      </c>
      <c r="B260" s="24" t="s">
        <v>222</v>
      </c>
      <c r="C260" s="52"/>
    </row>
    <row r="261" spans="1:3">
      <c r="A261" s="23">
        <v>251</v>
      </c>
      <c r="B261" s="24" t="s">
        <v>223</v>
      </c>
      <c r="C261" s="52"/>
    </row>
    <row r="262" spans="1:3">
      <c r="A262" s="23">
        <v>252</v>
      </c>
      <c r="B262" s="24" t="s">
        <v>224</v>
      </c>
      <c r="C262" s="52"/>
    </row>
    <row r="263" spans="1:3">
      <c r="A263" s="23">
        <v>253</v>
      </c>
      <c r="B263" s="24" t="s">
        <v>225</v>
      </c>
      <c r="C263" s="52"/>
    </row>
    <row r="264" spans="1:3">
      <c r="A264" s="23">
        <v>254</v>
      </c>
      <c r="B264" s="24" t="s">
        <v>221</v>
      </c>
      <c r="C264" s="52"/>
    </row>
    <row r="265" spans="1:3">
      <c r="A265" s="23">
        <v>255</v>
      </c>
      <c r="B265" s="24"/>
      <c r="C265" s="32"/>
    </row>
    <row r="266" spans="1:3">
      <c r="A266" s="23">
        <v>256</v>
      </c>
      <c r="B266" s="24"/>
      <c r="C266" s="52"/>
    </row>
    <row r="267" spans="1:3">
      <c r="A267" s="23">
        <v>257</v>
      </c>
      <c r="B267" s="24"/>
      <c r="C267" s="52"/>
    </row>
    <row r="268" spans="1:3">
      <c r="A268" s="23">
        <v>258</v>
      </c>
      <c r="B268" s="24" t="s">
        <v>226</v>
      </c>
      <c r="C268" s="52"/>
    </row>
    <row r="269" spans="1:3">
      <c r="A269" s="23">
        <v>259</v>
      </c>
      <c r="B269" s="24"/>
      <c r="C269" s="52"/>
    </row>
    <row r="270" spans="1:3">
      <c r="A270" s="23">
        <v>260</v>
      </c>
      <c r="B270" s="24"/>
      <c r="C270" s="52"/>
    </row>
    <row r="271" spans="1:3">
      <c r="A271" s="23">
        <v>261</v>
      </c>
      <c r="B271" s="24" t="s">
        <v>227</v>
      </c>
      <c r="C271" s="52"/>
    </row>
    <row r="272" spans="1:3">
      <c r="A272" s="23">
        <v>262</v>
      </c>
      <c r="B272" s="24" t="s">
        <v>228</v>
      </c>
      <c r="C272" s="52"/>
    </row>
    <row r="273" spans="1:3">
      <c r="A273" s="23">
        <v>263</v>
      </c>
      <c r="B273" s="24" t="s">
        <v>228</v>
      </c>
      <c r="C273" s="52"/>
    </row>
    <row r="274" spans="1:3">
      <c r="A274" s="23">
        <v>264</v>
      </c>
      <c r="B274" s="24"/>
      <c r="C274" s="52"/>
    </row>
    <row r="275" spans="1:3">
      <c r="A275" s="23">
        <v>265</v>
      </c>
      <c r="B275" s="24" t="s">
        <v>229</v>
      </c>
      <c r="C275" s="52"/>
    </row>
    <row r="276" spans="1:3">
      <c r="A276" s="23">
        <v>266</v>
      </c>
      <c r="B276" s="24" t="s">
        <v>229</v>
      </c>
      <c r="C276" s="52"/>
    </row>
    <row r="277" spans="1:3">
      <c r="A277" s="23">
        <v>267</v>
      </c>
      <c r="B277" s="24"/>
      <c r="C277" s="52"/>
    </row>
    <row r="278" spans="1:3">
      <c r="A278" s="23">
        <v>268</v>
      </c>
      <c r="B278" s="24" t="s">
        <v>230</v>
      </c>
      <c r="C278" s="52"/>
    </row>
    <row r="279" spans="1:3">
      <c r="A279" s="23">
        <v>269</v>
      </c>
      <c r="B279" s="24" t="s">
        <v>231</v>
      </c>
      <c r="C279" s="52"/>
    </row>
    <row r="280" spans="1:3">
      <c r="A280" s="23">
        <v>270</v>
      </c>
      <c r="B280" s="24" t="s">
        <v>232</v>
      </c>
      <c r="C280" s="52"/>
    </row>
    <row r="281" spans="1:3">
      <c r="A281" s="48" t="s">
        <v>233</v>
      </c>
      <c r="B281" s="21" t="s">
        <v>234</v>
      </c>
      <c r="C281" s="32"/>
    </row>
    <row r="282" spans="1:3">
      <c r="A282" s="23">
        <v>271</v>
      </c>
      <c r="B282" s="29" t="s">
        <v>235</v>
      </c>
      <c r="C282" s="52"/>
    </row>
    <row r="283" spans="1:3">
      <c r="A283" s="23">
        <v>272</v>
      </c>
      <c r="B283" s="29" t="s">
        <v>236</v>
      </c>
      <c r="C283" s="52"/>
    </row>
    <row r="284" spans="1:3">
      <c r="A284" s="23">
        <v>273</v>
      </c>
      <c r="B284" s="29" t="s">
        <v>237</v>
      </c>
      <c r="C284" s="52"/>
    </row>
    <row r="285" spans="1:3">
      <c r="A285" s="23">
        <v>274</v>
      </c>
      <c r="B285" s="29" t="s">
        <v>234</v>
      </c>
      <c r="C285" s="52"/>
    </row>
    <row r="286" spans="1:3">
      <c r="A286" s="23">
        <v>275</v>
      </c>
      <c r="B286" s="24" t="s">
        <v>234</v>
      </c>
      <c r="C286" s="52"/>
    </row>
    <row r="287" spans="1:3">
      <c r="A287" s="23">
        <v>276</v>
      </c>
      <c r="B287" s="53"/>
      <c r="C287" s="52"/>
    </row>
    <row r="288" spans="1:3">
      <c r="A288" s="48" t="s">
        <v>238</v>
      </c>
      <c r="B288" s="21"/>
      <c r="C288" s="52"/>
    </row>
    <row r="289" spans="1:3">
      <c r="A289" s="23">
        <v>277</v>
      </c>
      <c r="B289" s="29"/>
      <c r="C289" s="52"/>
    </row>
    <row r="290" spans="1:3">
      <c r="A290" s="23">
        <v>278</v>
      </c>
      <c r="B290" s="29"/>
      <c r="C290" s="52"/>
    </row>
    <row r="291" spans="1:3">
      <c r="A291" s="23">
        <v>279</v>
      </c>
      <c r="B291" s="29"/>
      <c r="C291" s="52"/>
    </row>
    <row r="292" spans="1:3">
      <c r="A292" s="23">
        <v>280</v>
      </c>
      <c r="B292" s="29"/>
      <c r="C292" s="52"/>
    </row>
    <row r="293" spans="1:3">
      <c r="A293" s="23">
        <v>281</v>
      </c>
      <c r="B293" s="24"/>
      <c r="C293" s="52"/>
    </row>
    <row r="294" spans="1:3">
      <c r="A294" s="20" t="s">
        <v>239</v>
      </c>
      <c r="B294" s="21"/>
      <c r="C294" s="54"/>
    </row>
    <row r="295" spans="1:3">
      <c r="A295" s="23">
        <v>282</v>
      </c>
      <c r="B295" s="29"/>
      <c r="C295" s="55"/>
    </row>
    <row r="296" spans="1:3">
      <c r="A296" s="23">
        <v>283</v>
      </c>
      <c r="B296" s="29"/>
      <c r="C296" s="55"/>
    </row>
    <row r="297" spans="1:3">
      <c r="A297" s="23">
        <v>284</v>
      </c>
      <c r="B297" s="29"/>
      <c r="C297" s="55"/>
    </row>
    <row r="298" spans="1:3">
      <c r="A298" s="23">
        <v>285</v>
      </c>
      <c r="B298" s="29"/>
      <c r="C298" s="55"/>
    </row>
    <row r="299" spans="1:3">
      <c r="A299" s="23">
        <v>286</v>
      </c>
      <c r="B299" s="24"/>
      <c r="C299" s="55"/>
    </row>
    <row r="300" spans="1:3">
      <c r="A300" s="23">
        <v>287</v>
      </c>
      <c r="B300" s="24"/>
      <c r="C300" s="55"/>
    </row>
    <row r="301" spans="1:3">
      <c r="A301" s="23">
        <v>288</v>
      </c>
      <c r="B301" s="24"/>
      <c r="C301" s="22"/>
    </row>
    <row r="302" spans="1:3">
      <c r="A302" s="23">
        <v>289</v>
      </c>
      <c r="B302" s="24"/>
      <c r="C302" s="56"/>
    </row>
    <row r="303" spans="1:3">
      <c r="A303" s="23">
        <v>290</v>
      </c>
      <c r="B303" s="24"/>
      <c r="C303" s="22"/>
    </row>
    <row r="304" spans="1:3">
      <c r="A304" s="23">
        <v>291</v>
      </c>
      <c r="B304" s="57"/>
    </row>
    <row r="305" spans="1:2">
      <c r="A305" s="23">
        <v>292</v>
      </c>
      <c r="B305" s="57"/>
    </row>
    <row r="306" spans="1:2">
      <c r="A306" s="23">
        <v>293</v>
      </c>
      <c r="B306" s="57"/>
    </row>
    <row r="307" spans="1:2">
      <c r="A307" s="23">
        <v>294</v>
      </c>
      <c r="B307" s="57"/>
    </row>
    <row r="308" spans="1:2">
      <c r="A308" s="23">
        <v>295</v>
      </c>
      <c r="B308" s="57"/>
    </row>
    <row r="309" spans="1:2">
      <c r="A309" s="23">
        <v>296</v>
      </c>
      <c r="B309" s="43"/>
    </row>
    <row r="310" spans="1:2">
      <c r="A310" s="23">
        <v>297</v>
      </c>
      <c r="B310" s="24"/>
    </row>
    <row r="311" spans="1:2">
      <c r="A311" s="23">
        <v>298</v>
      </c>
      <c r="B311" s="24"/>
    </row>
    <row r="312" spans="1:2">
      <c r="A312" s="23">
        <v>299</v>
      </c>
      <c r="B312" s="24"/>
    </row>
    <row r="313" spans="1:2">
      <c r="A313" s="23">
        <v>300</v>
      </c>
      <c r="B313" s="24"/>
    </row>
    <row r="314" spans="1:2">
      <c r="A314" s="23">
        <v>301</v>
      </c>
      <c r="B314" s="24"/>
    </row>
    <row r="315" spans="1:2">
      <c r="A315" s="23">
        <v>302</v>
      </c>
      <c r="B315" s="24"/>
    </row>
    <row r="316" spans="1:2">
      <c r="A316" s="23">
        <v>303</v>
      </c>
      <c r="B316" s="24"/>
    </row>
    <row r="317" spans="1:2">
      <c r="A317" s="23">
        <v>304</v>
      </c>
      <c r="B317" s="24"/>
    </row>
    <row r="318" spans="1:2">
      <c r="A318" s="23">
        <v>305</v>
      </c>
      <c r="B318" s="24"/>
    </row>
    <row r="319" spans="1:2">
      <c r="A319" s="23">
        <v>306</v>
      </c>
      <c r="B319" s="24"/>
    </row>
    <row r="320" spans="1:2">
      <c r="A320" s="23">
        <v>307</v>
      </c>
      <c r="B320" s="24"/>
    </row>
    <row r="321" spans="1:2">
      <c r="A321" s="23">
        <v>308</v>
      </c>
      <c r="B321" s="24"/>
    </row>
    <row r="322" spans="1:2">
      <c r="A322" s="23">
        <v>309</v>
      </c>
      <c r="B322" s="24"/>
    </row>
    <row r="323" spans="1:2">
      <c r="A323" s="23">
        <v>310</v>
      </c>
      <c r="B323" s="24" t="s">
        <v>240</v>
      </c>
    </row>
    <row r="324" spans="1:2">
      <c r="A324" s="23">
        <v>311</v>
      </c>
      <c r="B324" s="24"/>
    </row>
    <row r="325" spans="1:2">
      <c r="A325" s="23">
        <v>312</v>
      </c>
      <c r="B325" s="24"/>
    </row>
    <row r="326" spans="1:2">
      <c r="A326" s="23">
        <v>313</v>
      </c>
      <c r="B326" s="24"/>
    </row>
    <row r="327" spans="1:2">
      <c r="A327" s="23">
        <v>314</v>
      </c>
      <c r="B327" s="24"/>
    </row>
    <row r="328" spans="1:2">
      <c r="A328" s="23">
        <v>315</v>
      </c>
      <c r="B328" s="24"/>
    </row>
    <row r="329" spans="1:2">
      <c r="A329" s="23">
        <v>316</v>
      </c>
      <c r="B329" s="24"/>
    </row>
    <row r="330" spans="1:2">
      <c r="A330" s="23">
        <v>317</v>
      </c>
      <c r="B330" s="24"/>
    </row>
    <row r="331" spans="1:2">
      <c r="A331" s="23">
        <v>318</v>
      </c>
      <c r="B331" s="24" t="s">
        <v>241</v>
      </c>
    </row>
    <row r="332" spans="1:2">
      <c r="A332" s="23">
        <v>319</v>
      </c>
      <c r="B332" s="24"/>
    </row>
    <row r="333" spans="1:2">
      <c r="A333" s="23">
        <v>320</v>
      </c>
      <c r="B333" s="24"/>
    </row>
    <row r="334" spans="1:2">
      <c r="A334" s="23">
        <v>321</v>
      </c>
      <c r="B334" s="24"/>
    </row>
    <row r="335" spans="1:2">
      <c r="A335" s="23">
        <v>322</v>
      </c>
      <c r="B335" s="24"/>
    </row>
    <row r="336" spans="1:2">
      <c r="A336" s="23">
        <v>323</v>
      </c>
      <c r="B336" s="24"/>
    </row>
    <row r="337" spans="1:2">
      <c r="A337" s="23">
        <v>324</v>
      </c>
      <c r="B337" s="24"/>
    </row>
    <row r="338" spans="1:2">
      <c r="A338" s="23">
        <v>325</v>
      </c>
      <c r="B338" s="24"/>
    </row>
    <row r="339" spans="1:2">
      <c r="A339" s="23">
        <v>326</v>
      </c>
      <c r="B339" s="24"/>
    </row>
    <row r="340" spans="1:2">
      <c r="A340" s="23">
        <v>327</v>
      </c>
      <c r="B340" s="24"/>
    </row>
    <row r="341" spans="1:2">
      <c r="A341" s="23">
        <v>328</v>
      </c>
      <c r="B341" s="24"/>
    </row>
    <row r="342" spans="1:2">
      <c r="A342" s="23">
        <v>329</v>
      </c>
      <c r="B342" s="24"/>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workbookViewId="0">
      <selection activeCell="I31" sqref="I31"/>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60" t="s">
        <v>244</v>
      </c>
      <c r="C1" s="60"/>
      <c r="D1" s="61"/>
    </row>
    <row r="2" spans="2:7" ht="17" thickBot="1">
      <c r="B2" s="62" t="s">
        <v>245</v>
      </c>
      <c r="C2" s="65"/>
      <c r="D2" s="59"/>
    </row>
    <row r="3" spans="2:7" ht="17" thickBot="1">
      <c r="B3" s="62" t="s">
        <v>246</v>
      </c>
      <c r="C3" s="65"/>
      <c r="D3" s="59"/>
    </row>
    <row r="5" spans="2:7">
      <c r="B5" s="60" t="s">
        <v>247</v>
      </c>
      <c r="C5" s="60"/>
      <c r="D5" s="61"/>
    </row>
    <row r="6" spans="2:7">
      <c r="B6" s="63" t="s">
        <v>249</v>
      </c>
      <c r="C6" s="63"/>
      <c r="D6" s="61"/>
    </row>
    <row r="7" spans="2:7" ht="17" thickBot="1">
      <c r="B7" s="66" t="s">
        <v>250</v>
      </c>
      <c r="C7" s="66"/>
    </row>
    <row r="8" spans="2:7" ht="17" thickBot="1">
      <c r="B8" s="64">
        <v>2403</v>
      </c>
      <c r="C8" s="66"/>
    </row>
    <row r="9" spans="2:7" ht="17" thickBot="1">
      <c r="B9" s="63" t="s">
        <v>251</v>
      </c>
      <c r="C9" s="63"/>
      <c r="D9" s="61"/>
    </row>
    <row r="10" spans="2:7" ht="17" thickBot="1">
      <c r="B10" s="58"/>
      <c r="C10" s="67">
        <v>1</v>
      </c>
      <c r="D10" s="67">
        <v>100</v>
      </c>
    </row>
    <row r="11" spans="2:7" ht="17" thickBot="1">
      <c r="B11" s="63" t="s">
        <v>252</v>
      </c>
      <c r="C11" s="68"/>
      <c r="D11" s="68"/>
    </row>
    <row r="12" spans="2:7" ht="17" thickBot="1">
      <c r="B12" s="58"/>
      <c r="C12" s="67" t="s">
        <v>253</v>
      </c>
      <c r="D12" s="67" t="s">
        <v>254</v>
      </c>
    </row>
    <row r="13" spans="2:7" ht="17" thickBot="1"/>
    <row r="14" spans="2:7" ht="17" thickBot="1">
      <c r="B14" s="90" t="s">
        <v>255</v>
      </c>
      <c r="C14" s="91"/>
      <c r="D14" s="92"/>
      <c r="F14" s="73" t="s">
        <v>248</v>
      </c>
      <c r="G14" s="58"/>
    </row>
    <row r="15" spans="2:7" ht="17" thickBot="1">
      <c r="B15" s="69">
        <v>2499</v>
      </c>
      <c r="F15" s="72" t="str" cm="1">
        <f t="array" ref="F15:F19">Prefix &amp; "-" &amp; TEXT(_xlfn.SEQUENCE(C17 - B17 + 1, 1, B17, 1), "000")</f>
        <v>2499-001</v>
      </c>
    </row>
    <row r="16" spans="2:7" ht="17" thickBot="1">
      <c r="B16" s="93" t="s">
        <v>256</v>
      </c>
      <c r="C16" s="94"/>
      <c r="D16" s="95"/>
      <c r="F16" s="74" t="str">
        <v>2499-002</v>
      </c>
    </row>
    <row r="17" spans="2:8" ht="17" thickBot="1">
      <c r="B17" s="70">
        <v>1</v>
      </c>
      <c r="C17" s="71">
        <v>5</v>
      </c>
      <c r="F17" s="75" t="str">
        <v>2499-003</v>
      </c>
    </row>
    <row r="18" spans="2:8">
      <c r="F18" s="75" t="str">
        <v>2499-004</v>
      </c>
    </row>
    <row r="19" spans="2:8">
      <c r="F19" s="75" t="str">
        <v>2499-005</v>
      </c>
      <c r="H19" s="58" t="s">
        <v>257</v>
      </c>
    </row>
    <row r="20" spans="2:8">
      <c r="F20" s="75"/>
    </row>
    <row r="21" spans="2:8">
      <c r="F21" s="75"/>
    </row>
    <row r="22" spans="2:8">
      <c r="F22" s="75"/>
    </row>
    <row r="23" spans="2:8">
      <c r="F23" s="75"/>
    </row>
    <row r="24" spans="2:8">
      <c r="F24" s="75"/>
    </row>
    <row r="25" spans="2:8">
      <c r="F25" s="75"/>
    </row>
    <row r="26" spans="2:8">
      <c r="F26" s="75"/>
    </row>
    <row r="27" spans="2:8">
      <c r="F27" s="75"/>
    </row>
    <row r="28" spans="2:8">
      <c r="F28" s="75"/>
    </row>
    <row r="29" spans="2:8">
      <c r="F29" s="75"/>
    </row>
    <row r="30" spans="2:8">
      <c r="F30" s="75"/>
    </row>
    <row r="31" spans="2:8">
      <c r="F31" s="75"/>
    </row>
    <row r="32" spans="2:8">
      <c r="F32" s="75"/>
    </row>
    <row r="33" spans="6:6">
      <c r="F33" s="75"/>
    </row>
    <row r="34" spans="6:6">
      <c r="F34" s="75"/>
    </row>
    <row r="35" spans="6:6">
      <c r="F35" s="75"/>
    </row>
    <row r="36" spans="6:6">
      <c r="F36" s="75"/>
    </row>
    <row r="37" spans="6:6">
      <c r="F37" s="75"/>
    </row>
    <row r="38" spans="6:6">
      <c r="F38" s="75"/>
    </row>
    <row r="39" spans="6:6">
      <c r="F39" s="75"/>
    </row>
    <row r="40" spans="6:6">
      <c r="F40" s="75"/>
    </row>
    <row r="41" spans="6:6">
      <c r="F41" s="75"/>
    </row>
    <row r="42" spans="6:6">
      <c r="F42" s="75"/>
    </row>
    <row r="43" spans="6:6">
      <c r="F43" s="75"/>
    </row>
    <row r="44" spans="6:6">
      <c r="F44" s="75"/>
    </row>
    <row r="45" spans="6:6">
      <c r="F45" s="75"/>
    </row>
    <row r="46" spans="6:6">
      <c r="F46" s="75"/>
    </row>
    <row r="47" spans="6:6">
      <c r="F47" s="75"/>
    </row>
    <row r="48" spans="6:6">
      <c r="F48" s="75"/>
    </row>
    <row r="49" spans="6:6">
      <c r="F49" s="75"/>
    </row>
    <row r="50" spans="6:6">
      <c r="F50" s="75"/>
    </row>
    <row r="51" spans="6:6">
      <c r="F51" s="75"/>
    </row>
    <row r="52" spans="6:6">
      <c r="F52" s="75"/>
    </row>
    <row r="53" spans="6:6">
      <c r="F53" s="75"/>
    </row>
    <row r="54" spans="6:6">
      <c r="F54" s="75"/>
    </row>
    <row r="55" spans="6:6">
      <c r="F55" s="75"/>
    </row>
    <row r="56" spans="6:6">
      <c r="F56" s="75"/>
    </row>
    <row r="57" spans="6:6">
      <c r="F57" s="75"/>
    </row>
    <row r="58" spans="6:6">
      <c r="F58" s="75"/>
    </row>
    <row r="59" spans="6:6">
      <c r="F59" s="75"/>
    </row>
    <row r="60" spans="6:6">
      <c r="F60" s="75"/>
    </row>
    <row r="61" spans="6:6">
      <c r="F61" s="75"/>
    </row>
    <row r="62" spans="6:6">
      <c r="F62" s="75"/>
    </row>
    <row r="63" spans="6:6">
      <c r="F63" s="75"/>
    </row>
    <row r="64" spans="6:6">
      <c r="F64" s="75"/>
    </row>
    <row r="65" spans="6:6">
      <c r="F65" s="75"/>
    </row>
    <row r="66" spans="6:6">
      <c r="F66" s="75"/>
    </row>
    <row r="67" spans="6:6">
      <c r="F67" s="75"/>
    </row>
    <row r="68" spans="6:6">
      <c r="F68" s="75"/>
    </row>
    <row r="69" spans="6:6">
      <c r="F69" s="75"/>
    </row>
    <row r="70" spans="6:6">
      <c r="F70" s="75"/>
    </row>
    <row r="71" spans="6:6">
      <c r="F71" s="75"/>
    </row>
    <row r="72" spans="6:6">
      <c r="F72" s="75"/>
    </row>
    <row r="73" spans="6:6">
      <c r="F73" s="75"/>
    </row>
    <row r="74" spans="6:6">
      <c r="F74" s="75"/>
    </row>
    <row r="75" spans="6:6">
      <c r="F75" s="75"/>
    </row>
    <row r="76" spans="6:6">
      <c r="F76" s="75"/>
    </row>
    <row r="77" spans="6:6">
      <c r="F77" s="75"/>
    </row>
    <row r="78" spans="6:6">
      <c r="F78" s="75"/>
    </row>
    <row r="79" spans="6:6">
      <c r="F79" s="75"/>
    </row>
    <row r="80" spans="6:6">
      <c r="F80" s="75"/>
    </row>
    <row r="81" spans="6:6">
      <c r="F81" s="75"/>
    </row>
    <row r="82" spans="6:6">
      <c r="F82" s="75"/>
    </row>
    <row r="83" spans="6:6">
      <c r="F83" s="75"/>
    </row>
    <row r="84" spans="6:6">
      <c r="F84" s="75"/>
    </row>
    <row r="85" spans="6:6">
      <c r="F85" s="75"/>
    </row>
    <row r="86" spans="6:6">
      <c r="F86" s="75"/>
    </row>
    <row r="87" spans="6:6">
      <c r="F87" s="75"/>
    </row>
    <row r="88" spans="6:6">
      <c r="F88" s="75"/>
    </row>
    <row r="89" spans="6:6">
      <c r="F89" s="75"/>
    </row>
    <row r="90" spans="6:6">
      <c r="F90" s="75"/>
    </row>
    <row r="91" spans="6:6">
      <c r="F91" s="75"/>
    </row>
    <row r="92" spans="6:6">
      <c r="F92" s="75"/>
    </row>
    <row r="93" spans="6:6">
      <c r="F93" s="75"/>
    </row>
    <row r="94" spans="6:6">
      <c r="F94" s="75"/>
    </row>
    <row r="95" spans="6:6">
      <c r="F95" s="75"/>
    </row>
    <row r="96" spans="6:6">
      <c r="F96" s="75"/>
    </row>
    <row r="97" spans="6:6">
      <c r="F97" s="75"/>
    </row>
    <row r="98" spans="6:6">
      <c r="F98" s="75"/>
    </row>
    <row r="99" spans="6:6">
      <c r="F99" s="75"/>
    </row>
    <row r="100" spans="6:6">
      <c r="F100" s="75"/>
    </row>
    <row r="101" spans="6:6">
      <c r="F101" s="75"/>
    </row>
    <row r="102" spans="6:6">
      <c r="F102" s="75"/>
    </row>
    <row r="103" spans="6:6">
      <c r="F103" s="75"/>
    </row>
    <row r="104" spans="6:6">
      <c r="F104" s="75"/>
    </row>
    <row r="105" spans="6:6">
      <c r="F105" s="75"/>
    </row>
    <row r="106" spans="6:6">
      <c r="F106" s="75"/>
    </row>
    <row r="107" spans="6:6">
      <c r="F107" s="75"/>
    </row>
    <row r="108" spans="6:6">
      <c r="F108" s="75"/>
    </row>
    <row r="109" spans="6:6">
      <c r="F109" s="75"/>
    </row>
    <row r="110" spans="6:6">
      <c r="F110" s="75"/>
    </row>
    <row r="111" spans="6:6">
      <c r="F111" s="75"/>
    </row>
    <row r="112" spans="6:6">
      <c r="F112" s="75"/>
    </row>
    <row r="113" spans="6:6">
      <c r="F113" s="75"/>
    </row>
    <row r="114" spans="6:6">
      <c r="F114" s="75"/>
    </row>
    <row r="115" spans="6:6">
      <c r="F115" s="75"/>
    </row>
    <row r="116" spans="6:6">
      <c r="F116" s="75"/>
    </row>
    <row r="117" spans="6:6">
      <c r="F117" s="75"/>
    </row>
    <row r="118" spans="6:6">
      <c r="F118" s="75"/>
    </row>
    <row r="119" spans="6:6">
      <c r="F119" s="75"/>
    </row>
    <row r="120" spans="6:6">
      <c r="F120" s="75"/>
    </row>
    <row r="121" spans="6:6">
      <c r="F121" s="75"/>
    </row>
    <row r="122" spans="6:6">
      <c r="F122" s="75"/>
    </row>
    <row r="123" spans="6:6">
      <c r="F123" s="75"/>
    </row>
    <row r="124" spans="6:6" ht="17" thickBot="1">
      <c r="F124" s="76"/>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K213"/>
  <sheetViews>
    <sheetView tabSelected="1" topLeftCell="A7" zoomScale="86" workbookViewId="0">
      <selection activeCell="B25" sqref="B25"/>
    </sheetView>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11" ht="58" customHeight="1">
      <c r="B1" s="8"/>
      <c r="C1" s="8"/>
      <c r="D1" s="8"/>
      <c r="E1" s="8"/>
      <c r="F1" s="8"/>
      <c r="G1" s="8"/>
      <c r="H1" s="8"/>
      <c r="I1" s="8"/>
    </row>
    <row r="2" spans="1:11">
      <c r="B2" s="10"/>
      <c r="C2" s="10"/>
      <c r="D2" s="11"/>
      <c r="E2" s="12"/>
      <c r="F2" s="10"/>
      <c r="G2" s="13"/>
      <c r="H2" s="10"/>
      <c r="I2" s="9"/>
    </row>
    <row r="3" spans="1:11">
      <c r="B3" s="10"/>
      <c r="C3" s="10"/>
      <c r="D3" s="11"/>
      <c r="E3" s="12"/>
      <c r="F3" s="10"/>
      <c r="G3" s="13"/>
      <c r="H3" s="10"/>
      <c r="I3" s="9"/>
    </row>
    <row r="4" spans="1:11" ht="23">
      <c r="B4" s="96" t="s">
        <v>15</v>
      </c>
      <c r="C4" s="96"/>
      <c r="D4" s="96"/>
      <c r="E4" s="96"/>
      <c r="F4" s="96"/>
      <c r="G4" s="96"/>
      <c r="H4" s="96"/>
      <c r="I4" s="96"/>
    </row>
    <row r="5" spans="1:11">
      <c r="B5" s="14" t="str">
        <f>IF(TRIM(Job_Name)="", "", Job_Name)</f>
        <v/>
      </c>
      <c r="C5" s="10"/>
      <c r="D5" s="11"/>
      <c r="E5" s="12"/>
      <c r="F5" s="10"/>
      <c r="G5" s="13"/>
      <c r="H5" s="11"/>
      <c r="I5" s="9"/>
    </row>
    <row r="6" spans="1:11">
      <c r="B6" s="10" t="str">
        <f>IF(TRIM(Job_Number)="", "", Job_Number)</f>
        <v/>
      </c>
      <c r="C6" s="10"/>
      <c r="D6" s="15"/>
      <c r="E6" s="15"/>
      <c r="F6" s="15"/>
      <c r="G6" s="15"/>
      <c r="H6" s="11"/>
      <c r="I6" s="9"/>
    </row>
    <row r="7" spans="1:11">
      <c r="B7" s="16"/>
      <c r="C7" s="16"/>
      <c r="D7" s="17"/>
      <c r="E7" s="18"/>
      <c r="F7" s="16"/>
      <c r="G7" s="19"/>
      <c r="H7" s="16"/>
      <c r="I7" s="9"/>
      <c r="K7" t="s">
        <v>349</v>
      </c>
    </row>
    <row r="8" spans="1:11">
      <c r="B8" s="312" t="s">
        <v>4</v>
      </c>
      <c r="C8" s="312" t="s">
        <v>16</v>
      </c>
      <c r="D8" s="312" t="s">
        <v>17</v>
      </c>
      <c r="E8" s="313" t="s">
        <v>12</v>
      </c>
      <c r="F8" s="312" t="s">
        <v>18</v>
      </c>
      <c r="G8" s="314" t="s">
        <v>242</v>
      </c>
      <c r="H8" s="315" t="s">
        <v>19</v>
      </c>
      <c r="I8" s="316" t="s">
        <v>20</v>
      </c>
      <c r="K8" t="s">
        <v>342</v>
      </c>
    </row>
    <row r="9" spans="1:11">
      <c r="A9" s="317" t="str" cm="1">
        <f t="array" aca="1" ref="A9:H26" ca="1">_xlfn.VSTACK(
    _xlfn.LET(
        _xlpm.poList, PO_Index[PO],
        _xlpm.rowCounts, PO_Index[RowCount],
        _xlfn.REDUCE(
            "", _xlfn.SEQUENCE(ROWS(_xlpm.poList)),
            _xlfn.LAMBDA(_xlpm.a,_xlpm.i,
                _xlfn.VSTACK(_xlpm.a, _xlfn.TAKE(
                    INDIRECT("'" &amp; INDEX(_xlpm.poList, _xlpm.i) &amp; "'!_" &amp; SUBSTITUTE(INDEX(_xlpm.poList, _xlpm.i), "-", "_") &amp; "_table"),
                    INDEX(_xlpm.rowCounts, _xlpm.i)
                ))
            )
        )
    )
)</f>
        <v/>
      </c>
      <c r="B9" t="e">
        <f ca="1"/>
        <v>#N/A</v>
      </c>
      <c r="C9" s="317" t="e">
        <f ca="1"/>
        <v>#N/A</v>
      </c>
      <c r="D9" s="317" t="e">
        <f ca="1"/>
        <v>#N/A</v>
      </c>
      <c r="E9" s="318" t="e">
        <f ca="1"/>
        <v>#N/A</v>
      </c>
      <c r="F9" s="317" t="e">
        <f ca="1"/>
        <v>#N/A</v>
      </c>
      <c r="G9" s="319" t="e">
        <f ca="1"/>
        <v>#N/A</v>
      </c>
      <c r="H9" s="317" t="e">
        <f ca="1"/>
        <v>#N/A</v>
      </c>
      <c r="I9" s="85"/>
      <c r="K9" t="s">
        <v>343</v>
      </c>
    </row>
    <row r="10" spans="1:11">
      <c r="A10" t="str">
        <f ca="1"/>
        <v>#A</v>
      </c>
      <c r="B10" s="320">
        <f ca="1"/>
        <v>204</v>
      </c>
      <c r="C10" s="320" t="str">
        <f ca="1"/>
        <v>Vendor</v>
      </c>
      <c r="D10" s="317" t="str">
        <f ca="1"/>
        <v>2499-001</v>
      </c>
      <c r="E10" s="318">
        <f ca="1"/>
        <v>45849</v>
      </c>
      <c r="F10" s="320" t="str">
        <f ca="1"/>
        <v>CC 2456</v>
      </c>
      <c r="G10" s="321">
        <f ca="1"/>
        <v>800</v>
      </c>
      <c r="H10" s="317" t="str">
        <f ca="1"/>
        <v>Production Supplies</v>
      </c>
      <c r="I10" s="85"/>
      <c r="K10" t="s">
        <v>348</v>
      </c>
    </row>
    <row r="11" spans="1:11">
      <c r="A11" t="str">
        <f ca="1"/>
        <v>#B</v>
      </c>
      <c r="B11" s="317">
        <f ca="1"/>
        <v>204</v>
      </c>
      <c r="C11" s="317" t="str">
        <f ca="1"/>
        <v>Vendor</v>
      </c>
      <c r="D11" s="317" t="str">
        <f ca="1"/>
        <v>2499-001</v>
      </c>
      <c r="E11" s="318">
        <f ca="1"/>
        <v>45849</v>
      </c>
      <c r="F11" s="317" t="str">
        <f ca="1"/>
        <v>CC 2456</v>
      </c>
      <c r="G11" s="319">
        <f ca="1"/>
        <v>50</v>
      </c>
      <c r="H11" s="317" t="str">
        <f ca="1"/>
        <v>Production Supplies</v>
      </c>
      <c r="I11" s="84"/>
      <c r="K11" t="s">
        <v>344</v>
      </c>
    </row>
    <row r="12" spans="1:11">
      <c r="A12" t="str">
        <f ca="1"/>
        <v>#C</v>
      </c>
      <c r="B12" s="317">
        <f ca="1"/>
        <v>205</v>
      </c>
      <c r="C12" s="317" t="str">
        <f ca="1"/>
        <v>Vendor</v>
      </c>
      <c r="D12" s="317" t="str">
        <f ca="1"/>
        <v>2499-001</v>
      </c>
      <c r="E12" s="318">
        <f ca="1"/>
        <v>45848</v>
      </c>
      <c r="F12" s="317" t="str">
        <f ca="1"/>
        <v>CHK 101</v>
      </c>
      <c r="G12" s="319">
        <f ca="1"/>
        <v>1000</v>
      </c>
      <c r="H12" s="317" t="str">
        <f ca="1"/>
        <v>Location Supplies</v>
      </c>
      <c r="I12" s="84"/>
      <c r="K12" t="s">
        <v>345</v>
      </c>
    </row>
    <row r="13" spans="1:11">
      <c r="A13" t="str">
        <f ca="1"/>
        <v>#D</v>
      </c>
      <c r="B13" s="317">
        <f ca="1"/>
        <v>112</v>
      </c>
      <c r="C13" s="317" t="str">
        <f ca="1"/>
        <v>Vendor</v>
      </c>
      <c r="D13" s="317" t="str">
        <f ca="1"/>
        <v>2499-001</v>
      </c>
      <c r="E13" s="318">
        <f ca="1"/>
        <v>45849</v>
      </c>
      <c r="F13" s="317" t="str">
        <f ca="1"/>
        <v>CASH</v>
      </c>
      <c r="G13" s="319">
        <f ca="1"/>
        <v>1000</v>
      </c>
      <c r="H13" s="317" t="str">
        <f ca="1"/>
        <v>Pre Pro Meals</v>
      </c>
      <c r="I13" s="84"/>
      <c r="K13" t="s">
        <v>350</v>
      </c>
    </row>
    <row r="14" spans="1:11">
      <c r="A14" t="str">
        <f ca="1"/>
        <v>#A</v>
      </c>
      <c r="B14" s="317">
        <f ca="1"/>
        <v>204</v>
      </c>
      <c r="C14" s="317" t="str">
        <f ca="1"/>
        <v>Vendor</v>
      </c>
      <c r="D14" s="317" t="str">
        <f ca="1"/>
        <v>2499-002</v>
      </c>
      <c r="E14" s="318">
        <f ca="1"/>
        <v>45849</v>
      </c>
      <c r="F14" s="317" t="str">
        <f ca="1"/>
        <v>CC 2456</v>
      </c>
      <c r="G14" s="319">
        <f ca="1"/>
        <v>800</v>
      </c>
      <c r="H14" s="317" t="str">
        <f ca="1"/>
        <v>Production Supplies</v>
      </c>
      <c r="I14" s="84"/>
      <c r="K14" t="s">
        <v>346</v>
      </c>
    </row>
    <row r="15" spans="1:11">
      <c r="A15" t="str">
        <f ca="1"/>
        <v>#B</v>
      </c>
      <c r="B15" s="317">
        <f ca="1"/>
        <v>204</v>
      </c>
      <c r="C15" s="317" t="str">
        <f ca="1"/>
        <v>Vendor</v>
      </c>
      <c r="D15" s="317" t="str">
        <f ca="1"/>
        <v>2499-002</v>
      </c>
      <c r="E15" s="318">
        <f ca="1"/>
        <v>45849</v>
      </c>
      <c r="F15" s="317" t="str">
        <f ca="1"/>
        <v>CC 2456</v>
      </c>
      <c r="G15" s="319">
        <f ca="1"/>
        <v>50</v>
      </c>
      <c r="H15" s="317" t="str">
        <f ca="1"/>
        <v>Production Supplies</v>
      </c>
      <c r="I15" s="84"/>
      <c r="K15" t="s">
        <v>327</v>
      </c>
    </row>
    <row r="16" spans="1:11">
      <c r="A16" t="str">
        <f ca="1"/>
        <v>#C</v>
      </c>
      <c r="B16" s="317">
        <f ca="1"/>
        <v>205</v>
      </c>
      <c r="C16" s="317" t="str">
        <f ca="1"/>
        <v>Vendor</v>
      </c>
      <c r="D16" s="317" t="str">
        <f ca="1"/>
        <v>2499-002</v>
      </c>
      <c r="E16" s="318">
        <f ca="1"/>
        <v>45848</v>
      </c>
      <c r="F16" s="317" t="str">
        <f ca="1"/>
        <v>CHK 101</v>
      </c>
      <c r="G16" s="319">
        <f ca="1"/>
        <v>1000</v>
      </c>
      <c r="H16" s="317" t="str">
        <f ca="1"/>
        <v>Location Supplies</v>
      </c>
      <c r="I16" s="84"/>
    </row>
    <row r="17" spans="1:9">
      <c r="A17" t="str">
        <f ca="1"/>
        <v>#A</v>
      </c>
      <c r="B17" s="317">
        <f ca="1"/>
        <v>204</v>
      </c>
      <c r="C17" s="317" t="str">
        <f ca="1"/>
        <v>Vendor</v>
      </c>
      <c r="D17" s="317" t="str">
        <f ca="1"/>
        <v>2499-003</v>
      </c>
      <c r="E17" s="318">
        <f ca="1"/>
        <v>45849</v>
      </c>
      <c r="F17" s="317" t="str">
        <f ca="1"/>
        <v>CC 2456</v>
      </c>
      <c r="G17" s="319">
        <f ca="1"/>
        <v>400</v>
      </c>
      <c r="H17" s="317" t="str">
        <f ca="1"/>
        <v>Production Supplies</v>
      </c>
      <c r="I17" s="84"/>
    </row>
    <row r="18" spans="1:9">
      <c r="A18" t="str">
        <f ca="1"/>
        <v>#B</v>
      </c>
      <c r="B18" s="317">
        <f ca="1"/>
        <v>204</v>
      </c>
      <c r="C18" s="317" t="str">
        <f ca="1"/>
        <v>Vendor</v>
      </c>
      <c r="D18" s="317" t="str">
        <f ca="1"/>
        <v>2499-003</v>
      </c>
      <c r="E18" s="318">
        <f ca="1"/>
        <v>45849</v>
      </c>
      <c r="F18" s="322" t="str">
        <f ca="1"/>
        <v>CC 2456</v>
      </c>
      <c r="G18" s="319">
        <f ca="1"/>
        <v>50</v>
      </c>
      <c r="H18" s="323" t="str">
        <f ca="1"/>
        <v>Production Supplies</v>
      </c>
      <c r="I18" s="88"/>
    </row>
    <row r="19" spans="1:9">
      <c r="A19" t="str">
        <f ca="1"/>
        <v>#A</v>
      </c>
      <c r="B19" s="317">
        <f ca="1"/>
        <v>204</v>
      </c>
      <c r="C19" s="317" t="str">
        <f ca="1"/>
        <v>Vendor</v>
      </c>
      <c r="D19" s="317" t="str">
        <f ca="1"/>
        <v>2499-004</v>
      </c>
      <c r="E19" s="318">
        <f ca="1"/>
        <v>45849</v>
      </c>
      <c r="F19" s="322" t="str">
        <f ca="1"/>
        <v>CC 2456</v>
      </c>
      <c r="G19" s="319">
        <f ca="1"/>
        <v>800</v>
      </c>
      <c r="H19" s="317" t="str">
        <f ca="1"/>
        <v>Production Supplies</v>
      </c>
      <c r="I19" s="84"/>
    </row>
    <row r="20" spans="1:9">
      <c r="A20" t="str">
        <f ca="1"/>
        <v>#B</v>
      </c>
      <c r="B20" s="317">
        <f ca="1"/>
        <v>204</v>
      </c>
      <c r="C20" s="317" t="str">
        <f ca="1"/>
        <v>Vendor</v>
      </c>
      <c r="D20" s="317" t="str">
        <f ca="1"/>
        <v>2499-004</v>
      </c>
      <c r="E20" s="318">
        <f ca="1"/>
        <v>45849</v>
      </c>
      <c r="F20" s="322" t="str">
        <f ca="1"/>
        <v>CC 2456</v>
      </c>
      <c r="G20" s="319">
        <f ca="1"/>
        <v>50</v>
      </c>
      <c r="H20" s="317" t="str">
        <f ca="1"/>
        <v>Production Supplies</v>
      </c>
      <c r="I20" s="84"/>
    </row>
    <row r="21" spans="1:9">
      <c r="A21" t="str">
        <f ca="1"/>
        <v>#C</v>
      </c>
      <c r="B21" s="317">
        <f ca="1"/>
        <v>205</v>
      </c>
      <c r="C21" s="317" t="str">
        <f ca="1"/>
        <v>Vendor</v>
      </c>
      <c r="D21" s="317" t="str">
        <f ca="1"/>
        <v>2499-004</v>
      </c>
      <c r="E21" s="318">
        <f ca="1"/>
        <v>45848</v>
      </c>
      <c r="F21" s="322" t="str">
        <f ca="1"/>
        <v>CHK 101</v>
      </c>
      <c r="G21" s="319">
        <f ca="1"/>
        <v>1000</v>
      </c>
      <c r="H21" s="317" t="str">
        <f ca="1"/>
        <v>Location Supplies</v>
      </c>
      <c r="I21" s="84"/>
    </row>
    <row r="22" spans="1:9">
      <c r="A22" t="str">
        <f ca="1"/>
        <v>#D</v>
      </c>
      <c r="B22" s="317">
        <f ca="1"/>
        <v>112</v>
      </c>
      <c r="C22" s="317" t="str">
        <f ca="1"/>
        <v>Vendor</v>
      </c>
      <c r="D22" s="317" t="str">
        <f ca="1"/>
        <v>2499-004</v>
      </c>
      <c r="E22" s="318">
        <f ca="1"/>
        <v>45849</v>
      </c>
      <c r="F22" s="322" t="str">
        <f ca="1"/>
        <v>CASH</v>
      </c>
      <c r="G22" s="319">
        <f ca="1"/>
        <v>1000</v>
      </c>
      <c r="H22" s="317" t="str">
        <f ca="1"/>
        <v>Pre Pro Meals</v>
      </c>
      <c r="I22" s="85"/>
    </row>
    <row r="23" spans="1:9">
      <c r="A23" t="str">
        <f ca="1"/>
        <v>#A</v>
      </c>
      <c r="B23" s="317">
        <f ca="1"/>
        <v>204</v>
      </c>
      <c r="C23" s="317" t="str">
        <f ca="1"/>
        <v>Vendor</v>
      </c>
      <c r="D23" s="317" t="str">
        <f ca="1"/>
        <v>2499-005</v>
      </c>
      <c r="E23" s="318">
        <f ca="1"/>
        <v>45849</v>
      </c>
      <c r="F23" s="322" t="str">
        <f ca="1"/>
        <v>CC 2456</v>
      </c>
      <c r="G23" s="319">
        <f ca="1"/>
        <v>800</v>
      </c>
      <c r="H23" s="317" t="str">
        <f ca="1"/>
        <v>Production Supplies</v>
      </c>
      <c r="I23" s="84"/>
    </row>
    <row r="24" spans="1:9">
      <c r="A24" t="str">
        <f ca="1"/>
        <v>#B</v>
      </c>
      <c r="B24" s="317">
        <f ca="1"/>
        <v>204</v>
      </c>
      <c r="C24" s="317" t="str">
        <f ca="1"/>
        <v>Vendor</v>
      </c>
      <c r="D24" s="317" t="str">
        <f ca="1"/>
        <v>2499-005</v>
      </c>
      <c r="E24" s="318">
        <f ca="1"/>
        <v>45849</v>
      </c>
      <c r="F24" s="322" t="str">
        <f ca="1"/>
        <v>CC 2456</v>
      </c>
      <c r="G24" s="319">
        <f ca="1"/>
        <v>50</v>
      </c>
      <c r="H24" s="317" t="str">
        <f ca="1"/>
        <v>Production Supplies</v>
      </c>
      <c r="I24" s="84"/>
    </row>
    <row r="25" spans="1:9">
      <c r="A25" t="str">
        <f ca="1"/>
        <v>#C</v>
      </c>
      <c r="B25" s="320">
        <f ca="1"/>
        <v>205</v>
      </c>
      <c r="C25" s="324" t="str">
        <f ca="1"/>
        <v>Vendor</v>
      </c>
      <c r="D25" s="324" t="str">
        <f ca="1"/>
        <v>2499-005</v>
      </c>
      <c r="E25" s="325">
        <f ca="1"/>
        <v>45848</v>
      </c>
      <c r="F25" s="324" t="str">
        <f ca="1"/>
        <v>CHK 101</v>
      </c>
      <c r="G25" s="324">
        <f ca="1"/>
        <v>1000</v>
      </c>
      <c r="H25" s="317" t="str">
        <f ca="1"/>
        <v>Location Supplies</v>
      </c>
      <c r="I25" s="84"/>
    </row>
    <row r="26" spans="1:9">
      <c r="A26" t="str">
        <f ca="1"/>
        <v>#D</v>
      </c>
      <c r="B26" s="320">
        <f ca="1"/>
        <v>112</v>
      </c>
      <c r="C26" s="320" t="str">
        <f ca="1"/>
        <v>Vendor</v>
      </c>
      <c r="D26" s="317" t="str">
        <f ca="1"/>
        <v>2499-005</v>
      </c>
      <c r="E26" s="326">
        <f ca="1"/>
        <v>45849</v>
      </c>
      <c r="F26" s="320" t="str">
        <f ca="1"/>
        <v>CASH</v>
      </c>
      <c r="G26" s="320">
        <f ca="1"/>
        <v>1000</v>
      </c>
      <c r="H26" s="317" t="str">
        <f ca="1"/>
        <v>Pre Pro Meals</v>
      </c>
      <c r="I26" s="85"/>
    </row>
    <row r="27" spans="1:9">
      <c r="B27" s="320"/>
      <c r="C27" s="320"/>
      <c r="D27" s="317"/>
      <c r="E27" s="318"/>
      <c r="F27" s="320"/>
      <c r="G27" s="320"/>
      <c r="H27" s="317"/>
      <c r="I27" s="84"/>
    </row>
    <row r="28" spans="1:9">
      <c r="B28" s="320"/>
      <c r="C28" s="320"/>
      <c r="D28" s="317"/>
      <c r="E28" s="318"/>
      <c r="F28" s="320"/>
      <c r="G28" s="320"/>
      <c r="H28" s="317"/>
      <c r="I28" s="84"/>
    </row>
    <row r="29" spans="1:9">
      <c r="B29" s="320"/>
      <c r="C29" s="327"/>
      <c r="D29" s="327"/>
      <c r="E29" s="328"/>
      <c r="F29" s="327"/>
      <c r="G29" s="327"/>
      <c r="H29" s="317"/>
      <c r="I29" s="85"/>
    </row>
    <row r="30" spans="1:9">
      <c r="B30" s="320"/>
      <c r="C30" s="320"/>
      <c r="D30" s="317"/>
      <c r="E30" s="318"/>
      <c r="F30" s="320"/>
      <c r="G30" s="320"/>
      <c r="H30" s="317"/>
      <c r="I30" s="84"/>
    </row>
    <row r="31" spans="1:9">
      <c r="B31" s="320"/>
      <c r="C31" s="327"/>
      <c r="D31" s="327"/>
      <c r="E31" s="328"/>
      <c r="F31" s="327"/>
      <c r="G31" s="327"/>
      <c r="H31" s="317"/>
      <c r="I31" s="84"/>
    </row>
    <row r="32" spans="1:9">
      <c r="B32" s="320"/>
      <c r="C32" s="324"/>
      <c r="D32" s="324"/>
      <c r="E32" s="325"/>
      <c r="F32" s="324"/>
      <c r="G32" s="324"/>
      <c r="H32" s="317"/>
      <c r="I32" s="85"/>
    </row>
    <row r="33" spans="2:9">
      <c r="B33" s="320"/>
      <c r="C33" s="320"/>
      <c r="D33" s="317"/>
      <c r="E33" s="318"/>
      <c r="F33" s="320"/>
      <c r="G33" s="320"/>
      <c r="H33" s="317"/>
      <c r="I33" s="84"/>
    </row>
    <row r="34" spans="2:9">
      <c r="B34" s="320"/>
      <c r="C34" s="320"/>
      <c r="D34" s="317"/>
      <c r="E34" s="318"/>
      <c r="F34" s="320"/>
      <c r="G34" s="320"/>
      <c r="H34" s="317"/>
      <c r="I34" s="84"/>
    </row>
    <row r="35" spans="2:9">
      <c r="B35" s="317"/>
      <c r="C35" s="317"/>
      <c r="D35" s="317"/>
      <c r="E35" s="318"/>
      <c r="F35" s="317"/>
      <c r="G35" s="319"/>
      <c r="H35" s="317"/>
      <c r="I35" s="84"/>
    </row>
    <row r="36" spans="2:9">
      <c r="B36" s="317"/>
      <c r="C36" s="317"/>
      <c r="D36" s="317"/>
      <c r="E36" s="318"/>
      <c r="F36" s="317"/>
      <c r="G36" s="319"/>
      <c r="H36" s="317"/>
      <c r="I36" s="84"/>
    </row>
    <row r="37" spans="2:9">
      <c r="B37" s="317"/>
      <c r="C37" s="317"/>
      <c r="D37" s="317"/>
      <c r="E37" s="318"/>
      <c r="F37" s="322"/>
      <c r="G37" s="319"/>
      <c r="H37" s="317"/>
      <c r="I37" s="84"/>
    </row>
    <row r="38" spans="2:9">
      <c r="B38" s="317"/>
      <c r="C38" s="317"/>
      <c r="D38" s="317"/>
      <c r="E38" s="318"/>
      <c r="F38" s="317"/>
      <c r="G38" s="329"/>
      <c r="H38" s="317"/>
      <c r="I38" s="84"/>
    </row>
    <row r="39" spans="2:9">
      <c r="B39" s="317"/>
      <c r="C39" s="317"/>
      <c r="D39" s="317"/>
      <c r="E39" s="318"/>
      <c r="F39" s="322"/>
      <c r="G39" s="319"/>
      <c r="H39" s="317"/>
      <c r="I39" s="84"/>
    </row>
    <row r="40" spans="2:9">
      <c r="B40" s="317"/>
      <c r="C40" s="317"/>
      <c r="D40" s="317"/>
      <c r="E40" s="318"/>
      <c r="F40" s="322"/>
      <c r="G40" s="319"/>
      <c r="H40" s="317"/>
      <c r="I40" s="84"/>
    </row>
    <row r="41" spans="2:9">
      <c r="B41" s="317"/>
      <c r="C41" s="317"/>
      <c r="D41" s="317"/>
      <c r="E41" s="318"/>
      <c r="F41" s="322"/>
      <c r="G41" s="319"/>
      <c r="H41" s="317"/>
      <c r="I41" s="84"/>
    </row>
    <row r="42" spans="2:9">
      <c r="B42" s="317"/>
      <c r="C42" s="317"/>
      <c r="D42" s="317"/>
      <c r="E42" s="318"/>
      <c r="F42" s="317"/>
      <c r="G42" s="319"/>
      <c r="H42" s="317"/>
      <c r="I42" s="84"/>
    </row>
    <row r="43" spans="2:9">
      <c r="B43" s="324"/>
      <c r="C43" s="324"/>
      <c r="D43" s="324"/>
      <c r="E43" s="325"/>
      <c r="F43" s="324"/>
      <c r="G43" s="330"/>
      <c r="H43" s="324"/>
      <c r="I43" s="84"/>
    </row>
    <row r="44" spans="2:9">
      <c r="B44" s="317"/>
      <c r="C44" s="317"/>
      <c r="D44" s="317"/>
      <c r="E44" s="318"/>
      <c r="F44" s="318"/>
      <c r="G44" s="317"/>
      <c r="H44" s="317"/>
      <c r="I44" s="84"/>
    </row>
    <row r="45" spans="2:9">
      <c r="B45" s="317"/>
      <c r="C45" s="317"/>
      <c r="D45" s="317"/>
      <c r="E45" s="318"/>
      <c r="F45" s="318"/>
      <c r="G45" s="317"/>
      <c r="H45" s="317"/>
      <c r="I45" s="84"/>
    </row>
    <row r="46" spans="2:9">
      <c r="B46" s="317"/>
      <c r="C46" s="317"/>
      <c r="D46" s="317"/>
      <c r="E46" s="318"/>
      <c r="F46" s="318"/>
      <c r="G46" s="317"/>
      <c r="H46" s="317"/>
      <c r="I46" s="84"/>
    </row>
    <row r="47" spans="2:9">
      <c r="B47" s="320"/>
      <c r="C47" s="317"/>
      <c r="D47" s="317"/>
      <c r="E47" s="326"/>
      <c r="F47" s="317"/>
      <c r="G47" s="319"/>
      <c r="H47" s="317"/>
      <c r="I47" s="85"/>
    </row>
    <row r="48" spans="2:9">
      <c r="B48" s="317"/>
      <c r="C48" s="317"/>
      <c r="D48" s="317"/>
      <c r="E48" s="326"/>
      <c r="F48" s="317"/>
      <c r="G48" s="319"/>
      <c r="H48" s="317"/>
      <c r="I48" s="84"/>
    </row>
    <row r="49" spans="2:9">
      <c r="B49" s="317"/>
      <c r="C49" s="331"/>
      <c r="D49" s="317"/>
      <c r="E49" s="332"/>
      <c r="F49" s="317"/>
      <c r="G49" s="333"/>
      <c r="H49" s="317"/>
      <c r="I49" s="84"/>
    </row>
    <row r="50" spans="2:9">
      <c r="B50" s="317"/>
      <c r="C50" s="331"/>
      <c r="D50" s="317"/>
      <c r="E50" s="332"/>
      <c r="F50" s="317"/>
      <c r="G50" s="319"/>
      <c r="H50" s="317"/>
      <c r="I50" s="84"/>
    </row>
    <row r="51" spans="2:9">
      <c r="B51" s="317"/>
      <c r="C51" s="331"/>
      <c r="D51" s="317"/>
      <c r="E51" s="318"/>
      <c r="F51" s="317"/>
      <c r="G51" s="319"/>
      <c r="H51" s="317"/>
      <c r="I51" s="84"/>
    </row>
    <row r="52" spans="2:9">
      <c r="B52" s="317"/>
      <c r="C52" s="331"/>
      <c r="D52" s="317"/>
      <c r="E52" s="318"/>
      <c r="F52" s="317"/>
      <c r="G52" s="319"/>
      <c r="H52" s="317"/>
      <c r="I52" s="84"/>
    </row>
    <row r="53" spans="2:9">
      <c r="B53" s="317"/>
      <c r="C53" s="331"/>
      <c r="D53" s="317"/>
      <c r="E53" s="318"/>
      <c r="F53" s="317"/>
      <c r="G53" s="319"/>
      <c r="H53" s="317"/>
      <c r="I53" s="84"/>
    </row>
    <row r="54" spans="2:9">
      <c r="B54" s="317"/>
      <c r="C54" s="317"/>
      <c r="D54" s="317"/>
      <c r="E54" s="332"/>
      <c r="F54" s="322"/>
      <c r="G54" s="319"/>
      <c r="H54" s="317"/>
      <c r="I54" s="84"/>
    </row>
    <row r="55" spans="2:9">
      <c r="B55" s="317"/>
      <c r="C55" s="317"/>
      <c r="D55" s="317"/>
      <c r="E55" s="318"/>
      <c r="F55" s="322"/>
      <c r="G55" s="319"/>
      <c r="H55" s="317"/>
      <c r="I55" s="85"/>
    </row>
    <row r="56" spans="2:9">
      <c r="B56" s="317"/>
      <c r="C56" s="317"/>
      <c r="D56" s="317"/>
      <c r="E56" s="318"/>
      <c r="F56" s="317"/>
      <c r="G56" s="319"/>
      <c r="H56" s="317"/>
      <c r="I56" s="84"/>
    </row>
    <row r="57" spans="2:9">
      <c r="B57" s="317"/>
      <c r="C57" s="317"/>
      <c r="D57" s="317"/>
      <c r="E57" s="318"/>
      <c r="F57" s="322"/>
      <c r="G57" s="319"/>
      <c r="H57" s="317"/>
      <c r="I57" s="84"/>
    </row>
    <row r="58" spans="2:9">
      <c r="B58" s="317"/>
      <c r="C58" s="317"/>
      <c r="D58" s="317"/>
      <c r="E58" s="318"/>
      <c r="F58" s="331"/>
      <c r="G58" s="319"/>
      <c r="H58" s="317"/>
      <c r="I58" s="84"/>
    </row>
    <row r="59" spans="2:9">
      <c r="B59" s="317"/>
      <c r="C59" s="317"/>
      <c r="D59" s="317"/>
      <c r="E59" s="318"/>
      <c r="F59" s="322"/>
      <c r="G59" s="319"/>
      <c r="H59" s="317"/>
      <c r="I59" s="84"/>
    </row>
    <row r="60" spans="2:9">
      <c r="B60" s="317"/>
      <c r="C60" s="317"/>
      <c r="D60" s="317"/>
      <c r="E60" s="318"/>
      <c r="F60" s="322"/>
      <c r="G60" s="319"/>
      <c r="H60" s="317"/>
      <c r="I60" s="84"/>
    </row>
    <row r="61" spans="2:9">
      <c r="B61" s="317"/>
      <c r="C61" s="317"/>
      <c r="D61" s="317"/>
      <c r="E61" s="318"/>
      <c r="F61" s="322"/>
      <c r="G61" s="319"/>
      <c r="H61" s="317"/>
      <c r="I61" s="84"/>
    </row>
    <row r="62" spans="2:9">
      <c r="B62" s="317"/>
      <c r="C62" s="317"/>
      <c r="D62" s="317"/>
      <c r="E62" s="325"/>
      <c r="F62" s="322"/>
      <c r="G62" s="319"/>
      <c r="H62" s="317"/>
      <c r="I62" s="84"/>
    </row>
    <row r="63" spans="2:9">
      <c r="B63" s="317"/>
      <c r="C63" s="317"/>
      <c r="D63" s="317"/>
      <c r="E63" s="318"/>
      <c r="F63" s="322"/>
      <c r="G63" s="319"/>
      <c r="H63" s="317"/>
      <c r="I63" s="84"/>
    </row>
    <row r="64" spans="2:9">
      <c r="B64" s="317"/>
      <c r="C64" s="317"/>
      <c r="D64" s="317"/>
      <c r="E64" s="318"/>
      <c r="F64" s="322"/>
      <c r="G64" s="319"/>
      <c r="H64" s="317"/>
      <c r="I64" s="84"/>
    </row>
    <row r="65" spans="2:9">
      <c r="B65" s="317"/>
      <c r="C65" s="317"/>
      <c r="D65" s="317"/>
      <c r="E65" s="318"/>
      <c r="F65" s="317"/>
      <c r="G65" s="319"/>
      <c r="H65" s="317"/>
      <c r="I65" s="84"/>
    </row>
    <row r="66" spans="2:9">
      <c r="B66" s="317"/>
      <c r="C66" s="317"/>
      <c r="D66" s="317"/>
      <c r="E66" s="318"/>
      <c r="F66" s="322"/>
      <c r="G66" s="319"/>
      <c r="H66" s="317"/>
      <c r="I66" s="84"/>
    </row>
    <row r="67" spans="2:9">
      <c r="B67" s="317"/>
      <c r="C67" s="317"/>
      <c r="D67" s="317"/>
      <c r="E67" s="326"/>
      <c r="F67" s="320"/>
      <c r="G67" s="319"/>
      <c r="H67" s="317"/>
      <c r="I67" s="85"/>
    </row>
    <row r="68" spans="2:9">
      <c r="B68" s="317"/>
      <c r="C68" s="317"/>
      <c r="D68" s="317"/>
      <c r="E68" s="325"/>
      <c r="F68" s="322"/>
      <c r="G68" s="319"/>
      <c r="H68" s="317"/>
      <c r="I68" s="84"/>
    </row>
    <row r="69" spans="2:9">
      <c r="B69" s="317"/>
      <c r="C69" s="317"/>
      <c r="D69" s="317"/>
      <c r="E69" s="318"/>
      <c r="F69" s="317"/>
      <c r="G69" s="319"/>
      <c r="H69" s="317"/>
      <c r="I69" s="84"/>
    </row>
    <row r="70" spans="2:9">
      <c r="B70" s="317"/>
      <c r="C70" s="317"/>
      <c r="D70" s="317"/>
      <c r="E70" s="318"/>
      <c r="F70" s="317"/>
      <c r="G70" s="319"/>
      <c r="H70" s="317"/>
      <c r="I70" s="84"/>
    </row>
    <row r="71" spans="2:9">
      <c r="B71" s="317"/>
      <c r="C71" s="317"/>
      <c r="D71" s="317"/>
      <c r="E71" s="318"/>
      <c r="F71" s="317"/>
      <c r="G71" s="319"/>
      <c r="H71" s="317"/>
      <c r="I71" s="84"/>
    </row>
    <row r="72" spans="2:9">
      <c r="B72" s="317"/>
      <c r="C72" s="317"/>
      <c r="D72" s="317"/>
      <c r="E72" s="318"/>
      <c r="F72" s="317"/>
      <c r="G72" s="319"/>
      <c r="H72" s="317"/>
      <c r="I72" s="84"/>
    </row>
    <row r="73" spans="2:9">
      <c r="B73" s="317"/>
      <c r="C73" s="317"/>
      <c r="D73" s="317"/>
      <c r="E73" s="318"/>
      <c r="F73" s="317"/>
      <c r="G73" s="319"/>
      <c r="H73" s="317"/>
      <c r="I73" s="84"/>
    </row>
    <row r="74" spans="2:9">
      <c r="B74" s="317"/>
      <c r="C74" s="317"/>
      <c r="D74" s="317"/>
      <c r="E74" s="318"/>
      <c r="F74" s="317"/>
      <c r="G74" s="319"/>
      <c r="H74" s="317"/>
      <c r="I74" s="84"/>
    </row>
    <row r="75" spans="2:9">
      <c r="B75" s="320"/>
      <c r="C75" s="317"/>
      <c r="D75" s="317"/>
      <c r="E75" s="318"/>
      <c r="F75" s="317"/>
      <c r="G75" s="319"/>
      <c r="H75" s="317"/>
      <c r="I75" s="84"/>
    </row>
    <row r="76" spans="2:9">
      <c r="B76" s="320"/>
      <c r="C76" s="317"/>
      <c r="D76" s="317"/>
      <c r="E76" s="318"/>
      <c r="F76" s="317"/>
      <c r="G76" s="319"/>
      <c r="H76" s="317"/>
      <c r="I76" s="84"/>
    </row>
    <row r="77" spans="2:9">
      <c r="B77" s="320"/>
      <c r="C77" s="317"/>
      <c r="D77" s="317"/>
      <c r="E77" s="318"/>
      <c r="F77" s="317"/>
      <c r="G77" s="319"/>
      <c r="H77" s="317"/>
      <c r="I77" s="84"/>
    </row>
    <row r="78" spans="2:9">
      <c r="B78" s="317"/>
      <c r="C78" s="317"/>
      <c r="D78" s="317"/>
      <c r="E78" s="318"/>
      <c r="F78" s="317"/>
      <c r="G78" s="319"/>
      <c r="H78" s="317"/>
      <c r="I78" s="84"/>
    </row>
    <row r="79" spans="2:9">
      <c r="B79" s="317"/>
      <c r="C79" s="317"/>
      <c r="D79" s="317"/>
      <c r="E79" s="318"/>
      <c r="F79" s="317"/>
      <c r="G79" s="319"/>
      <c r="H79" s="317"/>
      <c r="I79" s="84"/>
    </row>
    <row r="80" spans="2:9">
      <c r="B80" s="317"/>
      <c r="C80" s="317"/>
      <c r="D80" s="317"/>
      <c r="E80" s="318"/>
      <c r="F80" s="317"/>
      <c r="G80" s="319"/>
      <c r="H80" s="317"/>
      <c r="I80" s="84"/>
    </row>
    <row r="81" spans="2:9">
      <c r="B81" s="317"/>
      <c r="C81" s="317"/>
      <c r="D81" s="317"/>
      <c r="E81" s="318"/>
      <c r="F81" s="317"/>
      <c r="G81" s="319"/>
      <c r="H81" s="317"/>
      <c r="I81" s="84"/>
    </row>
    <row r="82" spans="2:9">
      <c r="B82" s="317"/>
      <c r="C82" s="317"/>
      <c r="D82" s="317"/>
      <c r="E82" s="318"/>
      <c r="F82" s="317"/>
      <c r="G82" s="319"/>
      <c r="H82" s="317"/>
      <c r="I82" s="84"/>
    </row>
    <row r="83" spans="2:9">
      <c r="B83" s="317"/>
      <c r="C83" s="317"/>
      <c r="D83" s="317"/>
      <c r="E83" s="318"/>
      <c r="F83" s="317"/>
      <c r="G83" s="319"/>
      <c r="H83" s="317"/>
      <c r="I83" s="84"/>
    </row>
    <row r="84" spans="2:9">
      <c r="B84" s="317"/>
      <c r="C84" s="317"/>
      <c r="D84" s="317"/>
      <c r="E84" s="318"/>
      <c r="F84" s="317"/>
      <c r="G84" s="319"/>
      <c r="H84" s="317"/>
      <c r="I84" s="84"/>
    </row>
    <row r="85" spans="2:9">
      <c r="B85" s="317"/>
      <c r="C85" s="317"/>
      <c r="D85" s="317"/>
      <c r="E85" s="318"/>
      <c r="F85" s="317"/>
      <c r="G85" s="319"/>
      <c r="H85" s="317"/>
      <c r="I85" s="84"/>
    </row>
    <row r="86" spans="2:9">
      <c r="B86" s="320"/>
      <c r="C86" s="320"/>
      <c r="D86" s="317"/>
      <c r="E86" s="326"/>
      <c r="F86" s="317"/>
      <c r="G86" s="321"/>
      <c r="H86" s="317"/>
      <c r="I86" s="84"/>
    </row>
    <row r="87" spans="2:9">
      <c r="B87" s="320"/>
      <c r="C87" s="320"/>
      <c r="D87" s="317"/>
      <c r="E87" s="326"/>
      <c r="F87" s="317"/>
      <c r="G87" s="321"/>
      <c r="H87" s="317"/>
      <c r="I87" s="84"/>
    </row>
    <row r="88" spans="2:9">
      <c r="B88" s="317"/>
      <c r="C88" s="317"/>
      <c r="D88" s="317"/>
      <c r="E88" s="318"/>
      <c r="F88" s="317"/>
      <c r="G88" s="319"/>
      <c r="H88" s="317"/>
      <c r="I88" s="84"/>
    </row>
    <row r="89" spans="2:9">
      <c r="B89" s="317"/>
      <c r="C89" s="317"/>
      <c r="D89" s="317"/>
      <c r="E89" s="318"/>
      <c r="F89" s="317"/>
      <c r="G89" s="319"/>
      <c r="H89" s="317"/>
      <c r="I89" s="84"/>
    </row>
    <row r="90" spans="2:9">
      <c r="B90" s="317"/>
      <c r="C90" s="317"/>
      <c r="D90" s="317"/>
      <c r="E90" s="318"/>
      <c r="F90" s="317"/>
      <c r="G90" s="319"/>
      <c r="H90" s="317"/>
      <c r="I90" s="84"/>
    </row>
    <row r="91" spans="2:9">
      <c r="B91" s="317"/>
      <c r="C91" s="317"/>
      <c r="D91" s="317"/>
      <c r="E91" s="318"/>
      <c r="F91" s="317"/>
      <c r="G91" s="319"/>
      <c r="H91" s="317"/>
      <c r="I91" s="84"/>
    </row>
    <row r="92" spans="2:9">
      <c r="B92" s="317"/>
      <c r="C92" s="317"/>
      <c r="D92" s="317"/>
      <c r="E92" s="318"/>
      <c r="F92" s="317"/>
      <c r="G92" s="319"/>
      <c r="H92" s="317"/>
      <c r="I92" s="84"/>
    </row>
    <row r="93" spans="2:9">
      <c r="B93" s="317"/>
      <c r="C93" s="317"/>
      <c r="D93" s="317"/>
      <c r="E93" s="318"/>
      <c r="F93" s="317"/>
      <c r="G93" s="319"/>
      <c r="H93" s="317"/>
      <c r="I93" s="84"/>
    </row>
    <row r="94" spans="2:9">
      <c r="B94" s="317"/>
      <c r="C94" s="317"/>
      <c r="D94" s="317"/>
      <c r="E94" s="318"/>
      <c r="F94" s="317"/>
      <c r="G94" s="319"/>
      <c r="H94" s="317"/>
      <c r="I94" s="84"/>
    </row>
    <row r="95" spans="2:9">
      <c r="B95" s="317"/>
      <c r="C95" s="317"/>
      <c r="D95" s="317"/>
      <c r="E95" s="318"/>
      <c r="F95" s="317"/>
      <c r="G95" s="319"/>
      <c r="H95" s="317"/>
      <c r="I95" s="84"/>
    </row>
    <row r="96" spans="2:9">
      <c r="B96" s="317"/>
      <c r="C96" s="317"/>
      <c r="D96" s="317"/>
      <c r="E96" s="318"/>
      <c r="F96" s="317"/>
      <c r="G96" s="319"/>
      <c r="H96" s="317"/>
      <c r="I96" s="84"/>
    </row>
    <row r="97" spans="2:9">
      <c r="B97" s="317"/>
      <c r="C97" s="317"/>
      <c r="D97" s="317"/>
      <c r="E97" s="318"/>
      <c r="F97" s="322"/>
      <c r="G97" s="319"/>
      <c r="H97" s="317"/>
      <c r="I97" s="84"/>
    </row>
    <row r="98" spans="2:9">
      <c r="B98" s="317"/>
      <c r="C98" s="317"/>
      <c r="D98" s="317"/>
      <c r="E98" s="318"/>
      <c r="F98" s="317"/>
      <c r="G98" s="319"/>
      <c r="H98" s="317"/>
      <c r="I98" s="84"/>
    </row>
    <row r="99" spans="2:9">
      <c r="B99" s="317"/>
      <c r="C99" s="317"/>
      <c r="D99" s="317"/>
      <c r="E99" s="318"/>
      <c r="F99" s="317"/>
      <c r="G99" s="319"/>
      <c r="H99" s="317"/>
      <c r="I99" s="84"/>
    </row>
    <row r="100" spans="2:9">
      <c r="B100" s="317"/>
      <c r="C100" s="317"/>
      <c r="D100" s="317"/>
      <c r="E100" s="318"/>
      <c r="F100" s="317"/>
      <c r="G100" s="319"/>
      <c r="H100" s="317"/>
      <c r="I100" s="84"/>
    </row>
    <row r="101" spans="2:9">
      <c r="B101" s="317"/>
      <c r="C101" s="317"/>
      <c r="D101" s="317"/>
      <c r="E101" s="318"/>
      <c r="F101" s="317"/>
      <c r="G101" s="319"/>
      <c r="H101" s="317"/>
      <c r="I101" s="84"/>
    </row>
    <row r="102" spans="2:9">
      <c r="B102" s="317"/>
      <c r="C102" s="317"/>
      <c r="D102" s="317"/>
      <c r="E102" s="318"/>
      <c r="F102" s="317"/>
      <c r="G102" s="319"/>
      <c r="H102" s="317"/>
      <c r="I102" s="84"/>
    </row>
    <row r="103" spans="2:9">
      <c r="B103" s="317"/>
      <c r="C103" s="317"/>
      <c r="D103" s="317"/>
      <c r="E103" s="318"/>
      <c r="F103" s="317"/>
      <c r="G103" s="319"/>
      <c r="H103" s="317"/>
      <c r="I103" s="84"/>
    </row>
    <row r="104" spans="2:9">
      <c r="B104" s="317"/>
      <c r="C104" s="317"/>
      <c r="D104" s="317"/>
      <c r="E104" s="318"/>
      <c r="F104" s="317"/>
      <c r="G104" s="319"/>
      <c r="H104" s="317"/>
      <c r="I104" s="84"/>
    </row>
    <row r="105" spans="2:9">
      <c r="B105" s="317"/>
      <c r="C105" s="317"/>
      <c r="D105" s="317"/>
      <c r="E105" s="318"/>
      <c r="F105" s="317"/>
      <c r="G105" s="319"/>
      <c r="H105" s="317"/>
      <c r="I105" s="84"/>
    </row>
    <row r="106" spans="2:9">
      <c r="B106" s="317"/>
      <c r="C106" s="317"/>
      <c r="D106" s="317"/>
      <c r="E106" s="318"/>
      <c r="F106" s="317"/>
      <c r="G106" s="319"/>
      <c r="H106" s="317"/>
      <c r="I106" s="84"/>
    </row>
    <row r="107" spans="2:9">
      <c r="B107" s="317"/>
      <c r="C107" s="317"/>
      <c r="D107" s="317"/>
      <c r="E107" s="318"/>
      <c r="F107" s="317"/>
      <c r="G107" s="319"/>
      <c r="H107" s="317"/>
      <c r="I107" s="84"/>
    </row>
    <row r="108" spans="2:9">
      <c r="B108" s="317"/>
      <c r="C108" s="317"/>
      <c r="D108" s="317"/>
      <c r="E108" s="318"/>
      <c r="F108" s="317"/>
      <c r="G108" s="319"/>
      <c r="H108" s="317"/>
      <c r="I108" s="84"/>
    </row>
    <row r="109" spans="2:9">
      <c r="B109" s="317"/>
      <c r="C109" s="317"/>
      <c r="D109" s="317"/>
      <c r="E109" s="318"/>
      <c r="F109" s="317"/>
      <c r="G109" s="319"/>
      <c r="H109" s="317"/>
      <c r="I109" s="84"/>
    </row>
    <row r="110" spans="2:9">
      <c r="B110" s="317"/>
      <c r="C110" s="317"/>
      <c r="D110" s="317"/>
      <c r="E110" s="318"/>
      <c r="F110" s="322"/>
      <c r="G110" s="319"/>
      <c r="H110" s="317"/>
      <c r="I110" s="84"/>
    </row>
    <row r="111" spans="2:9">
      <c r="B111" s="317"/>
      <c r="C111" s="317"/>
      <c r="D111" s="317"/>
      <c r="E111" s="318"/>
      <c r="F111" s="317"/>
      <c r="G111" s="319"/>
      <c r="H111" s="317"/>
      <c r="I111" s="84"/>
    </row>
    <row r="112" spans="2:9">
      <c r="B112" s="317"/>
      <c r="C112" s="317"/>
      <c r="D112" s="317"/>
      <c r="E112" s="318"/>
      <c r="F112" s="317"/>
      <c r="G112" s="319"/>
      <c r="H112" s="317"/>
      <c r="I112" s="84"/>
    </row>
    <row r="113" spans="2:9">
      <c r="B113" s="317"/>
      <c r="C113" s="317"/>
      <c r="D113" s="317"/>
      <c r="E113" s="318"/>
      <c r="F113" s="317"/>
      <c r="G113" s="319"/>
      <c r="H113" s="317"/>
      <c r="I113" s="84"/>
    </row>
    <row r="114" spans="2:9">
      <c r="B114" s="317"/>
      <c r="C114" s="317"/>
      <c r="D114" s="317"/>
      <c r="E114" s="318"/>
      <c r="F114" s="317"/>
      <c r="G114" s="319"/>
      <c r="H114" s="317"/>
      <c r="I114" s="84"/>
    </row>
    <row r="115" spans="2:9">
      <c r="B115" s="317"/>
      <c r="C115" s="317"/>
      <c r="D115" s="317"/>
      <c r="E115" s="318"/>
      <c r="F115" s="317"/>
      <c r="G115" s="319"/>
      <c r="H115" s="317"/>
      <c r="I115" s="84"/>
    </row>
    <row r="116" spans="2:9">
      <c r="B116" s="317"/>
      <c r="C116" s="317"/>
      <c r="D116" s="317"/>
      <c r="E116" s="318"/>
      <c r="F116" s="317"/>
      <c r="G116" s="319"/>
      <c r="H116" s="317"/>
      <c r="I116" s="84"/>
    </row>
    <row r="117" spans="2:9">
      <c r="B117" s="317"/>
      <c r="C117" s="317"/>
      <c r="D117" s="317"/>
      <c r="E117" s="318"/>
      <c r="F117" s="317"/>
      <c r="G117" s="319"/>
      <c r="H117" s="317"/>
      <c r="I117" s="84"/>
    </row>
    <row r="118" spans="2:9">
      <c r="B118" s="317"/>
      <c r="C118" s="317"/>
      <c r="D118" s="317"/>
      <c r="E118" s="318"/>
      <c r="F118" s="317"/>
      <c r="G118" s="319"/>
      <c r="H118" s="317"/>
      <c r="I118" s="84"/>
    </row>
    <row r="119" spans="2:9">
      <c r="B119" s="317"/>
      <c r="C119" s="317"/>
      <c r="D119" s="317"/>
      <c r="E119" s="318"/>
      <c r="F119" s="317"/>
      <c r="G119" s="319"/>
      <c r="H119" s="317"/>
      <c r="I119" s="84"/>
    </row>
    <row r="120" spans="2:9">
      <c r="B120" s="317"/>
      <c r="C120" s="317"/>
      <c r="D120" s="317"/>
      <c r="E120" s="318"/>
      <c r="F120" s="317"/>
      <c r="G120" s="319"/>
      <c r="H120" s="317"/>
      <c r="I120" s="84"/>
    </row>
    <row r="121" spans="2:9">
      <c r="B121" s="317"/>
      <c r="C121" s="317"/>
      <c r="D121" s="317"/>
      <c r="E121" s="318"/>
      <c r="F121" s="317"/>
      <c r="G121" s="319"/>
      <c r="H121" s="317"/>
      <c r="I121" s="84"/>
    </row>
    <row r="122" spans="2:9">
      <c r="B122" s="317"/>
      <c r="C122" s="317"/>
      <c r="D122" s="317"/>
      <c r="E122" s="318"/>
      <c r="F122" s="317"/>
      <c r="G122" s="319"/>
      <c r="H122" s="317"/>
      <c r="I122" s="84"/>
    </row>
    <row r="123" spans="2:9">
      <c r="B123" s="317"/>
      <c r="C123" s="331"/>
      <c r="D123" s="317"/>
      <c r="E123" s="318"/>
      <c r="F123" s="322"/>
      <c r="G123" s="319"/>
      <c r="H123" s="317"/>
      <c r="I123" s="84"/>
    </row>
    <row r="124" spans="2:9">
      <c r="B124" s="317"/>
      <c r="C124" s="317"/>
      <c r="D124" s="317"/>
      <c r="E124" s="318"/>
      <c r="F124" s="317"/>
      <c r="G124" s="319"/>
      <c r="H124" s="317"/>
      <c r="I124" s="84"/>
    </row>
    <row r="125" spans="2:9">
      <c r="B125" s="317"/>
      <c r="C125" s="317"/>
      <c r="D125" s="317"/>
      <c r="E125" s="318"/>
      <c r="F125" s="317"/>
      <c r="G125" s="319"/>
      <c r="H125" s="317"/>
      <c r="I125" s="84"/>
    </row>
    <row r="126" spans="2:9">
      <c r="B126" s="317"/>
      <c r="C126" s="317"/>
      <c r="D126" s="317"/>
      <c r="E126" s="318"/>
      <c r="F126" s="317"/>
      <c r="G126" s="319"/>
      <c r="H126" s="317"/>
      <c r="I126" s="84"/>
    </row>
    <row r="127" spans="2:9">
      <c r="B127" s="317"/>
      <c r="C127" s="317"/>
      <c r="D127" s="317"/>
      <c r="E127" s="318"/>
      <c r="F127" s="317"/>
      <c r="G127" s="319"/>
      <c r="H127" s="317"/>
      <c r="I127" s="84"/>
    </row>
    <row r="128" spans="2:9">
      <c r="B128" s="317"/>
      <c r="C128" s="317"/>
      <c r="D128" s="317"/>
      <c r="E128" s="318"/>
      <c r="F128" s="317"/>
      <c r="G128" s="319"/>
      <c r="H128" s="317"/>
      <c r="I128" s="84"/>
    </row>
    <row r="129" spans="2:9">
      <c r="B129" s="317"/>
      <c r="C129" s="317"/>
      <c r="D129" s="317"/>
      <c r="E129" s="318"/>
      <c r="F129" s="317"/>
      <c r="G129" s="319"/>
      <c r="H129" s="317"/>
      <c r="I129" s="84"/>
    </row>
    <row r="130" spans="2:9">
      <c r="B130" s="317"/>
      <c r="C130" s="317"/>
      <c r="D130" s="317"/>
      <c r="E130" s="318"/>
      <c r="F130" s="317"/>
      <c r="G130" s="319"/>
      <c r="H130" s="317"/>
      <c r="I130" s="84"/>
    </row>
    <row r="131" spans="2:9">
      <c r="B131" s="317"/>
      <c r="C131" s="317"/>
      <c r="D131" s="317"/>
      <c r="E131" s="318"/>
      <c r="F131" s="317"/>
      <c r="G131" s="319"/>
      <c r="H131" s="317"/>
      <c r="I131" s="84"/>
    </row>
    <row r="132" spans="2:9">
      <c r="B132" s="317"/>
      <c r="C132" s="317"/>
      <c r="D132" s="317"/>
      <c r="E132" s="318"/>
      <c r="F132" s="317"/>
      <c r="G132" s="319"/>
      <c r="H132" s="317"/>
      <c r="I132" s="84"/>
    </row>
    <row r="133" spans="2:9">
      <c r="B133" s="317"/>
      <c r="C133" s="317"/>
      <c r="D133" s="317"/>
      <c r="E133" s="318"/>
      <c r="F133" s="322"/>
      <c r="G133" s="319"/>
      <c r="H133" s="317"/>
      <c r="I133" s="84"/>
    </row>
    <row r="134" spans="2:9">
      <c r="B134" s="317"/>
      <c r="C134" s="317"/>
      <c r="D134" s="317"/>
      <c r="E134" s="318"/>
      <c r="F134" s="317"/>
      <c r="G134" s="319"/>
      <c r="H134" s="317"/>
      <c r="I134" s="84"/>
    </row>
    <row r="135" spans="2:9">
      <c r="B135" s="317"/>
      <c r="C135" s="317"/>
      <c r="D135" s="317"/>
      <c r="E135" s="318"/>
      <c r="F135" s="317"/>
      <c r="G135" s="319"/>
      <c r="H135" s="317"/>
      <c r="I135" s="84"/>
    </row>
    <row r="136" spans="2:9">
      <c r="B136" s="317"/>
      <c r="C136" s="317"/>
      <c r="D136" s="317"/>
      <c r="E136" s="318"/>
      <c r="F136" s="317"/>
      <c r="G136" s="319"/>
      <c r="H136" s="317"/>
      <c r="I136" s="84"/>
    </row>
    <row r="137" spans="2:9">
      <c r="B137" s="317"/>
      <c r="C137" s="317"/>
      <c r="D137" s="317"/>
      <c r="E137" s="318"/>
      <c r="F137" s="317"/>
      <c r="G137" s="319"/>
      <c r="H137" s="317"/>
      <c r="I137" s="84"/>
    </row>
    <row r="138" spans="2:9">
      <c r="B138" s="317"/>
      <c r="C138" s="317"/>
      <c r="D138" s="317"/>
      <c r="E138" s="318"/>
      <c r="F138" s="317"/>
      <c r="G138" s="319"/>
      <c r="H138" s="317"/>
      <c r="I138" s="84"/>
    </row>
    <row r="139" spans="2:9">
      <c r="B139" s="317"/>
      <c r="C139" s="317"/>
      <c r="D139" s="317"/>
      <c r="E139" s="318"/>
      <c r="F139" s="317"/>
      <c r="G139" s="319"/>
      <c r="H139" s="317"/>
      <c r="I139" s="84"/>
    </row>
    <row r="140" spans="2:9">
      <c r="B140" s="317"/>
      <c r="C140" s="317"/>
      <c r="D140" s="317"/>
      <c r="E140" s="318"/>
      <c r="F140" s="317"/>
      <c r="G140" s="319"/>
      <c r="H140" s="317"/>
      <c r="I140" s="84"/>
    </row>
    <row r="141" spans="2:9">
      <c r="B141" s="317"/>
      <c r="C141" s="317"/>
      <c r="D141" s="317"/>
      <c r="E141" s="318"/>
      <c r="F141" s="317"/>
      <c r="G141" s="319"/>
      <c r="H141" s="317"/>
      <c r="I141" s="84"/>
    </row>
    <row r="142" spans="2:9">
      <c r="B142" s="317"/>
      <c r="C142" s="317"/>
      <c r="D142" s="317"/>
      <c r="E142" s="318"/>
      <c r="F142" s="317"/>
      <c r="G142" s="319"/>
      <c r="H142" s="317"/>
      <c r="I142" s="84"/>
    </row>
    <row r="143" spans="2:9">
      <c r="B143" s="317"/>
      <c r="C143" s="317"/>
      <c r="D143" s="317"/>
      <c r="E143" s="318"/>
      <c r="F143" s="317"/>
      <c r="G143" s="319"/>
      <c r="H143" s="317"/>
      <c r="I143" s="84"/>
    </row>
    <row r="144" spans="2:9">
      <c r="B144" s="317"/>
      <c r="C144" s="317"/>
      <c r="D144" s="317"/>
      <c r="E144" s="318"/>
      <c r="F144" s="317"/>
      <c r="G144" s="319"/>
      <c r="H144" s="317"/>
      <c r="I144" s="84"/>
    </row>
    <row r="145" spans="2:9">
      <c r="B145" s="317"/>
      <c r="C145" s="317"/>
      <c r="D145" s="317"/>
      <c r="E145" s="318"/>
      <c r="F145" s="317"/>
      <c r="G145" s="319"/>
      <c r="H145" s="317"/>
      <c r="I145" s="84"/>
    </row>
    <row r="146" spans="2:9">
      <c r="B146" s="317"/>
      <c r="C146" s="317"/>
      <c r="D146" s="317"/>
      <c r="E146" s="318"/>
      <c r="F146" s="317"/>
      <c r="G146" s="319"/>
      <c r="H146" s="317"/>
      <c r="I146" s="84"/>
    </row>
    <row r="147" spans="2:9">
      <c r="B147" s="317"/>
      <c r="C147" s="317"/>
      <c r="D147" s="317"/>
      <c r="E147" s="318"/>
      <c r="F147" s="317"/>
      <c r="G147" s="319"/>
      <c r="H147" s="317"/>
      <c r="I147" s="84"/>
    </row>
    <row r="148" spans="2:9">
      <c r="B148" s="317"/>
      <c r="C148" s="317"/>
      <c r="D148" s="317"/>
      <c r="E148" s="318"/>
      <c r="F148" s="317"/>
      <c r="G148" s="319"/>
      <c r="H148" s="317"/>
      <c r="I148" s="84"/>
    </row>
    <row r="149" spans="2:9">
      <c r="B149" s="317"/>
      <c r="C149" s="317"/>
      <c r="D149" s="317"/>
      <c r="E149" s="318"/>
      <c r="F149" s="317"/>
      <c r="G149" s="319"/>
      <c r="H149" s="317"/>
      <c r="I149" s="84"/>
    </row>
    <row r="150" spans="2:9">
      <c r="B150" s="317"/>
      <c r="C150" s="317"/>
      <c r="D150" s="317"/>
      <c r="E150" s="318"/>
      <c r="F150" s="317"/>
      <c r="G150" s="319"/>
      <c r="H150" s="317"/>
      <c r="I150" s="84"/>
    </row>
    <row r="151" spans="2:9">
      <c r="B151" s="317"/>
      <c r="C151" s="317"/>
      <c r="D151" s="317"/>
      <c r="E151" s="318"/>
      <c r="F151" s="317"/>
      <c r="G151" s="319"/>
      <c r="H151" s="317"/>
      <c r="I151" s="84"/>
    </row>
    <row r="152" spans="2:9">
      <c r="B152" s="320"/>
      <c r="C152" s="317"/>
      <c r="D152" s="317"/>
      <c r="E152" s="318"/>
      <c r="F152" s="317"/>
      <c r="G152" s="319"/>
      <c r="H152" s="317"/>
      <c r="I152" s="85"/>
    </row>
    <row r="153" spans="2:9">
      <c r="B153" s="317"/>
      <c r="C153" s="317"/>
      <c r="D153" s="317"/>
      <c r="E153" s="318"/>
      <c r="F153" s="317"/>
      <c r="G153" s="319"/>
      <c r="H153" s="317"/>
      <c r="I153" s="84"/>
    </row>
    <row r="154" spans="2:9">
      <c r="B154" s="317"/>
      <c r="C154" s="317"/>
      <c r="D154" s="317"/>
      <c r="E154" s="318"/>
      <c r="F154" s="322"/>
      <c r="G154" s="319"/>
      <c r="H154" s="317"/>
      <c r="I154" s="84"/>
    </row>
    <row r="155" spans="2:9">
      <c r="B155" s="317"/>
      <c r="C155" s="317"/>
      <c r="D155" s="317"/>
      <c r="E155" s="318"/>
      <c r="F155" s="322"/>
      <c r="G155" s="319"/>
      <c r="H155" s="317"/>
      <c r="I155" s="84"/>
    </row>
    <row r="156" spans="2:9">
      <c r="B156" s="317"/>
      <c r="C156" s="317"/>
      <c r="D156" s="317"/>
      <c r="E156" s="318"/>
      <c r="F156" s="317"/>
      <c r="G156" s="319"/>
      <c r="H156" s="317"/>
      <c r="I156" s="84"/>
    </row>
    <row r="157" spans="2:9">
      <c r="B157" s="317"/>
      <c r="C157" s="317"/>
      <c r="D157" s="317"/>
      <c r="E157" s="318"/>
      <c r="F157" s="317"/>
      <c r="G157" s="319"/>
      <c r="H157" s="317"/>
      <c r="I157" s="84"/>
    </row>
    <row r="158" spans="2:9">
      <c r="B158" s="317"/>
      <c r="C158" s="317"/>
      <c r="D158" s="317"/>
      <c r="E158" s="318"/>
      <c r="F158" s="317"/>
      <c r="G158" s="319"/>
      <c r="H158" s="317"/>
      <c r="I158" s="84"/>
    </row>
    <row r="159" spans="2:9">
      <c r="B159" s="317"/>
      <c r="C159" s="317"/>
      <c r="D159" s="317"/>
      <c r="E159" s="318"/>
      <c r="F159" s="317"/>
      <c r="G159" s="319"/>
      <c r="H159" s="317"/>
      <c r="I159" s="84"/>
    </row>
    <row r="160" spans="2:9">
      <c r="B160" s="317"/>
      <c r="C160" s="317"/>
      <c r="D160" s="317"/>
      <c r="E160" s="318"/>
      <c r="F160" s="317"/>
      <c r="G160" s="319"/>
      <c r="H160" s="317"/>
      <c r="I160" s="84"/>
    </row>
    <row r="161" spans="2:9">
      <c r="B161" s="317"/>
      <c r="C161" s="317"/>
      <c r="D161" s="317"/>
      <c r="E161" s="318"/>
      <c r="F161" s="317"/>
      <c r="G161" s="319"/>
      <c r="H161" s="317"/>
      <c r="I161" s="84"/>
    </row>
    <row r="162" spans="2:9">
      <c r="B162" s="317"/>
      <c r="C162" s="317"/>
      <c r="D162" s="317"/>
      <c r="E162" s="318"/>
      <c r="F162" s="317"/>
      <c r="G162" s="319"/>
      <c r="H162" s="317"/>
      <c r="I162" s="84"/>
    </row>
    <row r="163" spans="2:9">
      <c r="B163" s="317"/>
      <c r="C163" s="317"/>
      <c r="D163" s="317"/>
      <c r="E163" s="318"/>
      <c r="F163" s="322"/>
      <c r="G163" s="319"/>
      <c r="H163" s="317"/>
      <c r="I163" s="84"/>
    </row>
    <row r="164" spans="2:9">
      <c r="B164" s="317"/>
      <c r="C164" s="317"/>
      <c r="D164" s="317"/>
      <c r="E164" s="318"/>
      <c r="F164" s="317"/>
      <c r="G164" s="319"/>
      <c r="H164" s="317"/>
      <c r="I164" s="84"/>
    </row>
    <row r="165" spans="2:9">
      <c r="B165" s="317"/>
      <c r="C165" s="317"/>
      <c r="D165" s="317"/>
      <c r="E165" s="318"/>
      <c r="F165" s="317"/>
      <c r="G165" s="319"/>
      <c r="H165" s="317"/>
      <c r="I165" s="84"/>
    </row>
    <row r="166" spans="2:9">
      <c r="B166" s="317"/>
      <c r="C166" s="317"/>
      <c r="D166" s="317"/>
      <c r="E166" s="318"/>
      <c r="F166" s="317"/>
      <c r="G166" s="319"/>
      <c r="H166" s="317"/>
      <c r="I166" s="84"/>
    </row>
    <row r="167" spans="2:9">
      <c r="B167" s="317"/>
      <c r="C167" s="317"/>
      <c r="D167" s="317"/>
      <c r="E167" s="318"/>
      <c r="F167" s="317"/>
      <c r="G167" s="319"/>
      <c r="H167" s="317"/>
      <c r="I167" s="84"/>
    </row>
    <row r="168" spans="2:9">
      <c r="B168" s="317"/>
      <c r="C168" s="320"/>
      <c r="D168" s="317"/>
      <c r="E168" s="318"/>
      <c r="F168" s="317"/>
      <c r="G168" s="319"/>
      <c r="H168" s="317"/>
      <c r="I168" s="84"/>
    </row>
    <row r="169" spans="2:9" s="87" customFormat="1">
      <c r="B169" s="317"/>
      <c r="C169" s="320"/>
      <c r="D169" s="317"/>
      <c r="E169" s="318"/>
      <c r="F169" s="317"/>
      <c r="G169" s="319"/>
      <c r="H169" s="317"/>
      <c r="I169" s="84"/>
    </row>
    <row r="170" spans="2:9">
      <c r="B170" s="317"/>
      <c r="C170" s="320"/>
      <c r="D170" s="317"/>
      <c r="E170" s="318"/>
      <c r="F170" s="317"/>
      <c r="G170" s="319"/>
      <c r="H170" s="317"/>
      <c r="I170" s="84"/>
    </row>
    <row r="171" spans="2:9">
      <c r="B171" s="317"/>
      <c r="C171" s="331"/>
      <c r="D171" s="317"/>
      <c r="E171" s="318"/>
      <c r="F171" s="331"/>
      <c r="G171" s="319"/>
      <c r="H171" s="317"/>
      <c r="I171" s="84"/>
    </row>
    <row r="172" spans="2:9">
      <c r="B172" s="317"/>
      <c r="C172" s="331"/>
      <c r="D172" s="317"/>
      <c r="E172" s="318"/>
      <c r="F172" s="331"/>
      <c r="G172" s="319"/>
      <c r="H172" s="317"/>
      <c r="I172" s="84"/>
    </row>
    <row r="173" spans="2:9">
      <c r="B173" s="317"/>
      <c r="C173" s="331"/>
      <c r="D173" s="317"/>
      <c r="E173" s="318"/>
      <c r="F173" s="331"/>
      <c r="G173" s="319"/>
      <c r="H173" s="317"/>
      <c r="I173" s="84"/>
    </row>
    <row r="174" spans="2:9">
      <c r="B174" s="317"/>
      <c r="C174" s="331"/>
      <c r="D174" s="317"/>
      <c r="E174" s="318"/>
      <c r="F174" s="331"/>
      <c r="G174" s="319"/>
      <c r="H174" s="317"/>
      <c r="I174" s="84"/>
    </row>
    <row r="175" spans="2:9">
      <c r="B175" s="317"/>
      <c r="C175" s="331"/>
      <c r="D175" s="317"/>
      <c r="E175" s="318"/>
      <c r="F175" s="331"/>
      <c r="G175" s="319"/>
      <c r="H175" s="317"/>
      <c r="I175" s="84"/>
    </row>
    <row r="176" spans="2:9">
      <c r="B176" s="317"/>
      <c r="C176" s="331"/>
      <c r="D176" s="317"/>
      <c r="E176" s="318"/>
      <c r="F176" s="331"/>
      <c r="G176" s="319"/>
      <c r="H176" s="317"/>
      <c r="I176" s="84"/>
    </row>
    <row r="177" spans="2:9">
      <c r="B177" s="317"/>
      <c r="C177" s="331"/>
      <c r="D177" s="317"/>
      <c r="E177" s="318"/>
      <c r="F177" s="331"/>
      <c r="G177" s="319"/>
      <c r="H177" s="317"/>
      <c r="I177" s="84"/>
    </row>
    <row r="178" spans="2:9">
      <c r="B178" s="317"/>
      <c r="C178" s="331"/>
      <c r="D178" s="317"/>
      <c r="E178" s="318"/>
      <c r="F178" s="331"/>
      <c r="G178" s="319"/>
      <c r="H178" s="317"/>
      <c r="I178" s="84"/>
    </row>
    <row r="179" spans="2:9">
      <c r="B179" s="317"/>
      <c r="C179" s="331"/>
      <c r="D179" s="317"/>
      <c r="E179" s="318"/>
      <c r="F179" s="331"/>
      <c r="G179" s="319"/>
      <c r="H179" s="317"/>
      <c r="I179" s="84"/>
    </row>
    <row r="180" spans="2:9">
      <c r="B180" s="317"/>
      <c r="C180" s="317"/>
      <c r="D180" s="317"/>
      <c r="E180" s="318"/>
      <c r="F180" s="322"/>
      <c r="G180" s="319"/>
      <c r="H180" s="317"/>
      <c r="I180" s="84"/>
    </row>
    <row r="181" spans="2:9">
      <c r="B181" s="317"/>
      <c r="C181" s="331"/>
      <c r="D181" s="317"/>
      <c r="E181" s="318"/>
      <c r="F181" s="331"/>
      <c r="G181" s="319"/>
      <c r="H181" s="317"/>
      <c r="I181" s="84"/>
    </row>
    <row r="182" spans="2:9">
      <c r="B182" s="317"/>
      <c r="C182" s="331"/>
      <c r="D182" s="317"/>
      <c r="E182" s="318"/>
      <c r="F182" s="331"/>
      <c r="G182" s="319"/>
      <c r="H182" s="317"/>
      <c r="I182" s="84"/>
    </row>
    <row r="183" spans="2:9">
      <c r="B183" s="317"/>
      <c r="C183" s="331"/>
      <c r="D183" s="317"/>
      <c r="E183" s="318"/>
      <c r="F183" s="331"/>
      <c r="G183" s="319"/>
      <c r="H183" s="317"/>
      <c r="I183" s="84"/>
    </row>
    <row r="184" spans="2:9">
      <c r="B184" s="317"/>
      <c r="C184" s="331"/>
      <c r="D184" s="317"/>
      <c r="E184" s="318"/>
      <c r="F184" s="331"/>
      <c r="G184" s="319"/>
      <c r="H184" s="317"/>
      <c r="I184" s="84"/>
    </row>
    <row r="185" spans="2:9">
      <c r="B185" s="317"/>
      <c r="C185" s="317"/>
      <c r="D185" s="317"/>
      <c r="E185" s="318"/>
      <c r="F185" s="317"/>
      <c r="G185" s="319"/>
      <c r="H185" s="317"/>
      <c r="I185" s="84"/>
    </row>
    <row r="186" spans="2:9">
      <c r="B186" s="317"/>
      <c r="C186" s="331"/>
      <c r="D186" s="317"/>
      <c r="E186" s="318"/>
      <c r="F186" s="322"/>
      <c r="G186" s="319"/>
      <c r="H186" s="317"/>
      <c r="I186" s="84"/>
    </row>
    <row r="187" spans="2:9">
      <c r="B187" s="317"/>
      <c r="C187" s="317"/>
      <c r="D187" s="317"/>
      <c r="E187" s="318"/>
      <c r="F187" s="317"/>
      <c r="G187" s="319"/>
      <c r="H187" s="317"/>
      <c r="I187" s="84"/>
    </row>
    <row r="188" spans="2:9">
      <c r="B188" s="317"/>
      <c r="C188" s="317"/>
      <c r="D188" s="317"/>
      <c r="E188" s="318"/>
      <c r="F188" s="317"/>
      <c r="G188" s="319"/>
      <c r="H188" s="317"/>
      <c r="I188" s="84"/>
    </row>
    <row r="189" spans="2:9">
      <c r="B189" s="317"/>
      <c r="C189" s="317"/>
      <c r="D189" s="317"/>
      <c r="E189" s="318"/>
      <c r="F189" s="317"/>
      <c r="G189" s="319"/>
      <c r="H189" s="317"/>
      <c r="I189" s="84"/>
    </row>
    <row r="190" spans="2:9">
      <c r="B190" s="317"/>
      <c r="C190" s="331"/>
      <c r="D190" s="317"/>
      <c r="E190" s="318"/>
      <c r="F190" s="331"/>
      <c r="G190" s="319"/>
      <c r="H190" s="317"/>
      <c r="I190" s="84"/>
    </row>
    <row r="191" spans="2:9">
      <c r="B191" s="317"/>
      <c r="C191" s="317"/>
      <c r="D191" s="317"/>
      <c r="E191" s="318"/>
      <c r="F191" s="322"/>
      <c r="G191" s="319"/>
      <c r="H191" s="317"/>
      <c r="I191" s="84"/>
    </row>
    <row r="192" spans="2:9">
      <c r="B192" s="317"/>
      <c r="C192" s="331"/>
      <c r="D192" s="317"/>
      <c r="E192" s="318"/>
      <c r="F192" s="331"/>
      <c r="G192" s="331"/>
      <c r="H192" s="317"/>
      <c r="I192" s="84"/>
    </row>
    <row r="193" spans="2:9">
      <c r="B193" s="320"/>
      <c r="C193" s="320"/>
      <c r="D193" s="317"/>
      <c r="E193" s="318"/>
      <c r="F193" s="320"/>
      <c r="G193" s="320"/>
      <c r="H193" s="317"/>
      <c r="I193" s="84"/>
    </row>
    <row r="194" spans="2:9">
      <c r="B194" s="317"/>
      <c r="C194" s="317"/>
      <c r="D194" s="317"/>
      <c r="E194" s="318"/>
      <c r="F194" s="331"/>
      <c r="G194" s="331"/>
      <c r="H194" s="317"/>
      <c r="I194" s="84"/>
    </row>
    <row r="195" spans="2:9">
      <c r="B195" s="317"/>
      <c r="C195" s="317"/>
      <c r="D195" s="317"/>
      <c r="E195" s="318"/>
      <c r="F195" s="331"/>
      <c r="G195" s="319"/>
      <c r="H195" s="317"/>
      <c r="I195" s="84"/>
    </row>
    <row r="196" spans="2:9">
      <c r="B196" s="317"/>
      <c r="C196" s="317"/>
      <c r="D196" s="317"/>
      <c r="E196" s="318"/>
      <c r="F196" s="331"/>
      <c r="G196" s="319"/>
      <c r="H196" s="317"/>
      <c r="I196" s="84"/>
    </row>
    <row r="197" spans="2:9">
      <c r="B197" s="317"/>
      <c r="C197" s="317"/>
      <c r="D197" s="317"/>
      <c r="E197" s="318"/>
      <c r="F197" s="331"/>
      <c r="G197" s="319"/>
      <c r="H197" s="317"/>
      <c r="I197" s="84"/>
    </row>
    <row r="198" spans="2:9">
      <c r="B198" s="317"/>
      <c r="C198" s="317"/>
      <c r="D198" s="317"/>
      <c r="E198" s="318"/>
      <c r="F198" s="331"/>
      <c r="G198" s="319"/>
      <c r="H198" s="317"/>
      <c r="I198" s="84"/>
    </row>
    <row r="199" spans="2:9">
      <c r="B199" s="317"/>
      <c r="C199" s="317"/>
      <c r="D199" s="317"/>
      <c r="E199" s="318"/>
      <c r="F199" s="331"/>
      <c r="G199" s="319"/>
      <c r="H199" s="317"/>
      <c r="I199" s="84"/>
    </row>
    <row r="200" spans="2:9">
      <c r="B200" s="317"/>
      <c r="C200" s="317"/>
      <c r="D200" s="317"/>
      <c r="E200" s="318"/>
      <c r="F200" s="331"/>
      <c r="G200" s="319"/>
      <c r="H200" s="317"/>
      <c r="I200" s="84"/>
    </row>
    <row r="201" spans="2:9">
      <c r="B201" s="317"/>
      <c r="C201" s="317"/>
      <c r="D201" s="317"/>
      <c r="E201" s="318"/>
      <c r="F201" s="331"/>
      <c r="G201" s="319"/>
      <c r="H201" s="317"/>
      <c r="I201" s="84"/>
    </row>
    <row r="202" spans="2:9">
      <c r="B202" s="317"/>
      <c r="C202" s="317"/>
      <c r="D202" s="317"/>
      <c r="E202" s="318"/>
      <c r="F202" s="331"/>
      <c r="G202" s="319"/>
      <c r="H202" s="317"/>
      <c r="I202" s="84"/>
    </row>
    <row r="203" spans="2:9">
      <c r="B203" s="317"/>
      <c r="C203" s="317"/>
      <c r="D203" s="317"/>
      <c r="E203" s="318"/>
      <c r="F203" s="331"/>
      <c r="G203" s="319"/>
      <c r="H203" s="317"/>
      <c r="I203" s="84"/>
    </row>
    <row r="204" spans="2:9">
      <c r="B204" s="334"/>
      <c r="C204" s="335"/>
      <c r="D204" s="317"/>
      <c r="E204" s="336"/>
      <c r="F204" s="334"/>
      <c r="G204" s="337"/>
      <c r="H204" s="317"/>
      <c r="I204" s="84"/>
    </row>
    <row r="205" spans="2:9">
      <c r="B205" s="334"/>
      <c r="C205" s="335"/>
      <c r="D205" s="317"/>
      <c r="E205" s="336"/>
      <c r="F205" s="334"/>
      <c r="G205" s="337"/>
      <c r="H205" s="317"/>
      <c r="I205" s="84"/>
    </row>
    <row r="206" spans="2:9">
      <c r="B206" s="334"/>
      <c r="C206" s="335"/>
      <c r="D206" s="317"/>
      <c r="E206" s="336"/>
      <c r="F206" s="334"/>
      <c r="G206" s="337"/>
      <c r="H206" s="317"/>
      <c r="I206" s="84"/>
    </row>
    <row r="207" spans="2:9">
      <c r="B207" s="334"/>
      <c r="C207" s="335"/>
      <c r="D207" s="317"/>
      <c r="E207" s="336"/>
      <c r="F207" s="334"/>
      <c r="G207" s="337"/>
      <c r="H207" s="317"/>
      <c r="I207" s="84"/>
    </row>
    <row r="208" spans="2:9">
      <c r="B208" s="317"/>
      <c r="C208" s="331"/>
      <c r="D208" s="317"/>
      <c r="E208" s="318"/>
      <c r="F208" s="331"/>
      <c r="G208" s="319"/>
      <c r="H208" s="317"/>
      <c r="I208" s="84"/>
    </row>
    <row r="209" spans="2:9">
      <c r="B209" s="323"/>
      <c r="C209" s="323"/>
      <c r="D209" s="317"/>
      <c r="E209" s="332"/>
      <c r="F209" s="317"/>
      <c r="G209" s="338"/>
      <c r="H209" s="317"/>
      <c r="I209" s="84"/>
    </row>
    <row r="210" spans="2:9">
      <c r="B210" s="323"/>
      <c r="C210" s="323"/>
      <c r="D210" s="317"/>
      <c r="E210" s="332"/>
      <c r="F210" s="317"/>
      <c r="G210" s="338"/>
      <c r="H210" s="317"/>
      <c r="I210" s="84"/>
    </row>
    <row r="211" spans="2:9">
      <c r="B211" s="339"/>
      <c r="C211" s="339"/>
      <c r="D211" s="339"/>
      <c r="E211" s="340"/>
      <c r="F211" s="341"/>
      <c r="G211" s="342"/>
      <c r="H211" s="339"/>
      <c r="I211" s="343"/>
    </row>
    <row r="213" spans="2:9">
      <c r="F213" s="86" t="s">
        <v>21</v>
      </c>
      <c r="G213" s="77" t="e">
        <f ca="1">SUM('PO Log_2'!$G$9:$G$211)</f>
        <v>#N/A</v>
      </c>
    </row>
  </sheetData>
  <mergeCells count="1">
    <mergeCell ref="B4:I4"/>
  </mergeCells>
  <conditionalFormatting sqref="H9:H211">
    <cfRule type="containsText" dxfId="43" priority="1" operator="containsText" text="zzzz">
      <formula>NOT(ISERROR(SEARCH("zzzz",H9)))</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49D7F-408D-824C-837A-35FFDAD13AF7}">
  <sheetPr codeName="Sheet2"/>
  <dimension ref="A1:H213"/>
  <sheetViews>
    <sheetView zoomScale="86" workbookViewId="0">
      <selection activeCell="A11" sqref="A11"/>
    </sheetView>
  </sheetViews>
  <sheetFormatPr baseColWidth="10" defaultRowHeight="16"/>
  <cols>
    <col min="1" max="1" width="11" customWidth="1"/>
    <col min="2" max="2" width="28.1640625" customWidth="1"/>
    <col min="4" max="4" width="10.83203125" customWidth="1"/>
    <col min="5" max="5" width="15.33203125" customWidth="1"/>
    <col min="6" max="6" width="26.6640625" customWidth="1"/>
    <col min="7" max="7" width="41.5" customWidth="1"/>
    <col min="8" max="8" width="20.33203125" customWidth="1"/>
  </cols>
  <sheetData>
    <row r="1" spans="1:8" ht="58" customHeight="1">
      <c r="A1" s="8"/>
      <c r="B1" s="8"/>
      <c r="C1" s="8"/>
      <c r="D1" s="8"/>
      <c r="E1" s="8"/>
      <c r="F1" s="8"/>
      <c r="G1" s="8"/>
      <c r="H1" s="8"/>
    </row>
    <row r="2" spans="1:8">
      <c r="A2" s="10"/>
      <c r="B2" s="10"/>
      <c r="C2" s="11"/>
      <c r="D2" s="12"/>
      <c r="E2" s="10"/>
      <c r="F2" s="13"/>
      <c r="G2" s="10"/>
      <c r="H2" s="9"/>
    </row>
    <row r="3" spans="1:8">
      <c r="A3" s="10"/>
      <c r="B3" s="10"/>
      <c r="C3" s="11"/>
      <c r="D3" s="12"/>
      <c r="E3" s="10"/>
      <c r="F3" s="13"/>
      <c r="G3" s="10"/>
      <c r="H3" s="9"/>
    </row>
    <row r="4" spans="1:8" ht="23">
      <c r="A4" s="96" t="s">
        <v>15</v>
      </c>
      <c r="B4" s="96"/>
      <c r="C4" s="96"/>
      <c r="D4" s="96"/>
      <c r="E4" s="96"/>
      <c r="F4" s="96"/>
      <c r="G4" s="96"/>
      <c r="H4" s="96"/>
    </row>
    <row r="5" spans="1:8">
      <c r="A5" s="14" t="str">
        <f>IF(TRIM(Job_Name)="", "", Job_Name)</f>
        <v/>
      </c>
      <c r="B5" s="10"/>
      <c r="C5" s="11"/>
      <c r="D5" s="12"/>
      <c r="E5" s="10"/>
      <c r="F5" s="13"/>
      <c r="G5" s="11"/>
      <c r="H5" s="9"/>
    </row>
    <row r="6" spans="1:8">
      <c r="A6" s="10" t="str">
        <f>IF(TRIM(Job_Number)="", "", Job_Number)</f>
        <v/>
      </c>
      <c r="B6" s="10"/>
      <c r="C6" s="15"/>
      <c r="D6" s="15"/>
      <c r="E6" s="15"/>
      <c r="F6" s="15"/>
      <c r="G6" s="11"/>
      <c r="H6" s="9"/>
    </row>
    <row r="7" spans="1:8">
      <c r="A7" s="16"/>
      <c r="B7" s="16"/>
      <c r="C7" s="17"/>
      <c r="D7" s="18"/>
      <c r="E7" s="16"/>
      <c r="F7" s="19"/>
      <c r="G7" s="16"/>
      <c r="H7" s="9"/>
    </row>
    <row r="8" spans="1:8">
      <c r="A8" s="78" t="s">
        <v>4</v>
      </c>
      <c r="B8" s="79" t="s">
        <v>16</v>
      </c>
      <c r="C8" s="79" t="s">
        <v>17</v>
      </c>
      <c r="D8" s="80" t="s">
        <v>12</v>
      </c>
      <c r="E8" s="79" t="s">
        <v>18</v>
      </c>
      <c r="F8" s="81" t="s">
        <v>242</v>
      </c>
      <c r="G8" s="82" t="s">
        <v>19</v>
      </c>
      <c r="H8" s="83" t="s">
        <v>20</v>
      </c>
    </row>
    <row r="9" spans="1:8">
      <c r="A9" s="109" t="e" cm="1" vm="1">
        <f t="array" aca="1" ref="A9" ca="1">_xlfn.VSTACK(
    _xlfn.LET(
        _xlpm.poList, PO_Index[PO],
        _xlfn.REDUCE(
            "", _xlpm.poList,
            _xlfn.LAMBDA(_xlpm.a,_xlpm.poNum, _xlfn.VSTACK(_xlpm.a, INDIRECT("'" &amp; _xlpm.poNum &amp; "'!_" &amp; SUBSTITUTE(_xlpm.poNum, "-", "_") &amp; "_table"))))
    )
)</f>
        <v>#VALUE!</v>
      </c>
      <c r="B9" s="109"/>
      <c r="C9" s="109"/>
      <c r="D9" s="110"/>
      <c r="E9" s="109"/>
      <c r="F9" s="112"/>
      <c r="G9" s="109"/>
      <c r="H9" s="134"/>
    </row>
    <row r="10" spans="1:8">
      <c r="A10" s="117" t="e" cm="1" vm="1">
        <f t="array" aca="1" ref="A10" ca="1">_xlfn.VSTACK(
    _xlfn.LET(
        _xlpm.poList, PO_Index[PO],
        _xlfn.REDUCE(
            "", _xlpm.poList,
            _xlfn.LAMBDA(_xlpm.a,_xlpm.poNum, _xlfn.VSTACK(_xlpm.a, INDIRECT("'" &amp; _xlpm.poNum &amp; "'!_" &amp; SUBSTITUTE(_xlpm.poNum, "-", "_") &amp; "_table"))))
    )
)</f>
        <v>#VALUE!</v>
      </c>
      <c r="B10" s="117"/>
      <c r="C10" s="109"/>
      <c r="D10" s="110"/>
      <c r="E10" s="117"/>
      <c r="F10" s="118"/>
      <c r="G10" s="109"/>
      <c r="H10" s="134"/>
    </row>
    <row r="11" spans="1:8">
      <c r="A11" s="109" t="e" cm="1" vm="1">
        <f t="array" aca="1" ref="A11" ca="1">_xlfn.VSTACK(
    _xlfn.LET(
        _xlpm.poList, PO_Index[PO],
        _xlfn.REDUCE(
            "", _xlpm.poList,
            _xlfn.LAMBDA(_xlpm.a,_xlpm.poNum, _xlfn.VSTACK(_xlpm.a, INDIRECT("'" &amp; _xlpm.poNum &amp; "'!_" &amp; SUBSTITUTE(_xlpm.poNum, "-", "_") &amp; "_table"))))
    )
)</f>
        <v>#VALUE!</v>
      </c>
      <c r="B11" s="109"/>
      <c r="C11" s="109"/>
      <c r="D11" s="110"/>
      <c r="E11" s="109"/>
      <c r="F11" s="112"/>
      <c r="G11" s="109"/>
      <c r="H11" s="130"/>
    </row>
    <row r="12" spans="1:8">
      <c r="A12" s="109" t="e" cm="1" vm="1">
        <f t="array" aca="1" ref="A12" ca="1">_xlfn.VSTACK(
    _xlfn.LET(
        _xlpm.poList, PO_Index[PO],
        _xlfn.REDUCE(
            "", _xlpm.poList,
            _xlfn.LAMBDA(_xlpm.a,_xlpm.poNum, _xlfn.VSTACK(_xlpm.a, INDIRECT("'" &amp; _xlpm.poNum &amp; "'!_" &amp; SUBSTITUTE(_xlpm.poNum, "-", "_") &amp; "_table"))))
    )
)</f>
        <v>#VALUE!</v>
      </c>
      <c r="B12" s="109"/>
      <c r="C12" s="109"/>
      <c r="D12" s="110"/>
      <c r="E12" s="109"/>
      <c r="F12" s="112"/>
      <c r="G12" s="109"/>
      <c r="H12" s="130"/>
    </row>
    <row r="13" spans="1:8">
      <c r="A13" s="109" t="e" cm="1" vm="1">
        <f t="array" aca="1" ref="A13" ca="1">_xlfn.VSTACK(
    _xlfn.LET(
        _xlpm.poList, PO_Index[PO],
        _xlfn.REDUCE(
            "", _xlpm.poList,
            _xlfn.LAMBDA(_xlpm.a,_xlpm.poNum, _xlfn.VSTACK(_xlpm.a, INDIRECT("'" &amp; _xlpm.poNum &amp; "'!_" &amp; SUBSTITUTE(_xlpm.poNum, "-", "_") &amp; "_table"))))
    )
)</f>
        <v>#VALUE!</v>
      </c>
      <c r="B13" s="109"/>
      <c r="C13" s="109"/>
      <c r="D13" s="110"/>
      <c r="E13" s="109"/>
      <c r="F13" s="112"/>
      <c r="G13" s="109"/>
      <c r="H13" s="130"/>
    </row>
    <row r="14" spans="1:8">
      <c r="A14" s="109" t="e" cm="1" vm="1">
        <f t="array" aca="1" ref="A14" ca="1">_xlfn.VSTACK(
    _xlfn.LET(
        _xlpm.poList, PO_Index[PO],
        _xlfn.REDUCE(
            "", _xlpm.poList,
            _xlfn.LAMBDA(_xlpm.a,_xlpm.poNum, _xlfn.VSTACK(_xlpm.a, INDIRECT("'" &amp; _xlpm.poNum &amp; "'!_" &amp; SUBSTITUTE(_xlpm.poNum, "-", "_") &amp; "_table"))))
    )
)</f>
        <v>#VALUE!</v>
      </c>
      <c r="B14" s="109"/>
      <c r="C14" s="109"/>
      <c r="D14" s="110"/>
      <c r="E14" s="109"/>
      <c r="F14" s="112"/>
      <c r="G14" s="109"/>
      <c r="H14" s="130"/>
    </row>
    <row r="15" spans="1:8">
      <c r="A15" s="109" t="e" cm="1" vm="1">
        <f t="array" aca="1" ref="A15" ca="1">_xlfn.VSTACK(
    _xlfn.LET(
        _xlpm.poList, PO_Index[PO],
        _xlfn.REDUCE(
            "", _xlpm.poList,
            _xlfn.LAMBDA(_xlpm.a,_xlpm.poNum, _xlfn.VSTACK(_xlpm.a, INDIRECT("'" &amp; _xlpm.poNum &amp; "'!_" &amp; SUBSTITUTE(_xlpm.poNum, "-", "_") &amp; "_table"))))
    )
)</f>
        <v>#VALUE!</v>
      </c>
      <c r="B15" s="109"/>
      <c r="C15" s="109"/>
      <c r="D15" s="110"/>
      <c r="E15" s="109"/>
      <c r="F15" s="112"/>
      <c r="G15" s="109"/>
      <c r="H15" s="130"/>
    </row>
    <row r="16" spans="1:8">
      <c r="A16" s="109" t="e" cm="1" vm="1">
        <f t="array" aca="1" ref="A16" ca="1">_xlfn.VSTACK(
    _xlfn.LET(
        _xlpm.poList, PO_Index[PO],
        _xlfn.REDUCE(
            "", _xlpm.poList,
            _xlfn.LAMBDA(_xlpm.a,_xlpm.poNum, _xlfn.VSTACK(_xlpm.a, INDIRECT("'" &amp; _xlpm.poNum &amp; "'!_" &amp; SUBSTITUTE(_xlpm.poNum, "-", "_") &amp; "_table"))))
    )
)</f>
        <v>#VALUE!</v>
      </c>
      <c r="B16" s="109"/>
      <c r="C16" s="109"/>
      <c r="D16" s="110"/>
      <c r="E16" s="109"/>
      <c r="F16" s="112"/>
      <c r="G16" s="109"/>
      <c r="H16" s="130"/>
    </row>
    <row r="17" spans="1:8">
      <c r="A17" s="109" t="e" cm="1" vm="1">
        <f t="array" aca="1" ref="A17" ca="1">_xlfn.VSTACK(
    _xlfn.LET(
        _xlpm.poList, PO_Index[PO],
        _xlfn.REDUCE(
            "", _xlpm.poList,
            _xlfn.LAMBDA(_xlpm.a,_xlpm.poNum, _xlfn.VSTACK(_xlpm.a, INDIRECT("'" &amp; _xlpm.poNum &amp; "'!_" &amp; SUBSTITUTE(_xlpm.poNum, "-", "_") &amp; "_table"))))
    )
)</f>
        <v>#VALUE!</v>
      </c>
      <c r="B17" s="109"/>
      <c r="C17" s="109"/>
      <c r="D17" s="110"/>
      <c r="E17" s="109"/>
      <c r="F17" s="112"/>
      <c r="G17" s="109"/>
      <c r="H17" s="130"/>
    </row>
    <row r="18" spans="1:8">
      <c r="A18" s="109" t="e" cm="1" vm="1">
        <f t="array" aca="1" ref="A18" ca="1">_xlfn.VSTACK(
    _xlfn.LET(
        _xlpm.poList, PO_Index[PO],
        _xlfn.REDUCE(
            "", _xlpm.poList,
            _xlfn.LAMBDA(_xlpm.a,_xlpm.poNum, _xlfn.VSTACK(_xlpm.a, INDIRECT("'" &amp; _xlpm.poNum &amp; "'!_" &amp; SUBSTITUTE(_xlpm.poNum, "-", "_") &amp; "_table"))))
    )
)</f>
        <v>#VALUE!</v>
      </c>
      <c r="B18" s="109"/>
      <c r="C18" s="109"/>
      <c r="D18" s="110"/>
      <c r="E18" s="119"/>
      <c r="F18" s="112"/>
      <c r="G18" s="132"/>
      <c r="H18" s="135"/>
    </row>
    <row r="19" spans="1:8">
      <c r="A19" s="109" t="e" cm="1" vm="1">
        <f t="array" aca="1" ref="A19" ca="1">_xlfn.VSTACK(
    _xlfn.LET(
        _xlpm.poList, PO_Index[PO],
        _xlfn.REDUCE(
            "", _xlpm.poList,
            _xlfn.LAMBDA(_xlpm.a,_xlpm.poNum, _xlfn.VSTACK(_xlpm.a, INDIRECT("'" &amp; _xlpm.poNum &amp; "'!_" &amp; SUBSTITUTE(_xlpm.poNum, "-", "_") &amp; "_table"))))
    )
)</f>
        <v>#VALUE!</v>
      </c>
      <c r="B19" s="109"/>
      <c r="C19" s="109"/>
      <c r="D19" s="110"/>
      <c r="E19" s="119"/>
      <c r="F19" s="112"/>
      <c r="G19" s="109"/>
      <c r="H19" s="130"/>
    </row>
    <row r="20" spans="1:8">
      <c r="A20" s="109" t="e" cm="1" vm="1">
        <f t="array" aca="1" ref="A20" ca="1">_xlfn.VSTACK(
    _xlfn.LET(
        _xlpm.poList, PO_Index[PO],
        _xlfn.REDUCE(
            "", _xlpm.poList,
            _xlfn.LAMBDA(_xlpm.a,_xlpm.poNum, _xlfn.VSTACK(_xlpm.a, INDIRECT("'" &amp; _xlpm.poNum &amp; "'!_" &amp; SUBSTITUTE(_xlpm.poNum, "-", "_") &amp; "_table"))))
    )
)</f>
        <v>#VALUE!</v>
      </c>
      <c r="B20" s="109"/>
      <c r="C20" s="109"/>
      <c r="D20" s="110"/>
      <c r="E20" s="119"/>
      <c r="F20" s="112"/>
      <c r="G20" s="109"/>
      <c r="H20" s="130"/>
    </row>
    <row r="21" spans="1:8">
      <c r="A21" s="109" t="e" cm="1" vm="1">
        <f t="array" aca="1" ref="A21" ca="1">_xlfn.VSTACK(
    _xlfn.LET(
        _xlpm.poList, PO_Index[PO],
        _xlfn.REDUCE(
            "", _xlpm.poList,
            _xlfn.LAMBDA(_xlpm.a,_xlpm.poNum, _xlfn.VSTACK(_xlpm.a, INDIRECT("'" &amp; _xlpm.poNum &amp; "'!_" &amp; SUBSTITUTE(_xlpm.poNum, "-", "_") &amp; "_table"))))
    )
)</f>
        <v>#VALUE!</v>
      </c>
      <c r="B21" s="109"/>
      <c r="C21" s="109"/>
      <c r="D21" s="110"/>
      <c r="E21" s="119"/>
      <c r="F21" s="112"/>
      <c r="G21" s="109"/>
      <c r="H21" s="130"/>
    </row>
    <row r="22" spans="1:8">
      <c r="A22" s="109" t="e" cm="1" vm="1">
        <f t="array" aca="1" ref="A22" ca="1">_xlfn.VSTACK(
    _xlfn.LET(
        _xlpm.poList, PO_Index[PO],
        _xlfn.REDUCE(
            "", _xlpm.poList,
            _xlfn.LAMBDA(_xlpm.a,_xlpm.poNum, _xlfn.VSTACK(_xlpm.a, INDIRECT("'" &amp; _xlpm.poNum &amp; "'!_" &amp; SUBSTITUTE(_xlpm.poNum, "-", "_") &amp; "_table"))))
    )
)</f>
        <v>#VALUE!</v>
      </c>
      <c r="B22" s="109"/>
      <c r="C22" s="109"/>
      <c r="D22" s="110"/>
      <c r="E22" s="119"/>
      <c r="F22" s="112"/>
      <c r="G22" s="109"/>
      <c r="H22" s="134"/>
    </row>
    <row r="23" spans="1:8">
      <c r="A23" s="109" t="e" cm="1" vm="1">
        <f t="array" aca="1" ref="A23" ca="1">_xlfn.VSTACK(
    _xlfn.LET(
        _xlpm.poList, PO_Index[PO],
        _xlfn.REDUCE(
            "", _xlpm.poList,
            _xlfn.LAMBDA(_xlpm.a,_xlpm.poNum, _xlfn.VSTACK(_xlpm.a, INDIRECT("'" &amp; _xlpm.poNum &amp; "'!_" &amp; SUBSTITUTE(_xlpm.poNum, "-", "_") &amp; "_table"))))
    )
)</f>
        <v>#VALUE!</v>
      </c>
      <c r="B23" s="109"/>
      <c r="C23" s="109"/>
      <c r="D23" s="110"/>
      <c r="E23" s="119"/>
      <c r="F23" s="112"/>
      <c r="G23" s="109"/>
      <c r="H23" s="130"/>
    </row>
    <row r="24" spans="1:8">
      <c r="A24" s="109" t="e" cm="1" vm="1">
        <f t="array" aca="1" ref="A24" ca="1">_xlfn.VSTACK(
    _xlfn.LET(
        _xlpm.poList, PO_Index[PO],
        _xlfn.REDUCE(
            "", _xlpm.poList,
            _xlfn.LAMBDA(_xlpm.a,_xlpm.poNum, _xlfn.VSTACK(_xlpm.a, INDIRECT("'" &amp; _xlpm.poNum &amp; "'!_" &amp; SUBSTITUTE(_xlpm.poNum, "-", "_") &amp; "_table"))))
    )
)</f>
        <v>#VALUE!</v>
      </c>
      <c r="B24" s="109"/>
      <c r="C24" s="109"/>
      <c r="D24" s="110"/>
      <c r="E24" s="119"/>
      <c r="F24" s="112"/>
      <c r="G24" s="109"/>
      <c r="H24" s="130"/>
    </row>
    <row r="25" spans="1:8">
      <c r="A25" s="117" t="e" cm="1" vm="1">
        <f t="array" aca="1" ref="A25" ca="1">_xlfn.VSTACK(
    _xlfn.LET(
        _xlpm.poList, PO_Index[PO],
        _xlfn.REDUCE(
            "", _xlpm.poList,
            _xlfn.LAMBDA(_xlpm.a,_xlpm.poNum, _xlfn.VSTACK(_xlpm.a, INDIRECT("'" &amp; _xlpm.poNum &amp; "'!_" &amp; SUBSTITUTE(_xlpm.poNum, "-", "_") &amp; "_table"))))
    )
)</f>
        <v>#VALUE!</v>
      </c>
      <c r="B25" s="120"/>
      <c r="C25" s="120"/>
      <c r="D25" s="121"/>
      <c r="E25" s="120"/>
      <c r="F25" s="120"/>
      <c r="G25" s="109"/>
      <c r="H25" s="130"/>
    </row>
    <row r="26" spans="1:8">
      <c r="A26" s="117" t="e" cm="1" vm="1">
        <f t="array" aca="1" ref="A26" ca="1">_xlfn.VSTACK(
    _xlfn.LET(
        _xlpm.poList, PO_Index[PO],
        _xlfn.REDUCE(
            "", _xlpm.poList,
            _xlfn.LAMBDA(_xlpm.a,_xlpm.poNum, _xlfn.VSTACK(_xlpm.a, INDIRECT("'" &amp; _xlpm.poNum &amp; "'!_" &amp; SUBSTITUTE(_xlpm.poNum, "-", "_") &amp; "_table"))))
    )
)</f>
        <v>#VALUE!</v>
      </c>
      <c r="B26" s="117"/>
      <c r="C26" s="109"/>
      <c r="D26" s="122"/>
      <c r="E26" s="117"/>
      <c r="F26" s="117"/>
      <c r="G26" s="109"/>
      <c r="H26" s="134"/>
    </row>
    <row r="27" spans="1:8">
      <c r="A27" s="117" t="e" cm="1" vm="1">
        <f t="array" aca="1" ref="A27" ca="1">_xlfn.VSTACK(
    _xlfn.LET(
        _xlpm.poList, PO_Index[PO],
        _xlfn.REDUCE(
            "", _xlpm.poList,
            _xlfn.LAMBDA(_xlpm.a,_xlpm.poNum, _xlfn.VSTACK(_xlpm.a, INDIRECT("'" &amp; _xlpm.poNum &amp; "'!_" &amp; SUBSTITUTE(_xlpm.poNum, "-", "_") &amp; "_table"))))
    )
)</f>
        <v>#VALUE!</v>
      </c>
      <c r="B27" s="117"/>
      <c r="C27" s="109"/>
      <c r="D27" s="110"/>
      <c r="E27" s="117"/>
      <c r="F27" s="117"/>
      <c r="G27" s="109"/>
      <c r="H27" s="130"/>
    </row>
    <row r="28" spans="1:8">
      <c r="A28" s="117" t="e" cm="1" vm="1">
        <f t="array" aca="1" ref="A28" ca="1">_xlfn.VSTACK(
    _xlfn.LET(
        _xlpm.poList, PO_Index[PO],
        _xlfn.REDUCE(
            "", _xlpm.poList,
            _xlfn.LAMBDA(_xlpm.a,_xlpm.poNum, _xlfn.VSTACK(_xlpm.a, INDIRECT("'" &amp; _xlpm.poNum &amp; "'!_" &amp; SUBSTITUTE(_xlpm.poNum, "-", "_") &amp; "_table"))))
    )
)</f>
        <v>#VALUE!</v>
      </c>
      <c r="B28" s="117"/>
      <c r="C28" s="109"/>
      <c r="D28" s="110"/>
      <c r="E28" s="117"/>
      <c r="F28" s="117"/>
      <c r="G28" s="109"/>
      <c r="H28" s="130"/>
    </row>
    <row r="29" spans="1:8">
      <c r="A29" s="117" t="e" cm="1" vm="1">
        <f t="array" aca="1" ref="A29" ca="1">_xlfn.VSTACK(
    _xlfn.LET(
        _xlpm.poList, PO_Index[PO],
        _xlfn.REDUCE(
            "", _xlpm.poList,
            _xlfn.LAMBDA(_xlpm.a,_xlpm.poNum, _xlfn.VSTACK(_xlpm.a, INDIRECT("'" &amp; _xlpm.poNum &amp; "'!_" &amp; SUBSTITUTE(_xlpm.poNum, "-", "_") &amp; "_table"))))
    )
)</f>
        <v>#VALUE!</v>
      </c>
      <c r="B29" s="123"/>
      <c r="C29" s="123"/>
      <c r="D29" s="124"/>
      <c r="E29" s="123"/>
      <c r="F29" s="123"/>
      <c r="G29" s="109"/>
      <c r="H29" s="134"/>
    </row>
    <row r="30" spans="1:8">
      <c r="A30" s="117" t="e" cm="1" vm="1">
        <f t="array" aca="1" ref="A30" ca="1">_xlfn.VSTACK(
    _xlfn.LET(
        _xlpm.poList, PO_Index[PO],
        _xlfn.REDUCE(
            "", _xlpm.poList,
            _xlfn.LAMBDA(_xlpm.a,_xlpm.poNum, _xlfn.VSTACK(_xlpm.a, INDIRECT("'" &amp; _xlpm.poNum &amp; "'!_" &amp; SUBSTITUTE(_xlpm.poNum, "-", "_") &amp; "_table"))))
    )
)</f>
        <v>#VALUE!</v>
      </c>
      <c r="B30" s="117"/>
      <c r="C30" s="109"/>
      <c r="D30" s="110"/>
      <c r="E30" s="117"/>
      <c r="F30" s="117"/>
      <c r="G30" s="109"/>
      <c r="H30" s="130"/>
    </row>
    <row r="31" spans="1:8">
      <c r="A31" s="117" t="e" cm="1" vm="1">
        <f t="array" aca="1" ref="A31" ca="1">_xlfn.VSTACK(
    _xlfn.LET(
        _xlpm.poList, PO_Index[PO],
        _xlfn.REDUCE(
            "", _xlpm.poList,
            _xlfn.LAMBDA(_xlpm.a,_xlpm.poNum, _xlfn.VSTACK(_xlpm.a, INDIRECT("'" &amp; _xlpm.poNum &amp; "'!_" &amp; SUBSTITUTE(_xlpm.poNum, "-", "_") &amp; "_table"))))
    )
)</f>
        <v>#VALUE!</v>
      </c>
      <c r="B31" s="123"/>
      <c r="C31" s="123"/>
      <c r="D31" s="124"/>
      <c r="E31" s="123"/>
      <c r="F31" s="123"/>
      <c r="G31" s="109"/>
      <c r="H31" s="130"/>
    </row>
    <row r="32" spans="1:8">
      <c r="A32" s="117" t="e" cm="1" vm="1">
        <f t="array" aca="1" ref="A32" ca="1">_xlfn.VSTACK(
    _xlfn.LET(
        _xlpm.poList, PO_Index[PO],
        _xlfn.REDUCE(
            "", _xlpm.poList,
            _xlfn.LAMBDA(_xlpm.a,_xlpm.poNum, _xlfn.VSTACK(_xlpm.a, INDIRECT("'" &amp; _xlpm.poNum &amp; "'!_" &amp; SUBSTITUTE(_xlpm.poNum, "-", "_") &amp; "_table"))))
    )
)</f>
        <v>#VALUE!</v>
      </c>
      <c r="B32" s="120"/>
      <c r="C32" s="120"/>
      <c r="D32" s="121"/>
      <c r="E32" s="120"/>
      <c r="F32" s="120"/>
      <c r="G32" s="109"/>
      <c r="H32" s="134"/>
    </row>
    <row r="33" spans="1:8">
      <c r="A33" s="117" t="e" cm="1" vm="1">
        <f t="array" aca="1" ref="A33" ca="1">_xlfn.VSTACK(
    _xlfn.LET(
        _xlpm.poList, PO_Index[PO],
        _xlfn.REDUCE(
            "", _xlpm.poList,
            _xlfn.LAMBDA(_xlpm.a,_xlpm.poNum, _xlfn.VSTACK(_xlpm.a, INDIRECT("'" &amp; _xlpm.poNum &amp; "'!_" &amp; SUBSTITUTE(_xlpm.poNum, "-", "_") &amp; "_table"))))
    )
)</f>
        <v>#VALUE!</v>
      </c>
      <c r="B33" s="117"/>
      <c r="C33" s="109"/>
      <c r="D33" s="110"/>
      <c r="E33" s="117"/>
      <c r="F33" s="117"/>
      <c r="G33" s="109"/>
      <c r="H33" s="130"/>
    </row>
    <row r="34" spans="1:8">
      <c r="A34" s="117" t="e" cm="1" vm="1">
        <f t="array" aca="1" ref="A34" ca="1">_xlfn.VSTACK(
    _xlfn.LET(
        _xlpm.poList, PO_Index[PO],
        _xlfn.REDUCE(
            "", _xlpm.poList,
            _xlfn.LAMBDA(_xlpm.a,_xlpm.poNum, _xlfn.VSTACK(_xlpm.a, INDIRECT("'" &amp; _xlpm.poNum &amp; "'!_" &amp; SUBSTITUTE(_xlpm.poNum, "-", "_") &amp; "_table"))))
    )
)</f>
        <v>#VALUE!</v>
      </c>
      <c r="B34" s="117"/>
      <c r="C34" s="109"/>
      <c r="D34" s="110"/>
      <c r="E34" s="117"/>
      <c r="F34" s="117"/>
      <c r="G34" s="109"/>
      <c r="H34" s="130"/>
    </row>
    <row r="35" spans="1:8">
      <c r="A35" s="109" t="e" cm="1" vm="1">
        <f t="array" aca="1" ref="A35" ca="1">_xlfn.VSTACK(
    _xlfn.LET(
        _xlpm.poList, PO_Index[PO],
        _xlfn.REDUCE(
            "", _xlpm.poList,
            _xlfn.LAMBDA(_xlpm.a,_xlpm.poNum, _xlfn.VSTACK(_xlpm.a, INDIRECT("'" &amp; _xlpm.poNum &amp; "'!_" &amp; SUBSTITUTE(_xlpm.poNum, "-", "_") &amp; "_table"))))
    )
)</f>
        <v>#VALUE!</v>
      </c>
      <c r="B35" s="109"/>
      <c r="C35" s="109"/>
      <c r="D35" s="110"/>
      <c r="E35" s="109"/>
      <c r="F35" s="112"/>
      <c r="G35" s="109"/>
      <c r="H35" s="130"/>
    </row>
    <row r="36" spans="1:8">
      <c r="A36" s="109" t="e" cm="1" vm="1">
        <f t="array" aca="1" ref="A36" ca="1">_xlfn.VSTACK(
    _xlfn.LET(
        _xlpm.poList, PO_Index[PO],
        _xlfn.REDUCE(
            "", _xlpm.poList,
            _xlfn.LAMBDA(_xlpm.a,_xlpm.poNum, _xlfn.VSTACK(_xlpm.a, INDIRECT("'" &amp; _xlpm.poNum &amp; "'!_" &amp; SUBSTITUTE(_xlpm.poNum, "-", "_") &amp; "_table"))))
    )
)</f>
        <v>#VALUE!</v>
      </c>
      <c r="B36" s="109"/>
      <c r="C36" s="109"/>
      <c r="D36" s="110"/>
      <c r="E36" s="109"/>
      <c r="F36" s="112"/>
      <c r="G36" s="109"/>
      <c r="H36" s="130"/>
    </row>
    <row r="37" spans="1:8">
      <c r="A37" s="109" t="e" cm="1" vm="1">
        <f t="array" aca="1" ref="A37" ca="1">_xlfn.VSTACK(
    _xlfn.LET(
        _xlpm.poList, PO_Index[PO],
        _xlfn.REDUCE(
            "", _xlpm.poList,
            _xlfn.LAMBDA(_xlpm.a,_xlpm.poNum, _xlfn.VSTACK(_xlpm.a, INDIRECT("'" &amp; _xlpm.poNum &amp; "'!_" &amp; SUBSTITUTE(_xlpm.poNum, "-", "_") &amp; "_table"))))
    )
)</f>
        <v>#VALUE!</v>
      </c>
      <c r="B37" s="109"/>
      <c r="C37" s="109"/>
      <c r="D37" s="110"/>
      <c r="E37" s="119"/>
      <c r="F37" s="112"/>
      <c r="G37" s="109"/>
      <c r="H37" s="130"/>
    </row>
    <row r="38" spans="1:8">
      <c r="A38" s="109" t="e" cm="1" vm="1">
        <f t="array" aca="1" ref="A38" ca="1">_xlfn.VSTACK(
    _xlfn.LET(
        _xlpm.poList, PO_Index[PO],
        _xlfn.REDUCE(
            "", _xlpm.poList,
            _xlfn.LAMBDA(_xlpm.a,_xlpm.poNum, _xlfn.VSTACK(_xlpm.a, INDIRECT("'" &amp; _xlpm.poNum &amp; "'!_" &amp; SUBSTITUTE(_xlpm.poNum, "-", "_") &amp; "_table"))))
    )
)</f>
        <v>#VALUE!</v>
      </c>
      <c r="B38" s="109"/>
      <c r="C38" s="109"/>
      <c r="D38" s="110"/>
      <c r="E38" s="109"/>
      <c r="F38" s="125"/>
      <c r="G38" s="109"/>
      <c r="H38" s="130"/>
    </row>
    <row r="39" spans="1:8">
      <c r="A39" s="109" t="e" cm="1" vm="1">
        <f t="array" aca="1" ref="A39" ca="1">_xlfn.VSTACK(
    _xlfn.LET(
        _xlpm.poList, PO_Index[PO],
        _xlfn.REDUCE(
            "", _xlpm.poList,
            _xlfn.LAMBDA(_xlpm.a,_xlpm.poNum, _xlfn.VSTACK(_xlpm.a, INDIRECT("'" &amp; _xlpm.poNum &amp; "'!_" &amp; SUBSTITUTE(_xlpm.poNum, "-", "_") &amp; "_table"))))
    )
)</f>
        <v>#VALUE!</v>
      </c>
      <c r="B39" s="109"/>
      <c r="C39" s="109"/>
      <c r="D39" s="110"/>
      <c r="E39" s="119"/>
      <c r="F39" s="112"/>
      <c r="G39" s="109"/>
      <c r="H39" s="130"/>
    </row>
    <row r="40" spans="1:8">
      <c r="A40" s="109" t="e" cm="1" vm="1">
        <f t="array" aca="1" ref="A40" ca="1">_xlfn.VSTACK(
    _xlfn.LET(
        _xlpm.poList, PO_Index[PO],
        _xlfn.REDUCE(
            "", _xlpm.poList,
            _xlfn.LAMBDA(_xlpm.a,_xlpm.poNum, _xlfn.VSTACK(_xlpm.a, INDIRECT("'" &amp; _xlpm.poNum &amp; "'!_" &amp; SUBSTITUTE(_xlpm.poNum, "-", "_") &amp; "_table"))))
    )
)</f>
        <v>#VALUE!</v>
      </c>
      <c r="B40" s="109"/>
      <c r="C40" s="109"/>
      <c r="D40" s="110"/>
      <c r="E40" s="119"/>
      <c r="F40" s="112"/>
      <c r="G40" s="109"/>
      <c r="H40" s="130"/>
    </row>
    <row r="41" spans="1:8">
      <c r="A41" s="109" t="e" cm="1" vm="1">
        <f t="array" aca="1" ref="A41" ca="1">_xlfn.VSTACK(
    _xlfn.LET(
        _xlpm.poList, PO_Index[PO],
        _xlfn.REDUCE(
            "", _xlpm.poList,
            _xlfn.LAMBDA(_xlpm.a,_xlpm.poNum, _xlfn.VSTACK(_xlpm.a, INDIRECT("'" &amp; _xlpm.poNum &amp; "'!_" &amp; SUBSTITUTE(_xlpm.poNum, "-", "_") &amp; "_table"))))
    )
)</f>
        <v>#VALUE!</v>
      </c>
      <c r="B41" s="109"/>
      <c r="C41" s="109"/>
      <c r="D41" s="110"/>
      <c r="E41" s="119"/>
      <c r="F41" s="112"/>
      <c r="G41" s="109"/>
      <c r="H41" s="130"/>
    </row>
    <row r="42" spans="1:8">
      <c r="A42" s="109" t="e" cm="1" vm="1">
        <f t="array" aca="1" ref="A42" ca="1">_xlfn.VSTACK(
    _xlfn.LET(
        _xlpm.poList, PO_Index[PO],
        _xlfn.REDUCE(
            "", _xlpm.poList,
            _xlfn.LAMBDA(_xlpm.a,_xlpm.poNum, _xlfn.VSTACK(_xlpm.a, INDIRECT("'" &amp; _xlpm.poNum &amp; "'!_" &amp; SUBSTITUTE(_xlpm.poNum, "-", "_") &amp; "_table"))))
    )
)</f>
        <v>#VALUE!</v>
      </c>
      <c r="B42" s="109"/>
      <c r="C42" s="109"/>
      <c r="D42" s="110"/>
      <c r="E42" s="109"/>
      <c r="F42" s="112"/>
      <c r="G42" s="109"/>
      <c r="H42" s="130"/>
    </row>
    <row r="43" spans="1:8">
      <c r="A43" s="120" t="e" cm="1" vm="1">
        <f t="array" aca="1" ref="A43" ca="1">_xlfn.VSTACK(
    _xlfn.LET(
        _xlpm.poList, PO_Index[PO],
        _xlfn.REDUCE(
            "", _xlpm.poList,
            _xlfn.LAMBDA(_xlpm.a,_xlpm.poNum, _xlfn.VSTACK(_xlpm.a, INDIRECT("'" &amp; _xlpm.poNum &amp; "'!_" &amp; SUBSTITUTE(_xlpm.poNum, "-", "_") &amp; "_table"))))
    )
)</f>
        <v>#VALUE!</v>
      </c>
      <c r="B43" s="120"/>
      <c r="C43" s="120"/>
      <c r="D43" s="121"/>
      <c r="E43" s="120"/>
      <c r="F43" s="126"/>
      <c r="G43" s="120"/>
      <c r="H43" s="130"/>
    </row>
    <row r="44" spans="1:8">
      <c r="A44" s="109" t="e" cm="1" vm="1">
        <f t="array" aca="1" ref="A44" ca="1">_xlfn.VSTACK(
    _xlfn.LET(
        _xlpm.poList, PO_Index[PO],
        _xlfn.REDUCE(
            "", _xlpm.poList,
            _xlfn.LAMBDA(_xlpm.a,_xlpm.poNum, _xlfn.VSTACK(_xlpm.a, INDIRECT("'" &amp; _xlpm.poNum &amp; "'!_" &amp; SUBSTITUTE(_xlpm.poNum, "-", "_") &amp; "_table"))))
    )
)</f>
        <v>#VALUE!</v>
      </c>
      <c r="B44" s="109"/>
      <c r="C44" s="109"/>
      <c r="D44" s="110"/>
      <c r="E44" s="110"/>
      <c r="F44" s="109"/>
      <c r="G44" s="109"/>
      <c r="H44" s="130"/>
    </row>
    <row r="45" spans="1:8">
      <c r="A45" s="109" t="e" cm="1" vm="1">
        <f t="array" aca="1" ref="A45" ca="1">_xlfn.VSTACK(
    _xlfn.LET(
        _xlpm.poList, PO_Index[PO],
        _xlfn.REDUCE(
            "", _xlpm.poList,
            _xlfn.LAMBDA(_xlpm.a,_xlpm.poNum, _xlfn.VSTACK(_xlpm.a, INDIRECT("'" &amp; _xlpm.poNum &amp; "'!_" &amp; SUBSTITUTE(_xlpm.poNum, "-", "_") &amp; "_table"))))
    )
)</f>
        <v>#VALUE!</v>
      </c>
      <c r="B45" s="109"/>
      <c r="C45" s="109"/>
      <c r="D45" s="110"/>
      <c r="E45" s="110"/>
      <c r="F45" s="109"/>
      <c r="G45" s="109"/>
      <c r="H45" s="130"/>
    </row>
    <row r="46" spans="1:8">
      <c r="A46" s="109" t="e" cm="1" vm="1">
        <f t="array" aca="1" ref="A46" ca="1">_xlfn.VSTACK(
    _xlfn.LET(
        _xlpm.poList, PO_Index[PO],
        _xlfn.REDUCE(
            "", _xlpm.poList,
            _xlfn.LAMBDA(_xlpm.a,_xlpm.poNum, _xlfn.VSTACK(_xlpm.a, INDIRECT("'" &amp; _xlpm.poNum &amp; "'!_" &amp; SUBSTITUTE(_xlpm.poNum, "-", "_") &amp; "_table"))))
    )
)</f>
        <v>#VALUE!</v>
      </c>
      <c r="B46" s="109"/>
      <c r="C46" s="109"/>
      <c r="D46" s="110"/>
      <c r="E46" s="110"/>
      <c r="F46" s="109"/>
      <c r="G46" s="109"/>
      <c r="H46" s="130"/>
    </row>
    <row r="47" spans="1:8">
      <c r="A47" s="117" t="e" cm="1" vm="1">
        <f t="array" aca="1" ref="A47" ca="1">_xlfn.VSTACK(
    _xlfn.LET(
        _xlpm.poList, PO_Index[PO],
        _xlfn.REDUCE(
            "", _xlpm.poList,
            _xlfn.LAMBDA(_xlpm.a,_xlpm.poNum, _xlfn.VSTACK(_xlpm.a, INDIRECT("'" &amp; _xlpm.poNum &amp; "'!_" &amp; SUBSTITUTE(_xlpm.poNum, "-", "_") &amp; "_table"))))
    )
)</f>
        <v>#VALUE!</v>
      </c>
      <c r="B47" s="109"/>
      <c r="C47" s="109"/>
      <c r="D47" s="122"/>
      <c r="E47" s="109"/>
      <c r="F47" s="112"/>
      <c r="G47" s="109"/>
      <c r="H47" s="134"/>
    </row>
    <row r="48" spans="1:8">
      <c r="A48" s="109" t="e" cm="1" vm="1">
        <f t="array" aca="1" ref="A48" ca="1">_xlfn.VSTACK(
    _xlfn.LET(
        _xlpm.poList, PO_Index[PO],
        _xlfn.REDUCE(
            "", _xlpm.poList,
            _xlfn.LAMBDA(_xlpm.a,_xlpm.poNum, _xlfn.VSTACK(_xlpm.a, INDIRECT("'" &amp; _xlpm.poNum &amp; "'!_" &amp; SUBSTITUTE(_xlpm.poNum, "-", "_") &amp; "_table"))))
    )
)</f>
        <v>#VALUE!</v>
      </c>
      <c r="B48" s="109"/>
      <c r="C48" s="109"/>
      <c r="D48" s="122"/>
      <c r="E48" s="109"/>
      <c r="F48" s="112"/>
      <c r="G48" s="109"/>
      <c r="H48" s="130"/>
    </row>
    <row r="49" spans="1:8">
      <c r="A49" s="109" t="e" cm="1" vm="1">
        <f t="array" aca="1" ref="A49" ca="1">_xlfn.VSTACK(
    _xlfn.LET(
        _xlpm.poList, PO_Index[PO],
        _xlfn.REDUCE(
            "", _xlpm.poList,
            _xlfn.LAMBDA(_xlpm.a,_xlpm.poNum, _xlfn.VSTACK(_xlpm.a, INDIRECT("'" &amp; _xlpm.poNum &amp; "'!_" &amp; SUBSTITUTE(_xlpm.poNum, "-", "_") &amp; "_table"))))
    )
)</f>
        <v>#VALUE!</v>
      </c>
      <c r="B49" s="111"/>
      <c r="C49" s="109"/>
      <c r="D49" s="127"/>
      <c r="E49" s="109"/>
      <c r="F49" s="128"/>
      <c r="G49" s="109"/>
      <c r="H49" s="130"/>
    </row>
    <row r="50" spans="1:8">
      <c r="A50" s="109" t="e" cm="1" vm="1">
        <f t="array" aca="1" ref="A50" ca="1">_xlfn.VSTACK(
    _xlfn.LET(
        _xlpm.poList, PO_Index[PO],
        _xlfn.REDUCE(
            "", _xlpm.poList,
            _xlfn.LAMBDA(_xlpm.a,_xlpm.poNum, _xlfn.VSTACK(_xlpm.a, INDIRECT("'" &amp; _xlpm.poNum &amp; "'!_" &amp; SUBSTITUTE(_xlpm.poNum, "-", "_") &amp; "_table"))))
    )
)</f>
        <v>#VALUE!</v>
      </c>
      <c r="B50" s="111"/>
      <c r="C50" s="109"/>
      <c r="D50" s="127"/>
      <c r="E50" s="109"/>
      <c r="F50" s="112"/>
      <c r="G50" s="109"/>
      <c r="H50" s="130"/>
    </row>
    <row r="51" spans="1:8">
      <c r="A51" s="109" t="e" cm="1" vm="1">
        <f t="array" aca="1" ref="A51" ca="1">_xlfn.VSTACK(
    _xlfn.LET(
        _xlpm.poList, PO_Index[PO],
        _xlfn.REDUCE(
            "", _xlpm.poList,
            _xlfn.LAMBDA(_xlpm.a,_xlpm.poNum, _xlfn.VSTACK(_xlpm.a, INDIRECT("'" &amp; _xlpm.poNum &amp; "'!_" &amp; SUBSTITUTE(_xlpm.poNum, "-", "_") &amp; "_table"))))
    )
)</f>
        <v>#VALUE!</v>
      </c>
      <c r="B51" s="111"/>
      <c r="C51" s="109"/>
      <c r="D51" s="110"/>
      <c r="E51" s="109"/>
      <c r="F51" s="112"/>
      <c r="G51" s="109"/>
      <c r="H51" s="130"/>
    </row>
    <row r="52" spans="1:8">
      <c r="A52" s="109" t="e" cm="1" vm="1">
        <f t="array" aca="1" ref="A52" ca="1">_xlfn.VSTACK(
    _xlfn.LET(
        _xlpm.poList, PO_Index[PO],
        _xlfn.REDUCE(
            "", _xlpm.poList,
            _xlfn.LAMBDA(_xlpm.a,_xlpm.poNum, _xlfn.VSTACK(_xlpm.a, INDIRECT("'" &amp; _xlpm.poNum &amp; "'!_" &amp; SUBSTITUTE(_xlpm.poNum, "-", "_") &amp; "_table"))))
    )
)</f>
        <v>#VALUE!</v>
      </c>
      <c r="B52" s="111"/>
      <c r="C52" s="109"/>
      <c r="D52" s="110"/>
      <c r="E52" s="109"/>
      <c r="F52" s="112"/>
      <c r="G52" s="109"/>
      <c r="H52" s="130"/>
    </row>
    <row r="53" spans="1:8">
      <c r="A53" s="109" t="e" cm="1" vm="1">
        <f t="array" aca="1" ref="A53" ca="1">_xlfn.VSTACK(
    _xlfn.LET(
        _xlpm.poList, PO_Index[PO],
        _xlfn.REDUCE(
            "", _xlpm.poList,
            _xlfn.LAMBDA(_xlpm.a,_xlpm.poNum, _xlfn.VSTACK(_xlpm.a, INDIRECT("'" &amp; _xlpm.poNum &amp; "'!_" &amp; SUBSTITUTE(_xlpm.poNum, "-", "_") &amp; "_table"))))
    )
)</f>
        <v>#VALUE!</v>
      </c>
      <c r="B53" s="111"/>
      <c r="C53" s="109"/>
      <c r="D53" s="110"/>
      <c r="E53" s="109"/>
      <c r="F53" s="112"/>
      <c r="G53" s="109"/>
      <c r="H53" s="130"/>
    </row>
    <row r="54" spans="1:8">
      <c r="A54" s="109" t="e" cm="1" vm="1">
        <f t="array" aca="1" ref="A54" ca="1">_xlfn.VSTACK(
    _xlfn.LET(
        _xlpm.poList, PO_Index[PO],
        _xlfn.REDUCE(
            "", _xlpm.poList,
            _xlfn.LAMBDA(_xlpm.a,_xlpm.poNum, _xlfn.VSTACK(_xlpm.a, INDIRECT("'" &amp; _xlpm.poNum &amp; "'!_" &amp; SUBSTITUTE(_xlpm.poNum, "-", "_") &amp; "_table"))))
    )
)</f>
        <v>#VALUE!</v>
      </c>
      <c r="B54" s="109"/>
      <c r="C54" s="109"/>
      <c r="D54" s="127"/>
      <c r="E54" s="119"/>
      <c r="F54" s="112"/>
      <c r="G54" s="109"/>
      <c r="H54" s="130"/>
    </row>
    <row r="55" spans="1:8">
      <c r="A55" s="109" t="e" cm="1" vm="1">
        <f t="array" aca="1" ref="A55" ca="1">_xlfn.VSTACK(
    _xlfn.LET(
        _xlpm.poList, PO_Index[PO],
        _xlfn.REDUCE(
            "", _xlpm.poList,
            _xlfn.LAMBDA(_xlpm.a,_xlpm.poNum, _xlfn.VSTACK(_xlpm.a, INDIRECT("'" &amp; _xlpm.poNum &amp; "'!_" &amp; SUBSTITUTE(_xlpm.poNum, "-", "_") &amp; "_table"))))
    )
)</f>
        <v>#VALUE!</v>
      </c>
      <c r="B55" s="109"/>
      <c r="C55" s="109"/>
      <c r="D55" s="110"/>
      <c r="E55" s="119"/>
      <c r="F55" s="112"/>
      <c r="G55" s="109"/>
      <c r="H55" s="134"/>
    </row>
    <row r="56" spans="1:8">
      <c r="A56" s="109" t="e" cm="1" vm="1">
        <f t="array" aca="1" ref="A56" ca="1">_xlfn.VSTACK(
    _xlfn.LET(
        _xlpm.poList, PO_Index[PO],
        _xlfn.REDUCE(
            "", _xlpm.poList,
            _xlfn.LAMBDA(_xlpm.a,_xlpm.poNum, _xlfn.VSTACK(_xlpm.a, INDIRECT("'" &amp; _xlpm.poNum &amp; "'!_" &amp; SUBSTITUTE(_xlpm.poNum, "-", "_") &amp; "_table"))))
    )
)</f>
        <v>#VALUE!</v>
      </c>
      <c r="B56" s="109"/>
      <c r="C56" s="109"/>
      <c r="D56" s="110"/>
      <c r="E56" s="109"/>
      <c r="F56" s="112"/>
      <c r="G56" s="109"/>
      <c r="H56" s="130"/>
    </row>
    <row r="57" spans="1:8">
      <c r="A57" s="109" t="e" cm="1" vm="1">
        <f t="array" aca="1" ref="A57" ca="1">_xlfn.VSTACK(
    _xlfn.LET(
        _xlpm.poList, PO_Index[PO],
        _xlfn.REDUCE(
            "", _xlpm.poList,
            _xlfn.LAMBDA(_xlpm.a,_xlpm.poNum, _xlfn.VSTACK(_xlpm.a, INDIRECT("'" &amp; _xlpm.poNum &amp; "'!_" &amp; SUBSTITUTE(_xlpm.poNum, "-", "_") &amp; "_table"))))
    )
)</f>
        <v>#VALUE!</v>
      </c>
      <c r="B57" s="109"/>
      <c r="C57" s="109"/>
      <c r="D57" s="110"/>
      <c r="E57" s="119"/>
      <c r="F57" s="112"/>
      <c r="G57" s="109"/>
      <c r="H57" s="130"/>
    </row>
    <row r="58" spans="1:8">
      <c r="A58" s="109" t="e" cm="1" vm="1">
        <f t="array" aca="1" ref="A58" ca="1">_xlfn.VSTACK(
    _xlfn.LET(
        _xlpm.poList, PO_Index[PO],
        _xlfn.REDUCE(
            "", _xlpm.poList,
            _xlfn.LAMBDA(_xlpm.a,_xlpm.poNum, _xlfn.VSTACK(_xlpm.a, INDIRECT("'" &amp; _xlpm.poNum &amp; "'!_" &amp; SUBSTITUTE(_xlpm.poNum, "-", "_") &amp; "_table"))))
    )
)</f>
        <v>#VALUE!</v>
      </c>
      <c r="B58" s="109"/>
      <c r="C58" s="109"/>
      <c r="D58" s="110"/>
      <c r="E58" s="111"/>
      <c r="F58" s="112"/>
      <c r="G58" s="109"/>
      <c r="H58" s="130"/>
    </row>
    <row r="59" spans="1:8">
      <c r="A59" s="109" t="e" cm="1" vm="1">
        <f t="array" aca="1" ref="A59" ca="1">_xlfn.VSTACK(
    _xlfn.LET(
        _xlpm.poList, PO_Index[PO],
        _xlfn.REDUCE(
            "", _xlpm.poList,
            _xlfn.LAMBDA(_xlpm.a,_xlpm.poNum, _xlfn.VSTACK(_xlpm.a, INDIRECT("'" &amp; _xlpm.poNum &amp; "'!_" &amp; SUBSTITUTE(_xlpm.poNum, "-", "_") &amp; "_table"))))
    )
)</f>
        <v>#VALUE!</v>
      </c>
      <c r="B59" s="109"/>
      <c r="C59" s="109"/>
      <c r="D59" s="110"/>
      <c r="E59" s="119"/>
      <c r="F59" s="112"/>
      <c r="G59" s="109"/>
      <c r="H59" s="130"/>
    </row>
    <row r="60" spans="1:8">
      <c r="A60" s="109" t="e" cm="1" vm="1">
        <f t="array" aca="1" ref="A60" ca="1">_xlfn.VSTACK(
    _xlfn.LET(
        _xlpm.poList, PO_Index[PO],
        _xlfn.REDUCE(
            "", _xlpm.poList,
            _xlfn.LAMBDA(_xlpm.a,_xlpm.poNum, _xlfn.VSTACK(_xlpm.a, INDIRECT("'" &amp; _xlpm.poNum &amp; "'!_" &amp; SUBSTITUTE(_xlpm.poNum, "-", "_") &amp; "_table"))))
    )
)</f>
        <v>#VALUE!</v>
      </c>
      <c r="B60" s="109"/>
      <c r="C60" s="109"/>
      <c r="D60" s="110"/>
      <c r="E60" s="119"/>
      <c r="F60" s="112"/>
      <c r="G60" s="109"/>
      <c r="H60" s="130"/>
    </row>
    <row r="61" spans="1:8">
      <c r="A61" s="109" t="e" cm="1" vm="1">
        <f t="array" aca="1" ref="A61" ca="1">_xlfn.VSTACK(
    _xlfn.LET(
        _xlpm.poList, PO_Index[PO],
        _xlfn.REDUCE(
            "", _xlpm.poList,
            _xlfn.LAMBDA(_xlpm.a,_xlpm.poNum, _xlfn.VSTACK(_xlpm.a, INDIRECT("'" &amp; _xlpm.poNum &amp; "'!_" &amp; SUBSTITUTE(_xlpm.poNum, "-", "_") &amp; "_table"))))
    )
)</f>
        <v>#VALUE!</v>
      </c>
      <c r="B61" s="109"/>
      <c r="C61" s="109"/>
      <c r="D61" s="110"/>
      <c r="E61" s="119"/>
      <c r="F61" s="112"/>
      <c r="G61" s="109"/>
      <c r="H61" s="130"/>
    </row>
    <row r="62" spans="1:8">
      <c r="A62" s="109" t="e" cm="1" vm="1">
        <f t="array" aca="1" ref="A62" ca="1">_xlfn.VSTACK(
    _xlfn.LET(
        _xlpm.poList, PO_Index[PO],
        _xlfn.REDUCE(
            "", _xlpm.poList,
            _xlfn.LAMBDA(_xlpm.a,_xlpm.poNum, _xlfn.VSTACK(_xlpm.a, INDIRECT("'" &amp; _xlpm.poNum &amp; "'!_" &amp; SUBSTITUTE(_xlpm.poNum, "-", "_") &amp; "_table"))))
    )
)</f>
        <v>#VALUE!</v>
      </c>
      <c r="B62" s="109"/>
      <c r="C62" s="109"/>
      <c r="D62" s="121"/>
      <c r="E62" s="119"/>
      <c r="F62" s="112"/>
      <c r="G62" s="109"/>
      <c r="H62" s="130"/>
    </row>
    <row r="63" spans="1:8">
      <c r="A63" s="109" t="e" cm="1" vm="1">
        <f t="array" aca="1" ref="A63" ca="1">_xlfn.VSTACK(
    _xlfn.LET(
        _xlpm.poList, PO_Index[PO],
        _xlfn.REDUCE(
            "", _xlpm.poList,
            _xlfn.LAMBDA(_xlpm.a,_xlpm.poNum, _xlfn.VSTACK(_xlpm.a, INDIRECT("'" &amp; _xlpm.poNum &amp; "'!_" &amp; SUBSTITUTE(_xlpm.poNum, "-", "_") &amp; "_table"))))
    )
)</f>
        <v>#VALUE!</v>
      </c>
      <c r="B63" s="109"/>
      <c r="C63" s="109"/>
      <c r="D63" s="110"/>
      <c r="E63" s="119"/>
      <c r="F63" s="112"/>
      <c r="G63" s="109"/>
      <c r="H63" s="130"/>
    </row>
    <row r="64" spans="1:8">
      <c r="A64" s="109" t="e" cm="1" vm="1">
        <f t="array" aca="1" ref="A64" ca="1">_xlfn.VSTACK(
    _xlfn.LET(
        _xlpm.poList, PO_Index[PO],
        _xlfn.REDUCE(
            "", _xlpm.poList,
            _xlfn.LAMBDA(_xlpm.a,_xlpm.poNum, _xlfn.VSTACK(_xlpm.a, INDIRECT("'" &amp; _xlpm.poNum &amp; "'!_" &amp; SUBSTITUTE(_xlpm.poNum, "-", "_") &amp; "_table"))))
    )
)</f>
        <v>#VALUE!</v>
      </c>
      <c r="B64" s="109"/>
      <c r="C64" s="109"/>
      <c r="D64" s="110"/>
      <c r="E64" s="119"/>
      <c r="F64" s="112"/>
      <c r="G64" s="109"/>
      <c r="H64" s="130"/>
    </row>
    <row r="65" spans="1:8">
      <c r="A65" s="109" t="e" cm="1" vm="1">
        <f t="array" aca="1" ref="A65" ca="1">_xlfn.VSTACK(
    _xlfn.LET(
        _xlpm.poList, PO_Index[PO],
        _xlfn.REDUCE(
            "", _xlpm.poList,
            _xlfn.LAMBDA(_xlpm.a,_xlpm.poNum, _xlfn.VSTACK(_xlpm.a, INDIRECT("'" &amp; _xlpm.poNum &amp; "'!_" &amp; SUBSTITUTE(_xlpm.poNum, "-", "_") &amp; "_table"))))
    )
)</f>
        <v>#VALUE!</v>
      </c>
      <c r="B65" s="109"/>
      <c r="C65" s="109"/>
      <c r="D65" s="110"/>
      <c r="E65" s="109"/>
      <c r="F65" s="112"/>
      <c r="G65" s="109"/>
      <c r="H65" s="130"/>
    </row>
    <row r="66" spans="1:8">
      <c r="A66" s="109" t="e" cm="1" vm="1">
        <f t="array" aca="1" ref="A66" ca="1">_xlfn.VSTACK(
    _xlfn.LET(
        _xlpm.poList, PO_Index[PO],
        _xlfn.REDUCE(
            "", _xlpm.poList,
            _xlfn.LAMBDA(_xlpm.a,_xlpm.poNum, _xlfn.VSTACK(_xlpm.a, INDIRECT("'" &amp; _xlpm.poNum &amp; "'!_" &amp; SUBSTITUTE(_xlpm.poNum, "-", "_") &amp; "_table"))))
    )
)</f>
        <v>#VALUE!</v>
      </c>
      <c r="B66" s="109"/>
      <c r="C66" s="109"/>
      <c r="D66" s="110"/>
      <c r="E66" s="119"/>
      <c r="F66" s="112"/>
      <c r="G66" s="109"/>
      <c r="H66" s="130"/>
    </row>
    <row r="67" spans="1:8">
      <c r="A67" s="109" t="e" cm="1" vm="1">
        <f t="array" aca="1" ref="A67" ca="1">_xlfn.VSTACK(
    _xlfn.LET(
        _xlpm.poList, PO_Index[PO],
        _xlfn.REDUCE(
            "", _xlpm.poList,
            _xlfn.LAMBDA(_xlpm.a,_xlpm.poNum, _xlfn.VSTACK(_xlpm.a, INDIRECT("'" &amp; _xlpm.poNum &amp; "'!_" &amp; SUBSTITUTE(_xlpm.poNum, "-", "_") &amp; "_table"))))
    )
)</f>
        <v>#VALUE!</v>
      </c>
      <c r="B67" s="109"/>
      <c r="C67" s="109"/>
      <c r="D67" s="122"/>
      <c r="E67" s="117"/>
      <c r="F67" s="112"/>
      <c r="G67" s="109"/>
      <c r="H67" s="134"/>
    </row>
    <row r="68" spans="1:8">
      <c r="A68" s="109" t="e" cm="1" vm="1">
        <f t="array" aca="1" ref="A68" ca="1">_xlfn.VSTACK(
    _xlfn.LET(
        _xlpm.poList, PO_Index[PO],
        _xlfn.REDUCE(
            "", _xlpm.poList,
            _xlfn.LAMBDA(_xlpm.a,_xlpm.poNum, _xlfn.VSTACK(_xlpm.a, INDIRECT("'" &amp; _xlpm.poNum &amp; "'!_" &amp; SUBSTITUTE(_xlpm.poNum, "-", "_") &amp; "_table"))))
    )
)</f>
        <v>#VALUE!</v>
      </c>
      <c r="B68" s="109"/>
      <c r="C68" s="109"/>
      <c r="D68" s="121"/>
      <c r="E68" s="119"/>
      <c r="F68" s="112"/>
      <c r="G68" s="109"/>
      <c r="H68" s="130"/>
    </row>
    <row r="69" spans="1:8">
      <c r="A69" s="109" t="e" cm="1" vm="1">
        <f t="array" aca="1" ref="A69" ca="1">_xlfn.VSTACK(
    _xlfn.LET(
        _xlpm.poList, PO_Index[PO],
        _xlfn.REDUCE(
            "", _xlpm.poList,
            _xlfn.LAMBDA(_xlpm.a,_xlpm.poNum, _xlfn.VSTACK(_xlpm.a, INDIRECT("'" &amp; _xlpm.poNum &amp; "'!_" &amp; SUBSTITUTE(_xlpm.poNum, "-", "_") &amp; "_table"))))
    )
)</f>
        <v>#VALUE!</v>
      </c>
      <c r="B69" s="109"/>
      <c r="C69" s="109"/>
      <c r="D69" s="110"/>
      <c r="E69" s="109"/>
      <c r="F69" s="112"/>
      <c r="G69" s="109"/>
      <c r="H69" s="130"/>
    </row>
    <row r="70" spans="1:8">
      <c r="A70" s="109" t="e" cm="1" vm="1">
        <f t="array" aca="1" ref="A70" ca="1">_xlfn.VSTACK(
    _xlfn.LET(
        _xlpm.poList, PO_Index[PO],
        _xlfn.REDUCE(
            "", _xlpm.poList,
            _xlfn.LAMBDA(_xlpm.a,_xlpm.poNum, _xlfn.VSTACK(_xlpm.a, INDIRECT("'" &amp; _xlpm.poNum &amp; "'!_" &amp; SUBSTITUTE(_xlpm.poNum, "-", "_") &amp; "_table"))))
    )
)</f>
        <v>#VALUE!</v>
      </c>
      <c r="B70" s="109"/>
      <c r="C70" s="109"/>
      <c r="D70" s="110"/>
      <c r="E70" s="109"/>
      <c r="F70" s="112"/>
      <c r="G70" s="109"/>
      <c r="H70" s="130"/>
    </row>
    <row r="71" spans="1:8">
      <c r="A71" s="109" t="e" cm="1" vm="1">
        <f t="array" aca="1" ref="A71" ca="1">_xlfn.VSTACK(
    _xlfn.LET(
        _xlpm.poList, PO_Index[PO],
        _xlfn.REDUCE(
            "", _xlpm.poList,
            _xlfn.LAMBDA(_xlpm.a,_xlpm.poNum, _xlfn.VSTACK(_xlpm.a, INDIRECT("'" &amp; _xlpm.poNum &amp; "'!_" &amp; SUBSTITUTE(_xlpm.poNum, "-", "_") &amp; "_table"))))
    )
)</f>
        <v>#VALUE!</v>
      </c>
      <c r="B71" s="109"/>
      <c r="C71" s="109"/>
      <c r="D71" s="110"/>
      <c r="E71" s="109"/>
      <c r="F71" s="112"/>
      <c r="G71" s="109"/>
      <c r="H71" s="130"/>
    </row>
    <row r="72" spans="1:8">
      <c r="A72" s="109" t="e" cm="1" vm="1">
        <f t="array" aca="1" ref="A72" ca="1">_xlfn.VSTACK(
    _xlfn.LET(
        _xlpm.poList, PO_Index[PO],
        _xlfn.REDUCE(
            "", _xlpm.poList,
            _xlfn.LAMBDA(_xlpm.a,_xlpm.poNum, _xlfn.VSTACK(_xlpm.a, INDIRECT("'" &amp; _xlpm.poNum &amp; "'!_" &amp; SUBSTITUTE(_xlpm.poNum, "-", "_") &amp; "_table"))))
    )
)</f>
        <v>#VALUE!</v>
      </c>
      <c r="B72" s="109"/>
      <c r="C72" s="109"/>
      <c r="D72" s="110"/>
      <c r="E72" s="109"/>
      <c r="F72" s="112"/>
      <c r="G72" s="109"/>
      <c r="H72" s="130"/>
    </row>
    <row r="73" spans="1:8">
      <c r="A73" s="109" t="e" cm="1" vm="1">
        <f t="array" aca="1" ref="A73" ca="1">_xlfn.VSTACK(
    _xlfn.LET(
        _xlpm.poList, PO_Index[PO],
        _xlfn.REDUCE(
            "", _xlpm.poList,
            _xlfn.LAMBDA(_xlpm.a,_xlpm.poNum, _xlfn.VSTACK(_xlpm.a, INDIRECT("'" &amp; _xlpm.poNum &amp; "'!_" &amp; SUBSTITUTE(_xlpm.poNum, "-", "_") &amp; "_table"))))
    )
)</f>
        <v>#VALUE!</v>
      </c>
      <c r="B73" s="109"/>
      <c r="C73" s="109"/>
      <c r="D73" s="110"/>
      <c r="E73" s="109"/>
      <c r="F73" s="112"/>
      <c r="G73" s="109"/>
      <c r="H73" s="130"/>
    </row>
    <row r="74" spans="1:8">
      <c r="A74" s="109" t="e" cm="1" vm="1">
        <f t="array" aca="1" ref="A74" ca="1">_xlfn.VSTACK(
    _xlfn.LET(
        _xlpm.poList, PO_Index[PO],
        _xlfn.REDUCE(
            "", _xlpm.poList,
            _xlfn.LAMBDA(_xlpm.a,_xlpm.poNum, _xlfn.VSTACK(_xlpm.a, INDIRECT("'" &amp; _xlpm.poNum &amp; "'!_" &amp; SUBSTITUTE(_xlpm.poNum, "-", "_") &amp; "_table"))))
    )
)</f>
        <v>#VALUE!</v>
      </c>
      <c r="B74" s="109"/>
      <c r="C74" s="109"/>
      <c r="D74" s="110"/>
      <c r="E74" s="109"/>
      <c r="F74" s="112"/>
      <c r="G74" s="109"/>
      <c r="H74" s="130"/>
    </row>
    <row r="75" spans="1:8">
      <c r="A75" s="117" t="e" cm="1" vm="1">
        <f t="array" aca="1" ref="A75" ca="1">_xlfn.VSTACK(
    _xlfn.LET(
        _xlpm.poList, PO_Index[PO],
        _xlfn.REDUCE(
            "", _xlpm.poList,
            _xlfn.LAMBDA(_xlpm.a,_xlpm.poNum, _xlfn.VSTACK(_xlpm.a, INDIRECT("'" &amp; _xlpm.poNum &amp; "'!_" &amp; SUBSTITUTE(_xlpm.poNum, "-", "_") &amp; "_table"))))
    )
)</f>
        <v>#VALUE!</v>
      </c>
      <c r="B75" s="109"/>
      <c r="C75" s="109"/>
      <c r="D75" s="110"/>
      <c r="E75" s="109"/>
      <c r="F75" s="112"/>
      <c r="G75" s="109"/>
      <c r="H75" s="130"/>
    </row>
    <row r="76" spans="1:8">
      <c r="A76" s="117" t="e" cm="1" vm="1">
        <f t="array" aca="1" ref="A76" ca="1">_xlfn.VSTACK(
    _xlfn.LET(
        _xlpm.poList, PO_Index[PO],
        _xlfn.REDUCE(
            "", _xlpm.poList,
            _xlfn.LAMBDA(_xlpm.a,_xlpm.poNum, _xlfn.VSTACK(_xlpm.a, INDIRECT("'" &amp; _xlpm.poNum &amp; "'!_" &amp; SUBSTITUTE(_xlpm.poNum, "-", "_") &amp; "_table"))))
    )
)</f>
        <v>#VALUE!</v>
      </c>
      <c r="B76" s="109"/>
      <c r="C76" s="109"/>
      <c r="D76" s="110"/>
      <c r="E76" s="109"/>
      <c r="F76" s="112"/>
      <c r="G76" s="109"/>
      <c r="H76" s="130"/>
    </row>
    <row r="77" spans="1:8">
      <c r="A77" s="117" t="e" cm="1" vm="1">
        <f t="array" aca="1" ref="A77" ca="1">_xlfn.VSTACK(
    _xlfn.LET(
        _xlpm.poList, PO_Index[PO],
        _xlfn.REDUCE(
            "", _xlpm.poList,
            _xlfn.LAMBDA(_xlpm.a,_xlpm.poNum, _xlfn.VSTACK(_xlpm.a, INDIRECT("'" &amp; _xlpm.poNum &amp; "'!_" &amp; SUBSTITUTE(_xlpm.poNum, "-", "_") &amp; "_table"))))
    )
)</f>
        <v>#VALUE!</v>
      </c>
      <c r="B77" s="109"/>
      <c r="C77" s="109"/>
      <c r="D77" s="110"/>
      <c r="E77" s="109"/>
      <c r="F77" s="112"/>
      <c r="G77" s="109"/>
      <c r="H77" s="130"/>
    </row>
    <row r="78" spans="1:8">
      <c r="A78" s="109" t="e" cm="1" vm="1">
        <f t="array" aca="1" ref="A78" ca="1">_xlfn.VSTACK(
    _xlfn.LET(
        _xlpm.poList, PO_Index[PO],
        _xlfn.REDUCE(
            "", _xlpm.poList,
            _xlfn.LAMBDA(_xlpm.a,_xlpm.poNum, _xlfn.VSTACK(_xlpm.a, INDIRECT("'" &amp; _xlpm.poNum &amp; "'!_" &amp; SUBSTITUTE(_xlpm.poNum, "-", "_") &amp; "_table"))))
    )
)</f>
        <v>#VALUE!</v>
      </c>
      <c r="B78" s="109"/>
      <c r="C78" s="109"/>
      <c r="D78" s="110"/>
      <c r="E78" s="109"/>
      <c r="F78" s="112"/>
      <c r="G78" s="109"/>
      <c r="H78" s="130"/>
    </row>
    <row r="79" spans="1:8">
      <c r="A79" s="109" t="e" cm="1" vm="1">
        <f t="array" aca="1" ref="A79" ca="1">_xlfn.VSTACK(
    _xlfn.LET(
        _xlpm.poList, PO_Index[PO],
        _xlfn.REDUCE(
            "", _xlpm.poList,
            _xlfn.LAMBDA(_xlpm.a,_xlpm.poNum, _xlfn.VSTACK(_xlpm.a, INDIRECT("'" &amp; _xlpm.poNum &amp; "'!_" &amp; SUBSTITUTE(_xlpm.poNum, "-", "_") &amp; "_table"))))
    )
)</f>
        <v>#VALUE!</v>
      </c>
      <c r="B79" s="109"/>
      <c r="C79" s="109"/>
      <c r="D79" s="110"/>
      <c r="E79" s="109"/>
      <c r="F79" s="112"/>
      <c r="G79" s="109"/>
      <c r="H79" s="130"/>
    </row>
    <row r="80" spans="1:8">
      <c r="A80" s="109" t="e" cm="1" vm="1">
        <f t="array" aca="1" ref="A80" ca="1">_xlfn.VSTACK(
    _xlfn.LET(
        _xlpm.poList, PO_Index[PO],
        _xlfn.REDUCE(
            "", _xlpm.poList,
            _xlfn.LAMBDA(_xlpm.a,_xlpm.poNum, _xlfn.VSTACK(_xlpm.a, INDIRECT("'" &amp; _xlpm.poNum &amp; "'!_" &amp; SUBSTITUTE(_xlpm.poNum, "-", "_") &amp; "_table"))))
    )
)</f>
        <v>#VALUE!</v>
      </c>
      <c r="B80" s="109"/>
      <c r="C80" s="109"/>
      <c r="D80" s="110"/>
      <c r="E80" s="109"/>
      <c r="F80" s="112"/>
      <c r="G80" s="109"/>
      <c r="H80" s="130"/>
    </row>
    <row r="81" spans="1:8">
      <c r="A81" s="109" t="e" cm="1" vm="1">
        <f t="array" aca="1" ref="A81" ca="1">_xlfn.VSTACK(
    _xlfn.LET(
        _xlpm.poList, PO_Index[PO],
        _xlfn.REDUCE(
            "", _xlpm.poList,
            _xlfn.LAMBDA(_xlpm.a,_xlpm.poNum, _xlfn.VSTACK(_xlpm.a, INDIRECT("'" &amp; _xlpm.poNum &amp; "'!_" &amp; SUBSTITUTE(_xlpm.poNum, "-", "_") &amp; "_table"))))
    )
)</f>
        <v>#VALUE!</v>
      </c>
      <c r="B81" s="109"/>
      <c r="C81" s="109"/>
      <c r="D81" s="110"/>
      <c r="E81" s="109"/>
      <c r="F81" s="112"/>
      <c r="G81" s="109"/>
      <c r="H81" s="130"/>
    </row>
    <row r="82" spans="1:8">
      <c r="A82" s="109" t="e" cm="1" vm="1">
        <f t="array" aca="1" ref="A82" ca="1">_xlfn.VSTACK(
    _xlfn.LET(
        _xlpm.poList, PO_Index[PO],
        _xlfn.REDUCE(
            "", _xlpm.poList,
            _xlfn.LAMBDA(_xlpm.a,_xlpm.poNum, _xlfn.VSTACK(_xlpm.a, INDIRECT("'" &amp; _xlpm.poNum &amp; "'!_" &amp; SUBSTITUTE(_xlpm.poNum, "-", "_") &amp; "_table"))))
    )
)</f>
        <v>#VALUE!</v>
      </c>
      <c r="B82" s="109"/>
      <c r="C82" s="109"/>
      <c r="D82" s="110"/>
      <c r="E82" s="109"/>
      <c r="F82" s="112"/>
      <c r="G82" s="109"/>
      <c r="H82" s="130"/>
    </row>
    <row r="83" spans="1:8">
      <c r="A83" s="109" t="e" cm="1" vm="1">
        <f t="array" aca="1" ref="A83" ca="1">_xlfn.VSTACK(
    _xlfn.LET(
        _xlpm.poList, PO_Index[PO],
        _xlfn.REDUCE(
            "", _xlpm.poList,
            _xlfn.LAMBDA(_xlpm.a,_xlpm.poNum, _xlfn.VSTACK(_xlpm.a, INDIRECT("'" &amp; _xlpm.poNum &amp; "'!_" &amp; SUBSTITUTE(_xlpm.poNum, "-", "_") &amp; "_table"))))
    )
)</f>
        <v>#VALUE!</v>
      </c>
      <c r="B83" s="109"/>
      <c r="C83" s="109"/>
      <c r="D83" s="110"/>
      <c r="E83" s="109"/>
      <c r="F83" s="112"/>
      <c r="G83" s="109"/>
      <c r="H83" s="130"/>
    </row>
    <row r="84" spans="1:8">
      <c r="A84" s="109" t="e" cm="1" vm="1">
        <f t="array" aca="1" ref="A84" ca="1">_xlfn.VSTACK(
    _xlfn.LET(
        _xlpm.poList, PO_Index[PO],
        _xlfn.REDUCE(
            "", _xlpm.poList,
            _xlfn.LAMBDA(_xlpm.a,_xlpm.poNum, _xlfn.VSTACK(_xlpm.a, INDIRECT("'" &amp; _xlpm.poNum &amp; "'!_" &amp; SUBSTITUTE(_xlpm.poNum, "-", "_") &amp; "_table"))))
    )
)</f>
        <v>#VALUE!</v>
      </c>
      <c r="B84" s="109"/>
      <c r="C84" s="109"/>
      <c r="D84" s="110"/>
      <c r="E84" s="109"/>
      <c r="F84" s="112"/>
      <c r="G84" s="109"/>
      <c r="H84" s="130"/>
    </row>
    <row r="85" spans="1:8">
      <c r="A85" s="109" t="e" cm="1" vm="1">
        <f t="array" aca="1" ref="A85" ca="1">_xlfn.VSTACK(
    _xlfn.LET(
        _xlpm.poList, PO_Index[PO],
        _xlfn.REDUCE(
            "", _xlpm.poList,
            _xlfn.LAMBDA(_xlpm.a,_xlpm.poNum, _xlfn.VSTACK(_xlpm.a, INDIRECT("'" &amp; _xlpm.poNum &amp; "'!_" &amp; SUBSTITUTE(_xlpm.poNum, "-", "_") &amp; "_table"))))
    )
)</f>
        <v>#VALUE!</v>
      </c>
      <c r="B85" s="109"/>
      <c r="C85" s="109"/>
      <c r="D85" s="110"/>
      <c r="E85" s="109"/>
      <c r="F85" s="112"/>
      <c r="G85" s="109"/>
      <c r="H85" s="130"/>
    </row>
    <row r="86" spans="1:8">
      <c r="A86" s="117" t="e" cm="1" vm="1">
        <f t="array" aca="1" ref="A86" ca="1">_xlfn.VSTACK(
    _xlfn.LET(
        _xlpm.poList, PO_Index[PO],
        _xlfn.REDUCE(
            "", _xlpm.poList,
            _xlfn.LAMBDA(_xlpm.a,_xlpm.poNum, _xlfn.VSTACK(_xlpm.a, INDIRECT("'" &amp; _xlpm.poNum &amp; "'!_" &amp; SUBSTITUTE(_xlpm.poNum, "-", "_") &amp; "_table"))))
    )
)</f>
        <v>#VALUE!</v>
      </c>
      <c r="B86" s="117"/>
      <c r="C86" s="109"/>
      <c r="D86" s="122"/>
      <c r="E86" s="109"/>
      <c r="F86" s="118"/>
      <c r="G86" s="109"/>
      <c r="H86" s="130"/>
    </row>
    <row r="87" spans="1:8">
      <c r="A87" s="117" t="e" cm="1" vm="1">
        <f t="array" aca="1" ref="A87" ca="1">_xlfn.VSTACK(
    _xlfn.LET(
        _xlpm.poList, PO_Index[PO],
        _xlfn.REDUCE(
            "", _xlpm.poList,
            _xlfn.LAMBDA(_xlpm.a,_xlpm.poNum, _xlfn.VSTACK(_xlpm.a, INDIRECT("'" &amp; _xlpm.poNum &amp; "'!_" &amp; SUBSTITUTE(_xlpm.poNum, "-", "_") &amp; "_table"))))
    )
)</f>
        <v>#VALUE!</v>
      </c>
      <c r="B87" s="117"/>
      <c r="C87" s="109"/>
      <c r="D87" s="122"/>
      <c r="E87" s="109"/>
      <c r="F87" s="118"/>
      <c r="G87" s="109"/>
      <c r="H87" s="130"/>
    </row>
    <row r="88" spans="1:8">
      <c r="A88" s="109" t="e" cm="1" vm="1">
        <f t="array" aca="1" ref="A88" ca="1">_xlfn.VSTACK(
    _xlfn.LET(
        _xlpm.poList, PO_Index[PO],
        _xlfn.REDUCE(
            "", _xlpm.poList,
            _xlfn.LAMBDA(_xlpm.a,_xlpm.poNum, _xlfn.VSTACK(_xlpm.a, INDIRECT("'" &amp; _xlpm.poNum &amp; "'!_" &amp; SUBSTITUTE(_xlpm.poNum, "-", "_") &amp; "_table"))))
    )
)</f>
        <v>#VALUE!</v>
      </c>
      <c r="B88" s="109"/>
      <c r="C88" s="109"/>
      <c r="D88" s="110"/>
      <c r="E88" s="109"/>
      <c r="F88" s="112"/>
      <c r="G88" s="109"/>
      <c r="H88" s="130"/>
    </row>
    <row r="89" spans="1:8">
      <c r="A89" s="109" t="e" cm="1" vm="1">
        <f t="array" aca="1" ref="A89" ca="1">_xlfn.VSTACK(
    _xlfn.LET(
        _xlpm.poList, PO_Index[PO],
        _xlfn.REDUCE(
            "", _xlpm.poList,
            _xlfn.LAMBDA(_xlpm.a,_xlpm.poNum, _xlfn.VSTACK(_xlpm.a, INDIRECT("'" &amp; _xlpm.poNum &amp; "'!_" &amp; SUBSTITUTE(_xlpm.poNum, "-", "_") &amp; "_table"))))
    )
)</f>
        <v>#VALUE!</v>
      </c>
      <c r="B89" s="109"/>
      <c r="C89" s="109"/>
      <c r="D89" s="110"/>
      <c r="E89" s="109"/>
      <c r="F89" s="112"/>
      <c r="G89" s="109"/>
      <c r="H89" s="130"/>
    </row>
    <row r="90" spans="1:8">
      <c r="A90" s="109" t="e" cm="1" vm="1">
        <f t="array" aca="1" ref="A90" ca="1">_xlfn.VSTACK(
    _xlfn.LET(
        _xlpm.poList, PO_Index[PO],
        _xlfn.REDUCE(
            "", _xlpm.poList,
            _xlfn.LAMBDA(_xlpm.a,_xlpm.poNum, _xlfn.VSTACK(_xlpm.a, INDIRECT("'" &amp; _xlpm.poNum &amp; "'!_" &amp; SUBSTITUTE(_xlpm.poNum, "-", "_") &amp; "_table"))))
    )
)</f>
        <v>#VALUE!</v>
      </c>
      <c r="B90" s="109"/>
      <c r="C90" s="109"/>
      <c r="D90" s="110"/>
      <c r="E90" s="109"/>
      <c r="F90" s="112"/>
      <c r="G90" s="109"/>
      <c r="H90" s="130"/>
    </row>
    <row r="91" spans="1:8">
      <c r="A91" s="109" t="e" cm="1" vm="1">
        <f t="array" aca="1" ref="A91" ca="1">_xlfn.VSTACK(
    _xlfn.LET(
        _xlpm.poList, PO_Index[PO],
        _xlfn.REDUCE(
            "", _xlpm.poList,
            _xlfn.LAMBDA(_xlpm.a,_xlpm.poNum, _xlfn.VSTACK(_xlpm.a, INDIRECT("'" &amp; _xlpm.poNum &amp; "'!_" &amp; SUBSTITUTE(_xlpm.poNum, "-", "_") &amp; "_table"))))
    )
)</f>
        <v>#VALUE!</v>
      </c>
      <c r="B91" s="109"/>
      <c r="C91" s="109"/>
      <c r="D91" s="110"/>
      <c r="E91" s="109"/>
      <c r="F91" s="112"/>
      <c r="G91" s="109"/>
      <c r="H91" s="130"/>
    </row>
    <row r="92" spans="1:8">
      <c r="A92" s="109" t="e" cm="1" vm="1">
        <f t="array" aca="1" ref="A92" ca="1">_xlfn.VSTACK(
    _xlfn.LET(
        _xlpm.poList, PO_Index[PO],
        _xlfn.REDUCE(
            "", _xlpm.poList,
            _xlfn.LAMBDA(_xlpm.a,_xlpm.poNum, _xlfn.VSTACK(_xlpm.a, INDIRECT("'" &amp; _xlpm.poNum &amp; "'!_" &amp; SUBSTITUTE(_xlpm.poNum, "-", "_") &amp; "_table"))))
    )
)</f>
        <v>#VALUE!</v>
      </c>
      <c r="B92" s="109"/>
      <c r="C92" s="109"/>
      <c r="D92" s="110"/>
      <c r="E92" s="109"/>
      <c r="F92" s="112"/>
      <c r="G92" s="109"/>
      <c r="H92" s="130"/>
    </row>
    <row r="93" spans="1:8">
      <c r="A93" s="109" t="e" cm="1" vm="1">
        <f t="array" aca="1" ref="A93" ca="1">_xlfn.VSTACK(
    _xlfn.LET(
        _xlpm.poList, PO_Index[PO],
        _xlfn.REDUCE(
            "", _xlpm.poList,
            _xlfn.LAMBDA(_xlpm.a,_xlpm.poNum, _xlfn.VSTACK(_xlpm.a, INDIRECT("'" &amp; _xlpm.poNum &amp; "'!_" &amp; SUBSTITUTE(_xlpm.poNum, "-", "_") &amp; "_table"))))
    )
)</f>
        <v>#VALUE!</v>
      </c>
      <c r="B93" s="109"/>
      <c r="C93" s="109"/>
      <c r="D93" s="110"/>
      <c r="E93" s="109"/>
      <c r="F93" s="112"/>
      <c r="G93" s="109"/>
      <c r="H93" s="130"/>
    </row>
    <row r="94" spans="1:8">
      <c r="A94" s="109" t="e" cm="1" vm="1">
        <f t="array" aca="1" ref="A94" ca="1">_xlfn.VSTACK(
    _xlfn.LET(
        _xlpm.poList, PO_Index[PO],
        _xlfn.REDUCE(
            "", _xlpm.poList,
            _xlfn.LAMBDA(_xlpm.a,_xlpm.poNum, _xlfn.VSTACK(_xlpm.a, INDIRECT("'" &amp; _xlpm.poNum &amp; "'!_" &amp; SUBSTITUTE(_xlpm.poNum, "-", "_") &amp; "_table"))))
    )
)</f>
        <v>#VALUE!</v>
      </c>
      <c r="B94" s="109"/>
      <c r="C94" s="109"/>
      <c r="D94" s="110"/>
      <c r="E94" s="109"/>
      <c r="F94" s="112"/>
      <c r="G94" s="109"/>
      <c r="H94" s="130"/>
    </row>
    <row r="95" spans="1:8">
      <c r="A95" s="109" t="e" cm="1" vm="1">
        <f t="array" aca="1" ref="A95" ca="1">_xlfn.VSTACK(
    _xlfn.LET(
        _xlpm.poList, PO_Index[PO],
        _xlfn.REDUCE(
            "", _xlpm.poList,
            _xlfn.LAMBDA(_xlpm.a,_xlpm.poNum, _xlfn.VSTACK(_xlpm.a, INDIRECT("'" &amp; _xlpm.poNum &amp; "'!_" &amp; SUBSTITUTE(_xlpm.poNum, "-", "_") &amp; "_table"))))
    )
)</f>
        <v>#VALUE!</v>
      </c>
      <c r="B95" s="109"/>
      <c r="C95" s="109"/>
      <c r="D95" s="110"/>
      <c r="E95" s="109"/>
      <c r="F95" s="112"/>
      <c r="G95" s="109"/>
      <c r="H95" s="130"/>
    </row>
    <row r="96" spans="1:8">
      <c r="A96" s="109" t="e" cm="1" vm="1">
        <f t="array" aca="1" ref="A96" ca="1">_xlfn.VSTACK(
    _xlfn.LET(
        _xlpm.poList, PO_Index[PO],
        _xlfn.REDUCE(
            "", _xlpm.poList,
            _xlfn.LAMBDA(_xlpm.a,_xlpm.poNum, _xlfn.VSTACK(_xlpm.a, INDIRECT("'" &amp; _xlpm.poNum &amp; "'!_" &amp; SUBSTITUTE(_xlpm.poNum, "-", "_") &amp; "_table"))))
    )
)</f>
        <v>#VALUE!</v>
      </c>
      <c r="B96" s="109"/>
      <c r="C96" s="109"/>
      <c r="D96" s="110"/>
      <c r="E96" s="109"/>
      <c r="F96" s="112"/>
      <c r="G96" s="109"/>
      <c r="H96" s="130"/>
    </row>
    <row r="97" spans="1:8">
      <c r="A97" s="109" t="e" cm="1" vm="1">
        <f t="array" aca="1" ref="A97" ca="1">_xlfn.VSTACK(
    _xlfn.LET(
        _xlpm.poList, PO_Index[PO],
        _xlfn.REDUCE(
            "", _xlpm.poList,
            _xlfn.LAMBDA(_xlpm.a,_xlpm.poNum, _xlfn.VSTACK(_xlpm.a, INDIRECT("'" &amp; _xlpm.poNum &amp; "'!_" &amp; SUBSTITUTE(_xlpm.poNum, "-", "_") &amp; "_table"))))
    )
)</f>
        <v>#VALUE!</v>
      </c>
      <c r="B97" s="109"/>
      <c r="C97" s="109"/>
      <c r="D97" s="110"/>
      <c r="E97" s="119"/>
      <c r="F97" s="112"/>
      <c r="G97" s="109"/>
      <c r="H97" s="130"/>
    </row>
    <row r="98" spans="1:8">
      <c r="A98" s="109" t="e" cm="1" vm="1">
        <f t="array" aca="1" ref="A98" ca="1">_xlfn.VSTACK(
    _xlfn.LET(
        _xlpm.poList, PO_Index[PO],
        _xlfn.REDUCE(
            "", _xlpm.poList,
            _xlfn.LAMBDA(_xlpm.a,_xlpm.poNum, _xlfn.VSTACK(_xlpm.a, INDIRECT("'" &amp; _xlpm.poNum &amp; "'!_" &amp; SUBSTITUTE(_xlpm.poNum, "-", "_") &amp; "_table"))))
    )
)</f>
        <v>#VALUE!</v>
      </c>
      <c r="B98" s="109"/>
      <c r="C98" s="109"/>
      <c r="D98" s="110"/>
      <c r="E98" s="109"/>
      <c r="F98" s="112"/>
      <c r="G98" s="109"/>
      <c r="H98" s="130"/>
    </row>
    <row r="99" spans="1:8">
      <c r="A99" s="109" t="e" cm="1" vm="1">
        <f t="array" aca="1" ref="A99" ca="1">_xlfn.VSTACK(
    _xlfn.LET(
        _xlpm.poList, PO_Index[PO],
        _xlfn.REDUCE(
            "", _xlpm.poList,
            _xlfn.LAMBDA(_xlpm.a,_xlpm.poNum, _xlfn.VSTACK(_xlpm.a, INDIRECT("'" &amp; _xlpm.poNum &amp; "'!_" &amp; SUBSTITUTE(_xlpm.poNum, "-", "_") &amp; "_table"))))
    )
)</f>
        <v>#VALUE!</v>
      </c>
      <c r="B99" s="109"/>
      <c r="C99" s="109"/>
      <c r="D99" s="110"/>
      <c r="E99" s="109"/>
      <c r="F99" s="112"/>
      <c r="G99" s="109"/>
      <c r="H99" s="130"/>
    </row>
    <row r="100" spans="1:8">
      <c r="A100" s="109" t="e" cm="1" vm="1">
        <f t="array" aca="1" ref="A100" ca="1">_xlfn.VSTACK(
    _xlfn.LET(
        _xlpm.poList, PO_Index[PO],
        _xlfn.REDUCE(
            "", _xlpm.poList,
            _xlfn.LAMBDA(_xlpm.a,_xlpm.poNum, _xlfn.VSTACK(_xlpm.a, INDIRECT("'" &amp; _xlpm.poNum &amp; "'!_" &amp; SUBSTITUTE(_xlpm.poNum, "-", "_") &amp; "_table"))))
    )
)</f>
        <v>#VALUE!</v>
      </c>
      <c r="B100" s="109"/>
      <c r="C100" s="109"/>
      <c r="D100" s="110"/>
      <c r="E100" s="109"/>
      <c r="F100" s="112"/>
      <c r="G100" s="109"/>
      <c r="H100" s="130"/>
    </row>
    <row r="101" spans="1:8">
      <c r="A101" s="109" t="e" cm="1" vm="1">
        <f t="array" aca="1" ref="A101" ca="1">_xlfn.VSTACK(
    _xlfn.LET(
        _xlpm.poList, PO_Index[PO],
        _xlfn.REDUCE(
            "", _xlpm.poList,
            _xlfn.LAMBDA(_xlpm.a,_xlpm.poNum, _xlfn.VSTACK(_xlpm.a, INDIRECT("'" &amp; _xlpm.poNum &amp; "'!_" &amp; SUBSTITUTE(_xlpm.poNum, "-", "_") &amp; "_table"))))
    )
)</f>
        <v>#VALUE!</v>
      </c>
      <c r="B101" s="109"/>
      <c r="C101" s="109"/>
      <c r="D101" s="110"/>
      <c r="E101" s="109"/>
      <c r="F101" s="112"/>
      <c r="G101" s="109"/>
      <c r="H101" s="130"/>
    </row>
    <row r="102" spans="1:8">
      <c r="A102" s="109" t="e" cm="1" vm="1">
        <f t="array" aca="1" ref="A102" ca="1">_xlfn.VSTACK(
    _xlfn.LET(
        _xlpm.poList, PO_Index[PO],
        _xlfn.REDUCE(
            "", _xlpm.poList,
            _xlfn.LAMBDA(_xlpm.a,_xlpm.poNum, _xlfn.VSTACK(_xlpm.a, INDIRECT("'" &amp; _xlpm.poNum &amp; "'!_" &amp; SUBSTITUTE(_xlpm.poNum, "-", "_") &amp; "_table"))))
    )
)</f>
        <v>#VALUE!</v>
      </c>
      <c r="B102" s="109"/>
      <c r="C102" s="109"/>
      <c r="D102" s="110"/>
      <c r="E102" s="109"/>
      <c r="F102" s="112"/>
      <c r="G102" s="109"/>
      <c r="H102" s="130"/>
    </row>
    <row r="103" spans="1:8">
      <c r="A103" s="109" t="e" cm="1" vm="1">
        <f t="array" aca="1" ref="A103" ca="1">_xlfn.VSTACK(
    _xlfn.LET(
        _xlpm.poList, PO_Index[PO],
        _xlfn.REDUCE(
            "", _xlpm.poList,
            _xlfn.LAMBDA(_xlpm.a,_xlpm.poNum, _xlfn.VSTACK(_xlpm.a, INDIRECT("'" &amp; _xlpm.poNum &amp; "'!_" &amp; SUBSTITUTE(_xlpm.poNum, "-", "_") &amp; "_table"))))
    )
)</f>
        <v>#VALUE!</v>
      </c>
      <c r="B103" s="109"/>
      <c r="C103" s="109"/>
      <c r="D103" s="110"/>
      <c r="E103" s="109"/>
      <c r="F103" s="112"/>
      <c r="G103" s="109"/>
      <c r="H103" s="130"/>
    </row>
    <row r="104" spans="1:8">
      <c r="A104" s="109" t="e" cm="1" vm="1">
        <f t="array" aca="1" ref="A104" ca="1">_xlfn.VSTACK(
    _xlfn.LET(
        _xlpm.poList, PO_Index[PO],
        _xlfn.REDUCE(
            "", _xlpm.poList,
            _xlfn.LAMBDA(_xlpm.a,_xlpm.poNum, _xlfn.VSTACK(_xlpm.a, INDIRECT("'" &amp; _xlpm.poNum &amp; "'!_" &amp; SUBSTITUTE(_xlpm.poNum, "-", "_") &amp; "_table"))))
    )
)</f>
        <v>#VALUE!</v>
      </c>
      <c r="B104" s="109"/>
      <c r="C104" s="109"/>
      <c r="D104" s="110"/>
      <c r="E104" s="109"/>
      <c r="F104" s="112"/>
      <c r="G104" s="109"/>
      <c r="H104" s="130"/>
    </row>
    <row r="105" spans="1:8">
      <c r="A105" s="109" t="e" cm="1" vm="1">
        <f t="array" aca="1" ref="A105" ca="1">_xlfn.VSTACK(
    _xlfn.LET(
        _xlpm.poList, PO_Index[PO],
        _xlfn.REDUCE(
            "", _xlpm.poList,
            _xlfn.LAMBDA(_xlpm.a,_xlpm.poNum, _xlfn.VSTACK(_xlpm.a, INDIRECT("'" &amp; _xlpm.poNum &amp; "'!_" &amp; SUBSTITUTE(_xlpm.poNum, "-", "_") &amp; "_table"))))
    )
)</f>
        <v>#VALUE!</v>
      </c>
      <c r="B105" s="109"/>
      <c r="C105" s="109"/>
      <c r="D105" s="110"/>
      <c r="E105" s="109"/>
      <c r="F105" s="112"/>
      <c r="G105" s="109"/>
      <c r="H105" s="130"/>
    </row>
    <row r="106" spans="1:8">
      <c r="A106" s="109" t="e" cm="1" vm="1">
        <f t="array" aca="1" ref="A106" ca="1">_xlfn.VSTACK(
    _xlfn.LET(
        _xlpm.poList, PO_Index[PO],
        _xlfn.REDUCE(
            "", _xlpm.poList,
            _xlfn.LAMBDA(_xlpm.a,_xlpm.poNum, _xlfn.VSTACK(_xlpm.a, INDIRECT("'" &amp; _xlpm.poNum &amp; "'!_" &amp; SUBSTITUTE(_xlpm.poNum, "-", "_") &amp; "_table"))))
    )
)</f>
        <v>#VALUE!</v>
      </c>
      <c r="B106" s="109"/>
      <c r="C106" s="109"/>
      <c r="D106" s="110"/>
      <c r="E106" s="109"/>
      <c r="F106" s="112"/>
      <c r="G106" s="109"/>
      <c r="H106" s="130"/>
    </row>
    <row r="107" spans="1:8">
      <c r="A107" s="109" t="e" cm="1" vm="1">
        <f t="array" aca="1" ref="A107" ca="1">_xlfn.VSTACK(
    _xlfn.LET(
        _xlpm.poList, PO_Index[PO],
        _xlfn.REDUCE(
            "", _xlpm.poList,
            _xlfn.LAMBDA(_xlpm.a,_xlpm.poNum, _xlfn.VSTACK(_xlpm.a, INDIRECT("'" &amp; _xlpm.poNum &amp; "'!_" &amp; SUBSTITUTE(_xlpm.poNum, "-", "_") &amp; "_table"))))
    )
)</f>
        <v>#VALUE!</v>
      </c>
      <c r="B107" s="109"/>
      <c r="C107" s="109"/>
      <c r="D107" s="110"/>
      <c r="E107" s="109"/>
      <c r="F107" s="112"/>
      <c r="G107" s="109"/>
      <c r="H107" s="130"/>
    </row>
    <row r="108" spans="1:8">
      <c r="A108" s="109" t="e" cm="1" vm="1">
        <f t="array" aca="1" ref="A108" ca="1">_xlfn.VSTACK(
    _xlfn.LET(
        _xlpm.poList, PO_Index[PO],
        _xlfn.REDUCE(
            "", _xlpm.poList,
            _xlfn.LAMBDA(_xlpm.a,_xlpm.poNum, _xlfn.VSTACK(_xlpm.a, INDIRECT("'" &amp; _xlpm.poNum &amp; "'!_" &amp; SUBSTITUTE(_xlpm.poNum, "-", "_") &amp; "_table"))))
    )
)</f>
        <v>#VALUE!</v>
      </c>
      <c r="B108" s="109"/>
      <c r="C108" s="109"/>
      <c r="D108" s="110"/>
      <c r="E108" s="109"/>
      <c r="F108" s="112"/>
      <c r="G108" s="109"/>
      <c r="H108" s="130"/>
    </row>
    <row r="109" spans="1:8">
      <c r="A109" s="109" t="e" cm="1" vm="1">
        <f t="array" aca="1" ref="A109" ca="1">_xlfn.VSTACK(
    _xlfn.LET(
        _xlpm.poList, PO_Index[PO],
        _xlfn.REDUCE(
            "", _xlpm.poList,
            _xlfn.LAMBDA(_xlpm.a,_xlpm.poNum, _xlfn.VSTACK(_xlpm.a, INDIRECT("'" &amp; _xlpm.poNum &amp; "'!_" &amp; SUBSTITUTE(_xlpm.poNum, "-", "_") &amp; "_table"))))
    )
)</f>
        <v>#VALUE!</v>
      </c>
      <c r="B109" s="109"/>
      <c r="C109" s="109"/>
      <c r="D109" s="110"/>
      <c r="E109" s="109"/>
      <c r="F109" s="112"/>
      <c r="G109" s="109"/>
      <c r="H109" s="130"/>
    </row>
    <row r="110" spans="1:8">
      <c r="A110" s="109" t="e" cm="1" vm="1">
        <f t="array" aca="1" ref="A110" ca="1">_xlfn.VSTACK(
    _xlfn.LET(
        _xlpm.poList, PO_Index[PO],
        _xlfn.REDUCE(
            "", _xlpm.poList,
            _xlfn.LAMBDA(_xlpm.a,_xlpm.poNum, _xlfn.VSTACK(_xlpm.a, INDIRECT("'" &amp; _xlpm.poNum &amp; "'!_" &amp; SUBSTITUTE(_xlpm.poNum, "-", "_") &amp; "_table"))))
    )
)</f>
        <v>#VALUE!</v>
      </c>
      <c r="B110" s="109"/>
      <c r="C110" s="109"/>
      <c r="D110" s="110"/>
      <c r="E110" s="119"/>
      <c r="F110" s="112"/>
      <c r="G110" s="109"/>
      <c r="H110" s="130"/>
    </row>
    <row r="111" spans="1:8">
      <c r="A111" s="109" t="e" cm="1" vm="1">
        <f t="array" aca="1" ref="A111" ca="1">_xlfn.VSTACK(
    _xlfn.LET(
        _xlpm.poList, PO_Index[PO],
        _xlfn.REDUCE(
            "", _xlpm.poList,
            _xlfn.LAMBDA(_xlpm.a,_xlpm.poNum, _xlfn.VSTACK(_xlpm.a, INDIRECT("'" &amp; _xlpm.poNum &amp; "'!_" &amp; SUBSTITUTE(_xlpm.poNum, "-", "_") &amp; "_table"))))
    )
)</f>
        <v>#VALUE!</v>
      </c>
      <c r="B111" s="109"/>
      <c r="C111" s="109"/>
      <c r="D111" s="110"/>
      <c r="E111" s="109"/>
      <c r="F111" s="112"/>
      <c r="G111" s="109"/>
      <c r="H111" s="130"/>
    </row>
    <row r="112" spans="1:8">
      <c r="A112" s="109" t="e" cm="1" vm="1">
        <f t="array" aca="1" ref="A112" ca="1">_xlfn.VSTACK(
    _xlfn.LET(
        _xlpm.poList, PO_Index[PO],
        _xlfn.REDUCE(
            "", _xlpm.poList,
            _xlfn.LAMBDA(_xlpm.a,_xlpm.poNum, _xlfn.VSTACK(_xlpm.a, INDIRECT("'" &amp; _xlpm.poNum &amp; "'!_" &amp; SUBSTITUTE(_xlpm.poNum, "-", "_") &amp; "_table"))))
    )
)</f>
        <v>#VALUE!</v>
      </c>
      <c r="B112" s="109"/>
      <c r="C112" s="109"/>
      <c r="D112" s="110"/>
      <c r="E112" s="109"/>
      <c r="F112" s="112"/>
      <c r="G112" s="109"/>
      <c r="H112" s="130"/>
    </row>
    <row r="113" spans="1:8">
      <c r="A113" s="109" t="e" cm="1" vm="1">
        <f t="array" aca="1" ref="A113" ca="1">_xlfn.VSTACK(
    _xlfn.LET(
        _xlpm.poList, PO_Index[PO],
        _xlfn.REDUCE(
            "", _xlpm.poList,
            _xlfn.LAMBDA(_xlpm.a,_xlpm.poNum, _xlfn.VSTACK(_xlpm.a, INDIRECT("'" &amp; _xlpm.poNum &amp; "'!_" &amp; SUBSTITUTE(_xlpm.poNum, "-", "_") &amp; "_table"))))
    )
)</f>
        <v>#VALUE!</v>
      </c>
      <c r="B113" s="109"/>
      <c r="C113" s="109"/>
      <c r="D113" s="110"/>
      <c r="E113" s="109"/>
      <c r="F113" s="112"/>
      <c r="G113" s="109"/>
      <c r="H113" s="130"/>
    </row>
    <row r="114" spans="1:8">
      <c r="A114" s="109" t="e" cm="1" vm="1">
        <f t="array" aca="1" ref="A114" ca="1">_xlfn.VSTACK(
    _xlfn.LET(
        _xlpm.poList, PO_Index[PO],
        _xlfn.REDUCE(
            "", _xlpm.poList,
            _xlfn.LAMBDA(_xlpm.a,_xlpm.poNum, _xlfn.VSTACK(_xlpm.a, INDIRECT("'" &amp; _xlpm.poNum &amp; "'!_" &amp; SUBSTITUTE(_xlpm.poNum, "-", "_") &amp; "_table"))))
    )
)</f>
        <v>#VALUE!</v>
      </c>
      <c r="B114" s="109"/>
      <c r="C114" s="109"/>
      <c r="D114" s="110"/>
      <c r="E114" s="109"/>
      <c r="F114" s="112"/>
      <c r="G114" s="109"/>
      <c r="H114" s="130"/>
    </row>
    <row r="115" spans="1:8">
      <c r="A115" s="109" t="e" cm="1" vm="1">
        <f t="array" aca="1" ref="A115" ca="1">_xlfn.VSTACK(
    _xlfn.LET(
        _xlpm.poList, PO_Index[PO],
        _xlfn.REDUCE(
            "", _xlpm.poList,
            _xlfn.LAMBDA(_xlpm.a,_xlpm.poNum, _xlfn.VSTACK(_xlpm.a, INDIRECT("'" &amp; _xlpm.poNum &amp; "'!_" &amp; SUBSTITUTE(_xlpm.poNum, "-", "_") &amp; "_table"))))
    )
)</f>
        <v>#VALUE!</v>
      </c>
      <c r="B115" s="109"/>
      <c r="C115" s="109"/>
      <c r="D115" s="110"/>
      <c r="E115" s="109"/>
      <c r="F115" s="112"/>
      <c r="G115" s="109"/>
      <c r="H115" s="130"/>
    </row>
    <row r="116" spans="1:8">
      <c r="A116" s="109" t="e" cm="1" vm="1">
        <f t="array" aca="1" ref="A116" ca="1">_xlfn.VSTACK(
    _xlfn.LET(
        _xlpm.poList, PO_Index[PO],
        _xlfn.REDUCE(
            "", _xlpm.poList,
            _xlfn.LAMBDA(_xlpm.a,_xlpm.poNum, _xlfn.VSTACK(_xlpm.a, INDIRECT("'" &amp; _xlpm.poNum &amp; "'!_" &amp; SUBSTITUTE(_xlpm.poNum, "-", "_") &amp; "_table"))))
    )
)</f>
        <v>#VALUE!</v>
      </c>
      <c r="B116" s="109"/>
      <c r="C116" s="109"/>
      <c r="D116" s="129"/>
      <c r="E116" s="130"/>
      <c r="F116" s="112"/>
      <c r="G116" s="109"/>
      <c r="H116" s="130"/>
    </row>
    <row r="117" spans="1:8">
      <c r="A117" s="109" t="e" cm="1" vm="1">
        <f t="array" aca="1" ref="A117" ca="1">_xlfn.VSTACK(
    _xlfn.LET(
        _xlpm.poList, PO_Index[PO],
        _xlfn.REDUCE(
            "", _xlpm.poList,
            _xlfn.LAMBDA(_xlpm.a,_xlpm.poNum, _xlfn.VSTACK(_xlpm.a, INDIRECT("'" &amp; _xlpm.poNum &amp; "'!_" &amp; SUBSTITUTE(_xlpm.poNum, "-", "_") &amp; "_table"))))
    )
)</f>
        <v>#VALUE!</v>
      </c>
      <c r="B117" s="109"/>
      <c r="C117" s="109"/>
      <c r="D117" s="129"/>
      <c r="E117" s="130"/>
      <c r="F117" s="112"/>
      <c r="G117" s="109"/>
      <c r="H117" s="130"/>
    </row>
    <row r="118" spans="1:8">
      <c r="A118" s="109" t="e" cm="1" vm="1">
        <f t="array" aca="1" ref="A118" ca="1">_xlfn.VSTACK(
    _xlfn.LET(
        _xlpm.poList, PO_Index[PO],
        _xlfn.REDUCE(
            "", _xlpm.poList,
            _xlfn.LAMBDA(_xlpm.a,_xlpm.poNum, _xlfn.VSTACK(_xlpm.a, INDIRECT("'" &amp; _xlpm.poNum &amp; "'!_" &amp; SUBSTITUTE(_xlpm.poNum, "-", "_") &amp; "_table"))))
    )
)</f>
        <v>#VALUE!</v>
      </c>
      <c r="B118" s="109"/>
      <c r="C118" s="109"/>
      <c r="D118" s="129"/>
      <c r="E118" s="130"/>
      <c r="F118" s="112"/>
      <c r="G118" s="109"/>
      <c r="H118" s="130"/>
    </row>
    <row r="119" spans="1:8">
      <c r="A119" s="109" t="e" cm="1" vm="1">
        <f t="array" aca="1" ref="A119" ca="1">_xlfn.VSTACK(
    _xlfn.LET(
        _xlpm.poList, PO_Index[PO],
        _xlfn.REDUCE(
            "", _xlpm.poList,
            _xlfn.LAMBDA(_xlpm.a,_xlpm.poNum, _xlfn.VSTACK(_xlpm.a, INDIRECT("'" &amp; _xlpm.poNum &amp; "'!_" &amp; SUBSTITUTE(_xlpm.poNum, "-", "_") &amp; "_table"))))
    )
)</f>
        <v>#VALUE!</v>
      </c>
      <c r="B119" s="109"/>
      <c r="C119" s="109"/>
      <c r="D119" s="129"/>
      <c r="E119" s="130"/>
      <c r="F119" s="112"/>
      <c r="G119" s="109"/>
      <c r="H119" s="130"/>
    </row>
    <row r="120" spans="1:8">
      <c r="A120" s="109" t="e" cm="1" vm="1">
        <f t="array" aca="1" ref="A120" ca="1">_xlfn.VSTACK(
    _xlfn.LET(
        _xlpm.poList, PO_Index[PO],
        _xlfn.REDUCE(
            "", _xlpm.poList,
            _xlfn.LAMBDA(_xlpm.a,_xlpm.poNum, _xlfn.VSTACK(_xlpm.a, INDIRECT("'" &amp; _xlpm.poNum &amp; "'!_" &amp; SUBSTITUTE(_xlpm.poNum, "-", "_") &amp; "_table"))))
    )
)</f>
        <v>#VALUE!</v>
      </c>
      <c r="B120" s="109"/>
      <c r="C120" s="109"/>
      <c r="D120" s="110"/>
      <c r="E120" s="109"/>
      <c r="F120" s="112"/>
      <c r="G120" s="109"/>
      <c r="H120" s="130"/>
    </row>
    <row r="121" spans="1:8">
      <c r="A121" s="109" t="e" cm="1" vm="1">
        <f t="array" aca="1" ref="A121" ca="1">_xlfn.VSTACK(
    _xlfn.LET(
        _xlpm.poList, PO_Index[PO],
        _xlfn.REDUCE(
            "", _xlpm.poList,
            _xlfn.LAMBDA(_xlpm.a,_xlpm.poNum, _xlfn.VSTACK(_xlpm.a, INDIRECT("'" &amp; _xlpm.poNum &amp; "'!_" &amp; SUBSTITUTE(_xlpm.poNum, "-", "_") &amp; "_table"))))
    )
)</f>
        <v>#VALUE!</v>
      </c>
      <c r="B121" s="109"/>
      <c r="C121" s="109"/>
      <c r="D121" s="110"/>
      <c r="E121" s="109"/>
      <c r="F121" s="112"/>
      <c r="G121" s="109"/>
      <c r="H121" s="130"/>
    </row>
    <row r="122" spans="1:8">
      <c r="A122" s="109" t="e" cm="1" vm="1">
        <f t="array" aca="1" ref="A122" ca="1">_xlfn.VSTACK(
    _xlfn.LET(
        _xlpm.poList, PO_Index[PO],
        _xlfn.REDUCE(
            "", _xlpm.poList,
            _xlfn.LAMBDA(_xlpm.a,_xlpm.poNum, _xlfn.VSTACK(_xlpm.a, INDIRECT("'" &amp; _xlpm.poNum &amp; "'!_" &amp; SUBSTITUTE(_xlpm.poNum, "-", "_") &amp; "_table"))))
    )
)</f>
        <v>#VALUE!</v>
      </c>
      <c r="B122" s="109"/>
      <c r="C122" s="109"/>
      <c r="D122" s="110"/>
      <c r="E122" s="109"/>
      <c r="F122" s="112"/>
      <c r="G122" s="109"/>
      <c r="H122" s="130"/>
    </row>
    <row r="123" spans="1:8">
      <c r="A123" s="109" t="e" cm="1" vm="1">
        <f t="array" aca="1" ref="A123" ca="1">_xlfn.VSTACK(
    _xlfn.LET(
        _xlpm.poList, PO_Index[PO],
        _xlfn.REDUCE(
            "", _xlpm.poList,
            _xlfn.LAMBDA(_xlpm.a,_xlpm.poNum, _xlfn.VSTACK(_xlpm.a, INDIRECT("'" &amp; _xlpm.poNum &amp; "'!_" &amp; SUBSTITUTE(_xlpm.poNum, "-", "_") &amp; "_table"))))
    )
)</f>
        <v>#VALUE!</v>
      </c>
      <c r="B123" s="111"/>
      <c r="C123" s="109"/>
      <c r="D123" s="110"/>
      <c r="E123" s="119"/>
      <c r="F123" s="112"/>
      <c r="G123" s="109"/>
      <c r="H123" s="130"/>
    </row>
    <row r="124" spans="1:8">
      <c r="A124" s="109" t="e" cm="1" vm="1">
        <f t="array" aca="1" ref="A124" ca="1">_xlfn.VSTACK(
    _xlfn.LET(
        _xlpm.poList, PO_Index[PO],
        _xlfn.REDUCE(
            "", _xlpm.poList,
            _xlfn.LAMBDA(_xlpm.a,_xlpm.poNum, _xlfn.VSTACK(_xlpm.a, INDIRECT("'" &amp; _xlpm.poNum &amp; "'!_" &amp; SUBSTITUTE(_xlpm.poNum, "-", "_") &amp; "_table"))))
    )
)</f>
        <v>#VALUE!</v>
      </c>
      <c r="B124" s="109"/>
      <c r="C124" s="109"/>
      <c r="D124" s="110"/>
      <c r="E124" s="109"/>
      <c r="F124" s="112"/>
      <c r="G124" s="109"/>
      <c r="H124" s="130"/>
    </row>
    <row r="125" spans="1:8">
      <c r="A125" s="109" t="e" cm="1" vm="1">
        <f t="array" aca="1" ref="A125" ca="1">_xlfn.VSTACK(
    _xlfn.LET(
        _xlpm.poList, PO_Index[PO],
        _xlfn.REDUCE(
            "", _xlpm.poList,
            _xlfn.LAMBDA(_xlpm.a,_xlpm.poNum, _xlfn.VSTACK(_xlpm.a, INDIRECT("'" &amp; _xlpm.poNum &amp; "'!_" &amp; SUBSTITUTE(_xlpm.poNum, "-", "_") &amp; "_table"))))
    )
)</f>
        <v>#VALUE!</v>
      </c>
      <c r="B125" s="109"/>
      <c r="C125" s="109"/>
      <c r="D125" s="129"/>
      <c r="E125" s="130"/>
      <c r="F125" s="112"/>
      <c r="G125" s="109"/>
      <c r="H125" s="130"/>
    </row>
    <row r="126" spans="1:8">
      <c r="A126" s="109" t="e" cm="1" vm="1">
        <f t="array" aca="1" ref="A126" ca="1">_xlfn.VSTACK(
    _xlfn.LET(
        _xlpm.poList, PO_Index[PO],
        _xlfn.REDUCE(
            "", _xlpm.poList,
            _xlfn.LAMBDA(_xlpm.a,_xlpm.poNum, _xlfn.VSTACK(_xlpm.a, INDIRECT("'" &amp; _xlpm.poNum &amp; "'!_" &amp; SUBSTITUTE(_xlpm.poNum, "-", "_") &amp; "_table"))))
    )
)</f>
        <v>#VALUE!</v>
      </c>
      <c r="B126" s="109"/>
      <c r="C126" s="109"/>
      <c r="D126" s="129"/>
      <c r="E126" s="130"/>
      <c r="F126" s="112"/>
      <c r="G126" s="109"/>
      <c r="H126" s="130"/>
    </row>
    <row r="127" spans="1:8">
      <c r="A127" s="109" t="e" cm="1" vm="1">
        <f t="array" aca="1" ref="A127" ca="1">_xlfn.VSTACK(
    _xlfn.LET(
        _xlpm.poList, PO_Index[PO],
        _xlfn.REDUCE(
            "", _xlpm.poList,
            _xlfn.LAMBDA(_xlpm.a,_xlpm.poNum, _xlfn.VSTACK(_xlpm.a, INDIRECT("'" &amp; _xlpm.poNum &amp; "'!_" &amp; SUBSTITUTE(_xlpm.poNum, "-", "_") &amp; "_table"))))
    )
)</f>
        <v>#VALUE!</v>
      </c>
      <c r="B127" s="109"/>
      <c r="C127" s="109"/>
      <c r="D127" s="110"/>
      <c r="E127" s="109"/>
      <c r="F127" s="112"/>
      <c r="G127" s="109"/>
      <c r="H127" s="130"/>
    </row>
    <row r="128" spans="1:8">
      <c r="A128" s="109" t="e" cm="1" vm="1">
        <f t="array" aca="1" ref="A128" ca="1">_xlfn.VSTACK(
    _xlfn.LET(
        _xlpm.poList, PO_Index[PO],
        _xlfn.REDUCE(
            "", _xlpm.poList,
            _xlfn.LAMBDA(_xlpm.a,_xlpm.poNum, _xlfn.VSTACK(_xlpm.a, INDIRECT("'" &amp; _xlpm.poNum &amp; "'!_" &amp; SUBSTITUTE(_xlpm.poNum, "-", "_") &amp; "_table"))))
    )
)</f>
        <v>#VALUE!</v>
      </c>
      <c r="B128" s="109"/>
      <c r="C128" s="109"/>
      <c r="D128" s="129"/>
      <c r="E128" s="130"/>
      <c r="F128" s="112"/>
      <c r="G128" s="109"/>
      <c r="H128" s="130"/>
    </row>
    <row r="129" spans="1:8">
      <c r="A129" s="109" t="e" cm="1" vm="1">
        <f t="array" aca="1" ref="A129" ca="1">_xlfn.VSTACK(
    _xlfn.LET(
        _xlpm.poList, PO_Index[PO],
        _xlfn.REDUCE(
            "", _xlpm.poList,
            _xlfn.LAMBDA(_xlpm.a,_xlpm.poNum, _xlfn.VSTACK(_xlpm.a, INDIRECT("'" &amp; _xlpm.poNum &amp; "'!_" &amp; SUBSTITUTE(_xlpm.poNum, "-", "_") &amp; "_table"))))
    )
)</f>
        <v>#VALUE!</v>
      </c>
      <c r="B129" s="109"/>
      <c r="C129" s="109"/>
      <c r="D129" s="129"/>
      <c r="E129" s="130"/>
      <c r="F129" s="112"/>
      <c r="G129" s="109"/>
      <c r="H129" s="130"/>
    </row>
    <row r="130" spans="1:8">
      <c r="A130" s="109" t="e" cm="1" vm="1">
        <f t="array" aca="1" ref="A130" ca="1">_xlfn.VSTACK(
    _xlfn.LET(
        _xlpm.poList, PO_Index[PO],
        _xlfn.REDUCE(
            "", _xlpm.poList,
            _xlfn.LAMBDA(_xlpm.a,_xlpm.poNum, _xlfn.VSTACK(_xlpm.a, INDIRECT("'" &amp; _xlpm.poNum &amp; "'!_" &amp; SUBSTITUTE(_xlpm.poNum, "-", "_") &amp; "_table"))))
    )
)</f>
        <v>#VALUE!</v>
      </c>
      <c r="B130" s="109"/>
      <c r="C130" s="109"/>
      <c r="D130" s="110"/>
      <c r="E130" s="109"/>
      <c r="F130" s="112"/>
      <c r="G130" s="109"/>
      <c r="H130" s="130"/>
    </row>
    <row r="131" spans="1:8">
      <c r="A131" s="109" t="e" cm="1" vm="1">
        <f t="array" aca="1" ref="A131" ca="1">_xlfn.VSTACK(
    _xlfn.LET(
        _xlpm.poList, PO_Index[PO],
        _xlfn.REDUCE(
            "", _xlpm.poList,
            _xlfn.LAMBDA(_xlpm.a,_xlpm.poNum, _xlfn.VSTACK(_xlpm.a, INDIRECT("'" &amp; _xlpm.poNum &amp; "'!_" &amp; SUBSTITUTE(_xlpm.poNum, "-", "_") &amp; "_table"))))
    )
)</f>
        <v>#VALUE!</v>
      </c>
      <c r="B131" s="109"/>
      <c r="C131" s="109"/>
      <c r="D131" s="110"/>
      <c r="E131" s="109"/>
      <c r="F131" s="112"/>
      <c r="G131" s="109"/>
      <c r="H131" s="130"/>
    </row>
    <row r="132" spans="1:8">
      <c r="A132" s="109" t="e" cm="1" vm="1">
        <f t="array" aca="1" ref="A132" ca="1">_xlfn.VSTACK(
    _xlfn.LET(
        _xlpm.poList, PO_Index[PO],
        _xlfn.REDUCE(
            "", _xlpm.poList,
            _xlfn.LAMBDA(_xlpm.a,_xlpm.poNum, _xlfn.VSTACK(_xlpm.a, INDIRECT("'" &amp; _xlpm.poNum &amp; "'!_" &amp; SUBSTITUTE(_xlpm.poNum, "-", "_") &amp; "_table"))))
    )
)</f>
        <v>#VALUE!</v>
      </c>
      <c r="B132" s="109"/>
      <c r="C132" s="109"/>
      <c r="D132" s="129"/>
      <c r="E132" s="130"/>
      <c r="F132" s="112"/>
      <c r="G132" s="109"/>
      <c r="H132" s="130"/>
    </row>
    <row r="133" spans="1:8">
      <c r="A133" s="109" t="e" cm="1" vm="1">
        <f t="array" aca="1" ref="A133" ca="1">_xlfn.VSTACK(
    _xlfn.LET(
        _xlpm.poList, PO_Index[PO],
        _xlfn.REDUCE(
            "", _xlpm.poList,
            _xlfn.LAMBDA(_xlpm.a,_xlpm.poNum, _xlfn.VSTACK(_xlpm.a, INDIRECT("'" &amp; _xlpm.poNum &amp; "'!_" &amp; SUBSTITUTE(_xlpm.poNum, "-", "_") &amp; "_table"))))
    )
)</f>
        <v>#VALUE!</v>
      </c>
      <c r="B133" s="109"/>
      <c r="C133" s="109"/>
      <c r="D133" s="110"/>
      <c r="E133" s="119"/>
      <c r="F133" s="112"/>
      <c r="G133" s="109"/>
      <c r="H133" s="130"/>
    </row>
    <row r="134" spans="1:8">
      <c r="A134" s="109" t="e" cm="1" vm="1">
        <f t="array" aca="1" ref="A134" ca="1">_xlfn.VSTACK(
    _xlfn.LET(
        _xlpm.poList, PO_Index[PO],
        _xlfn.REDUCE(
            "", _xlpm.poList,
            _xlfn.LAMBDA(_xlpm.a,_xlpm.poNum, _xlfn.VSTACK(_xlpm.a, INDIRECT("'" &amp; _xlpm.poNum &amp; "'!_" &amp; SUBSTITUTE(_xlpm.poNum, "-", "_") &amp; "_table"))))
    )
)</f>
        <v>#VALUE!</v>
      </c>
      <c r="B134" s="109"/>
      <c r="C134" s="109"/>
      <c r="D134" s="129"/>
      <c r="E134" s="130"/>
      <c r="F134" s="112"/>
      <c r="G134" s="109"/>
      <c r="H134" s="130"/>
    </row>
    <row r="135" spans="1:8">
      <c r="A135" s="109" t="e" cm="1" vm="1">
        <f t="array" aca="1" ref="A135" ca="1">_xlfn.VSTACK(
    _xlfn.LET(
        _xlpm.poList, PO_Index[PO],
        _xlfn.REDUCE(
            "", _xlpm.poList,
            _xlfn.LAMBDA(_xlpm.a,_xlpm.poNum, _xlfn.VSTACK(_xlpm.a, INDIRECT("'" &amp; _xlpm.poNum &amp; "'!_" &amp; SUBSTITUTE(_xlpm.poNum, "-", "_") &amp; "_table"))))
    )
)</f>
        <v>#VALUE!</v>
      </c>
      <c r="B135" s="109"/>
      <c r="C135" s="109"/>
      <c r="D135" s="110"/>
      <c r="E135" s="109"/>
      <c r="F135" s="112"/>
      <c r="G135" s="109"/>
      <c r="H135" s="130"/>
    </row>
    <row r="136" spans="1:8">
      <c r="A136" s="109" t="e" cm="1" vm="1">
        <f t="array" aca="1" ref="A136" ca="1">_xlfn.VSTACK(
    _xlfn.LET(
        _xlpm.poList, PO_Index[PO],
        _xlfn.REDUCE(
            "", _xlpm.poList,
            _xlfn.LAMBDA(_xlpm.a,_xlpm.poNum, _xlfn.VSTACK(_xlpm.a, INDIRECT("'" &amp; _xlpm.poNum &amp; "'!_" &amp; SUBSTITUTE(_xlpm.poNum, "-", "_") &amp; "_table"))))
    )
)</f>
        <v>#VALUE!</v>
      </c>
      <c r="B136" s="109"/>
      <c r="C136" s="109"/>
      <c r="D136" s="110"/>
      <c r="E136" s="109"/>
      <c r="F136" s="112"/>
      <c r="G136" s="109"/>
      <c r="H136" s="130"/>
    </row>
    <row r="137" spans="1:8">
      <c r="A137" s="109" t="e" cm="1" vm="1">
        <f t="array" aca="1" ref="A137" ca="1">_xlfn.VSTACK(
    _xlfn.LET(
        _xlpm.poList, PO_Index[PO],
        _xlfn.REDUCE(
            "", _xlpm.poList,
            _xlfn.LAMBDA(_xlpm.a,_xlpm.poNum, _xlfn.VSTACK(_xlpm.a, INDIRECT("'" &amp; _xlpm.poNum &amp; "'!_" &amp; SUBSTITUTE(_xlpm.poNum, "-", "_") &amp; "_table"))))
    )
)</f>
        <v>#VALUE!</v>
      </c>
      <c r="B137" s="109"/>
      <c r="C137" s="109"/>
      <c r="D137" s="129"/>
      <c r="E137" s="130"/>
      <c r="F137" s="112"/>
      <c r="G137" s="109"/>
      <c r="H137" s="130"/>
    </row>
    <row r="138" spans="1:8">
      <c r="A138" s="109" t="e" cm="1" vm="1">
        <f t="array" aca="1" ref="A138" ca="1">_xlfn.VSTACK(
    _xlfn.LET(
        _xlpm.poList, PO_Index[PO],
        _xlfn.REDUCE(
            "", _xlpm.poList,
            _xlfn.LAMBDA(_xlpm.a,_xlpm.poNum, _xlfn.VSTACK(_xlpm.a, INDIRECT("'" &amp; _xlpm.poNum &amp; "'!_" &amp; SUBSTITUTE(_xlpm.poNum, "-", "_") &amp; "_table"))))
    )
)</f>
        <v>#VALUE!</v>
      </c>
      <c r="B138" s="109"/>
      <c r="C138" s="109"/>
      <c r="D138" s="129"/>
      <c r="E138" s="130"/>
      <c r="F138" s="112"/>
      <c r="G138" s="109"/>
      <c r="H138" s="130"/>
    </row>
    <row r="139" spans="1:8">
      <c r="A139" s="109" t="e" cm="1" vm="1">
        <f t="array" aca="1" ref="A139" ca="1">_xlfn.VSTACK(
    _xlfn.LET(
        _xlpm.poList, PO_Index[PO],
        _xlfn.REDUCE(
            "", _xlpm.poList,
            _xlfn.LAMBDA(_xlpm.a,_xlpm.poNum, _xlfn.VSTACK(_xlpm.a, INDIRECT("'" &amp; _xlpm.poNum &amp; "'!_" &amp; SUBSTITUTE(_xlpm.poNum, "-", "_") &amp; "_table"))))
    )
)</f>
        <v>#VALUE!</v>
      </c>
      <c r="B139" s="109"/>
      <c r="C139" s="109"/>
      <c r="D139" s="110"/>
      <c r="E139" s="109"/>
      <c r="F139" s="112"/>
      <c r="G139" s="109"/>
      <c r="H139" s="130"/>
    </row>
    <row r="140" spans="1:8">
      <c r="A140" s="109" t="e" cm="1" vm="1">
        <f t="array" aca="1" ref="A140" ca="1">_xlfn.VSTACK(
    _xlfn.LET(
        _xlpm.poList, PO_Index[PO],
        _xlfn.REDUCE(
            "", _xlpm.poList,
            _xlfn.LAMBDA(_xlpm.a,_xlpm.poNum, _xlfn.VSTACK(_xlpm.a, INDIRECT("'" &amp; _xlpm.poNum &amp; "'!_" &amp; SUBSTITUTE(_xlpm.poNum, "-", "_") &amp; "_table"))))
    )
)</f>
        <v>#VALUE!</v>
      </c>
      <c r="B140" s="109"/>
      <c r="C140" s="109"/>
      <c r="D140" s="110"/>
      <c r="E140" s="109"/>
      <c r="F140" s="112"/>
      <c r="G140" s="109"/>
      <c r="H140" s="130"/>
    </row>
    <row r="141" spans="1:8">
      <c r="A141" s="109" t="e" cm="1" vm="1">
        <f t="array" aca="1" ref="A141" ca="1">_xlfn.VSTACK(
    _xlfn.LET(
        _xlpm.poList, PO_Index[PO],
        _xlfn.REDUCE(
            "", _xlpm.poList,
            _xlfn.LAMBDA(_xlpm.a,_xlpm.poNum, _xlfn.VSTACK(_xlpm.a, INDIRECT("'" &amp; _xlpm.poNum &amp; "'!_" &amp; SUBSTITUTE(_xlpm.poNum, "-", "_") &amp; "_table"))))
    )
)</f>
        <v>#VALUE!</v>
      </c>
      <c r="B141" s="109"/>
      <c r="C141" s="109"/>
      <c r="D141" s="129"/>
      <c r="E141" s="130"/>
      <c r="F141" s="112"/>
      <c r="G141" s="109"/>
      <c r="H141" s="130"/>
    </row>
    <row r="142" spans="1:8">
      <c r="A142" s="109" t="e" cm="1" vm="1">
        <f t="array" aca="1" ref="A142" ca="1">_xlfn.VSTACK(
    _xlfn.LET(
        _xlpm.poList, PO_Index[PO],
        _xlfn.REDUCE(
            "", _xlpm.poList,
            _xlfn.LAMBDA(_xlpm.a,_xlpm.poNum, _xlfn.VSTACK(_xlpm.a, INDIRECT("'" &amp; _xlpm.poNum &amp; "'!_" &amp; SUBSTITUTE(_xlpm.poNum, "-", "_") &amp; "_table"))))
    )
)</f>
        <v>#VALUE!</v>
      </c>
      <c r="B142" s="109"/>
      <c r="C142" s="109"/>
      <c r="D142" s="129"/>
      <c r="E142" s="130"/>
      <c r="F142" s="112"/>
      <c r="G142" s="109"/>
      <c r="H142" s="130"/>
    </row>
    <row r="143" spans="1:8">
      <c r="A143" s="109" t="e" cm="1" vm="1">
        <f t="array" aca="1" ref="A143" ca="1">_xlfn.VSTACK(
    _xlfn.LET(
        _xlpm.poList, PO_Index[PO],
        _xlfn.REDUCE(
            "", _xlpm.poList,
            _xlfn.LAMBDA(_xlpm.a,_xlpm.poNum, _xlfn.VSTACK(_xlpm.a, INDIRECT("'" &amp; _xlpm.poNum &amp; "'!_" &amp; SUBSTITUTE(_xlpm.poNum, "-", "_") &amp; "_table"))))
    )
)</f>
        <v>#VALUE!</v>
      </c>
      <c r="B143" s="109"/>
      <c r="C143" s="109"/>
      <c r="D143" s="129"/>
      <c r="E143" s="130"/>
      <c r="F143" s="112"/>
      <c r="G143" s="109"/>
      <c r="H143" s="130"/>
    </row>
    <row r="144" spans="1:8">
      <c r="A144" s="109" t="e" cm="1" vm="1">
        <f t="array" aca="1" ref="A144" ca="1">_xlfn.VSTACK(
    _xlfn.LET(
        _xlpm.poList, PO_Index[PO],
        _xlfn.REDUCE(
            "", _xlpm.poList,
            _xlfn.LAMBDA(_xlpm.a,_xlpm.poNum, _xlfn.VSTACK(_xlpm.a, INDIRECT("'" &amp; _xlpm.poNum &amp; "'!_" &amp; SUBSTITUTE(_xlpm.poNum, "-", "_") &amp; "_table"))))
    )
)</f>
        <v>#VALUE!</v>
      </c>
      <c r="B144" s="109"/>
      <c r="C144" s="109"/>
      <c r="D144" s="110"/>
      <c r="E144" s="109"/>
      <c r="F144" s="112"/>
      <c r="G144" s="109"/>
      <c r="H144" s="130"/>
    </row>
    <row r="145" spans="1:8">
      <c r="A145" s="109" t="e" cm="1" vm="1">
        <f t="array" aca="1" ref="A145" ca="1">_xlfn.VSTACK(
    _xlfn.LET(
        _xlpm.poList, PO_Index[PO],
        _xlfn.REDUCE(
            "", _xlpm.poList,
            _xlfn.LAMBDA(_xlpm.a,_xlpm.poNum, _xlfn.VSTACK(_xlpm.a, INDIRECT("'" &amp; _xlpm.poNum &amp; "'!_" &amp; SUBSTITUTE(_xlpm.poNum, "-", "_") &amp; "_table"))))
    )
)</f>
        <v>#VALUE!</v>
      </c>
      <c r="B145" s="109"/>
      <c r="C145" s="109"/>
      <c r="D145" s="129"/>
      <c r="E145" s="130"/>
      <c r="F145" s="112"/>
      <c r="G145" s="109"/>
      <c r="H145" s="130"/>
    </row>
    <row r="146" spans="1:8">
      <c r="A146" s="109" t="e" cm="1" vm="1">
        <f t="array" aca="1" ref="A146" ca="1">_xlfn.VSTACK(
    _xlfn.LET(
        _xlpm.poList, PO_Index[PO],
        _xlfn.REDUCE(
            "", _xlpm.poList,
            _xlfn.LAMBDA(_xlpm.a,_xlpm.poNum, _xlfn.VSTACK(_xlpm.a, INDIRECT("'" &amp; _xlpm.poNum &amp; "'!_" &amp; SUBSTITUTE(_xlpm.poNum, "-", "_") &amp; "_table"))))
    )
)</f>
        <v>#VALUE!</v>
      </c>
      <c r="B146" s="109"/>
      <c r="C146" s="109"/>
      <c r="D146" s="129"/>
      <c r="E146" s="130"/>
      <c r="F146" s="112"/>
      <c r="G146" s="109"/>
      <c r="H146" s="130"/>
    </row>
    <row r="147" spans="1:8">
      <c r="A147" s="109" t="e" cm="1" vm="1">
        <f t="array" aca="1" ref="A147" ca="1">_xlfn.VSTACK(
    _xlfn.LET(
        _xlpm.poList, PO_Index[PO],
        _xlfn.REDUCE(
            "", _xlpm.poList,
            _xlfn.LAMBDA(_xlpm.a,_xlpm.poNum, _xlfn.VSTACK(_xlpm.a, INDIRECT("'" &amp; _xlpm.poNum &amp; "'!_" &amp; SUBSTITUTE(_xlpm.poNum, "-", "_") &amp; "_table"))))
    )
)</f>
        <v>#VALUE!</v>
      </c>
      <c r="B147" s="109"/>
      <c r="C147" s="109"/>
      <c r="D147" s="129"/>
      <c r="E147" s="130"/>
      <c r="F147" s="112"/>
      <c r="G147" s="109"/>
      <c r="H147" s="130"/>
    </row>
    <row r="148" spans="1:8">
      <c r="A148" s="109" t="e" cm="1" vm="1">
        <f t="array" aca="1" ref="A148" ca="1">_xlfn.VSTACK(
    _xlfn.LET(
        _xlpm.poList, PO_Index[PO],
        _xlfn.REDUCE(
            "", _xlpm.poList,
            _xlfn.LAMBDA(_xlpm.a,_xlpm.poNum, _xlfn.VSTACK(_xlpm.a, INDIRECT("'" &amp; _xlpm.poNum &amp; "'!_" &amp; SUBSTITUTE(_xlpm.poNum, "-", "_") &amp; "_table"))))
    )
)</f>
        <v>#VALUE!</v>
      </c>
      <c r="B148" s="109"/>
      <c r="C148" s="109"/>
      <c r="D148" s="110"/>
      <c r="E148" s="109"/>
      <c r="F148" s="112"/>
      <c r="G148" s="109"/>
      <c r="H148" s="130"/>
    </row>
    <row r="149" spans="1:8">
      <c r="A149" s="109" t="e" cm="1" vm="1">
        <f t="array" aca="1" ref="A149" ca="1">_xlfn.VSTACK(
    _xlfn.LET(
        _xlpm.poList, PO_Index[PO],
        _xlfn.REDUCE(
            "", _xlpm.poList,
            _xlfn.LAMBDA(_xlpm.a,_xlpm.poNum, _xlfn.VSTACK(_xlpm.a, INDIRECT("'" &amp; _xlpm.poNum &amp; "'!_" &amp; SUBSTITUTE(_xlpm.poNum, "-", "_") &amp; "_table"))))
    )
)</f>
        <v>#VALUE!</v>
      </c>
      <c r="B149" s="109"/>
      <c r="C149" s="109"/>
      <c r="D149" s="110"/>
      <c r="E149" s="109"/>
      <c r="F149" s="112"/>
      <c r="G149" s="109"/>
      <c r="H149" s="130"/>
    </row>
    <row r="150" spans="1:8">
      <c r="A150" s="109" t="e" cm="1" vm="1">
        <f t="array" aca="1" ref="A150" ca="1">_xlfn.VSTACK(
    _xlfn.LET(
        _xlpm.poList, PO_Index[PO],
        _xlfn.REDUCE(
            "", _xlpm.poList,
            _xlfn.LAMBDA(_xlpm.a,_xlpm.poNum, _xlfn.VSTACK(_xlpm.a, INDIRECT("'" &amp; _xlpm.poNum &amp; "'!_" &amp; SUBSTITUTE(_xlpm.poNum, "-", "_") &amp; "_table"))))
    )
)</f>
        <v>#VALUE!</v>
      </c>
      <c r="B150" s="109"/>
      <c r="C150" s="109"/>
      <c r="D150" s="110"/>
      <c r="E150" s="109"/>
      <c r="F150" s="112"/>
      <c r="G150" s="109"/>
      <c r="H150" s="130"/>
    </row>
    <row r="151" spans="1:8">
      <c r="A151" s="109" t="e" cm="1" vm="1">
        <f t="array" aca="1" ref="A151" ca="1">_xlfn.VSTACK(
    _xlfn.LET(
        _xlpm.poList, PO_Index[PO],
        _xlfn.REDUCE(
            "", _xlpm.poList,
            _xlfn.LAMBDA(_xlpm.a,_xlpm.poNum, _xlfn.VSTACK(_xlpm.a, INDIRECT("'" &amp; _xlpm.poNum &amp; "'!_" &amp; SUBSTITUTE(_xlpm.poNum, "-", "_") &amp; "_table"))))
    )
)</f>
        <v>#VALUE!</v>
      </c>
      <c r="B151" s="109"/>
      <c r="C151" s="109"/>
      <c r="D151" s="110"/>
      <c r="E151" s="109"/>
      <c r="F151" s="112"/>
      <c r="G151" s="109"/>
      <c r="H151" s="130"/>
    </row>
    <row r="152" spans="1:8">
      <c r="A152" s="117" t="e" cm="1" vm="1">
        <f t="array" aca="1" ref="A152" ca="1">_xlfn.VSTACK(
    _xlfn.LET(
        _xlpm.poList, PO_Index[PO],
        _xlfn.REDUCE(
            "", _xlpm.poList,
            _xlfn.LAMBDA(_xlpm.a,_xlpm.poNum, _xlfn.VSTACK(_xlpm.a, INDIRECT("'" &amp; _xlpm.poNum &amp; "'!_" &amp; SUBSTITUTE(_xlpm.poNum, "-", "_") &amp; "_table"))))
    )
)</f>
        <v>#VALUE!</v>
      </c>
      <c r="B152" s="109"/>
      <c r="C152" s="109"/>
      <c r="D152" s="110"/>
      <c r="E152" s="109"/>
      <c r="F152" s="112"/>
      <c r="G152" s="109"/>
      <c r="H152" s="134"/>
    </row>
    <row r="153" spans="1:8">
      <c r="A153" s="109" t="e" cm="1" vm="1">
        <f t="array" aca="1" ref="A153" ca="1">_xlfn.VSTACK(
    _xlfn.LET(
        _xlpm.poList, PO_Index[PO],
        _xlfn.REDUCE(
            "", _xlpm.poList,
            _xlfn.LAMBDA(_xlpm.a,_xlpm.poNum, _xlfn.VSTACK(_xlpm.a, INDIRECT("'" &amp; _xlpm.poNum &amp; "'!_" &amp; SUBSTITUTE(_xlpm.poNum, "-", "_") &amp; "_table"))))
    )
)</f>
        <v>#VALUE!</v>
      </c>
      <c r="B153" s="109"/>
      <c r="C153" s="109"/>
      <c r="D153" s="110"/>
      <c r="E153" s="109"/>
      <c r="F153" s="112"/>
      <c r="G153" s="109"/>
      <c r="H153" s="130"/>
    </row>
    <row r="154" spans="1:8">
      <c r="A154" s="109" t="e" cm="1" vm="1">
        <f t="array" aca="1" ref="A154" ca="1">_xlfn.VSTACK(
    _xlfn.LET(
        _xlpm.poList, PO_Index[PO],
        _xlfn.REDUCE(
            "", _xlpm.poList,
            _xlfn.LAMBDA(_xlpm.a,_xlpm.poNum, _xlfn.VSTACK(_xlpm.a, INDIRECT("'" &amp; _xlpm.poNum &amp; "'!_" &amp; SUBSTITUTE(_xlpm.poNum, "-", "_") &amp; "_table"))))
    )
)</f>
        <v>#VALUE!</v>
      </c>
      <c r="B154" s="109"/>
      <c r="C154" s="109"/>
      <c r="D154" s="110"/>
      <c r="E154" s="119"/>
      <c r="F154" s="131"/>
      <c r="G154" s="109"/>
      <c r="H154" s="130"/>
    </row>
    <row r="155" spans="1:8">
      <c r="A155" s="109" t="e" cm="1" vm="1">
        <f t="array" aca="1" ref="A155" ca="1">_xlfn.VSTACK(
    _xlfn.LET(
        _xlpm.poList, PO_Index[PO],
        _xlfn.REDUCE(
            "", _xlpm.poList,
            _xlfn.LAMBDA(_xlpm.a,_xlpm.poNum, _xlfn.VSTACK(_xlpm.a, INDIRECT("'" &amp; _xlpm.poNum &amp; "'!_" &amp; SUBSTITUTE(_xlpm.poNum, "-", "_") &amp; "_table"))))
    )
)</f>
        <v>#VALUE!</v>
      </c>
      <c r="B155" s="109"/>
      <c r="C155" s="109"/>
      <c r="D155" s="110"/>
      <c r="E155" s="119"/>
      <c r="F155" s="131"/>
      <c r="G155" s="109"/>
      <c r="H155" s="130"/>
    </row>
    <row r="156" spans="1:8">
      <c r="A156" s="109" t="e" cm="1" vm="1">
        <f t="array" aca="1" ref="A156" ca="1">_xlfn.VSTACK(
    _xlfn.LET(
        _xlpm.poList, PO_Index[PO],
        _xlfn.REDUCE(
            "", _xlpm.poList,
            _xlfn.LAMBDA(_xlpm.a,_xlpm.poNum, _xlfn.VSTACK(_xlpm.a, INDIRECT("'" &amp; _xlpm.poNum &amp; "'!_" &amp; SUBSTITUTE(_xlpm.poNum, "-", "_") &amp; "_table"))))
    )
)</f>
        <v>#VALUE!</v>
      </c>
      <c r="B156" s="109"/>
      <c r="C156" s="109"/>
      <c r="D156" s="110"/>
      <c r="E156" s="109"/>
      <c r="F156" s="112"/>
      <c r="G156" s="109"/>
      <c r="H156" s="130"/>
    </row>
    <row r="157" spans="1:8">
      <c r="A157" s="109" t="e" cm="1" vm="1">
        <f t="array" aca="1" ref="A157" ca="1">_xlfn.VSTACK(
    _xlfn.LET(
        _xlpm.poList, PO_Index[PO],
        _xlfn.REDUCE(
            "", _xlpm.poList,
            _xlfn.LAMBDA(_xlpm.a,_xlpm.poNum, _xlfn.VSTACK(_xlpm.a, INDIRECT("'" &amp; _xlpm.poNum &amp; "'!_" &amp; SUBSTITUTE(_xlpm.poNum, "-", "_") &amp; "_table"))))
    )
)</f>
        <v>#VALUE!</v>
      </c>
      <c r="B157" s="109"/>
      <c r="C157" s="109"/>
      <c r="D157" s="129"/>
      <c r="E157" s="130"/>
      <c r="F157" s="112"/>
      <c r="G157" s="109"/>
      <c r="H157" s="130"/>
    </row>
    <row r="158" spans="1:8">
      <c r="A158" s="109" t="e" cm="1" vm="1">
        <f t="array" aca="1" ref="A158" ca="1">_xlfn.VSTACK(
    _xlfn.LET(
        _xlpm.poList, PO_Index[PO],
        _xlfn.REDUCE(
            "", _xlpm.poList,
            _xlfn.LAMBDA(_xlpm.a,_xlpm.poNum, _xlfn.VSTACK(_xlpm.a, INDIRECT("'" &amp; _xlpm.poNum &amp; "'!_" &amp; SUBSTITUTE(_xlpm.poNum, "-", "_") &amp; "_table"))))
    )
)</f>
        <v>#VALUE!</v>
      </c>
      <c r="B158" s="109"/>
      <c r="C158" s="109"/>
      <c r="D158" s="110"/>
      <c r="E158" s="109"/>
      <c r="F158" s="112"/>
      <c r="G158" s="109"/>
      <c r="H158" s="130"/>
    </row>
    <row r="159" spans="1:8">
      <c r="A159" s="109" t="e" cm="1" vm="1">
        <f t="array" aca="1" ref="A159" ca="1">_xlfn.VSTACK(
    _xlfn.LET(
        _xlpm.poList, PO_Index[PO],
        _xlfn.REDUCE(
            "", _xlpm.poList,
            _xlfn.LAMBDA(_xlpm.a,_xlpm.poNum, _xlfn.VSTACK(_xlpm.a, INDIRECT("'" &amp; _xlpm.poNum &amp; "'!_" &amp; SUBSTITUTE(_xlpm.poNum, "-", "_") &amp; "_table"))))
    )
)</f>
        <v>#VALUE!</v>
      </c>
      <c r="B159" s="109"/>
      <c r="C159" s="109"/>
      <c r="D159" s="110"/>
      <c r="E159" s="109"/>
      <c r="F159" s="112"/>
      <c r="G159" s="109"/>
      <c r="H159" s="130"/>
    </row>
    <row r="160" spans="1:8">
      <c r="A160" s="109" t="e" cm="1" vm="1">
        <f t="array" aca="1" ref="A160" ca="1">_xlfn.VSTACK(
    _xlfn.LET(
        _xlpm.poList, PO_Index[PO],
        _xlfn.REDUCE(
            "", _xlpm.poList,
            _xlfn.LAMBDA(_xlpm.a,_xlpm.poNum, _xlfn.VSTACK(_xlpm.a, INDIRECT("'" &amp; _xlpm.poNum &amp; "'!_" &amp; SUBSTITUTE(_xlpm.poNum, "-", "_") &amp; "_table"))))
    )
)</f>
        <v>#VALUE!</v>
      </c>
      <c r="B160" s="109"/>
      <c r="C160" s="109"/>
      <c r="D160" s="110"/>
      <c r="E160" s="109"/>
      <c r="F160" s="112"/>
      <c r="G160" s="109"/>
      <c r="H160" s="130"/>
    </row>
    <row r="161" spans="1:8">
      <c r="A161" s="109" t="e" cm="1" vm="1">
        <f t="array" aca="1" ref="A161" ca="1">_xlfn.VSTACK(
    _xlfn.LET(
        _xlpm.poList, PO_Index[PO],
        _xlfn.REDUCE(
            "", _xlpm.poList,
            _xlfn.LAMBDA(_xlpm.a,_xlpm.poNum, _xlfn.VSTACK(_xlpm.a, INDIRECT("'" &amp; _xlpm.poNum &amp; "'!_" &amp; SUBSTITUTE(_xlpm.poNum, "-", "_") &amp; "_table"))))
    )
)</f>
        <v>#VALUE!</v>
      </c>
      <c r="B161" s="109"/>
      <c r="C161" s="109"/>
      <c r="D161" s="110"/>
      <c r="E161" s="109"/>
      <c r="F161" s="112"/>
      <c r="G161" s="109"/>
      <c r="H161" s="130"/>
    </row>
    <row r="162" spans="1:8">
      <c r="A162" s="109" t="e" cm="1" vm="1">
        <f t="array" aca="1" ref="A162" ca="1">_xlfn.VSTACK(
    _xlfn.LET(
        _xlpm.poList, PO_Index[PO],
        _xlfn.REDUCE(
            "", _xlpm.poList,
            _xlfn.LAMBDA(_xlpm.a,_xlpm.poNum, _xlfn.VSTACK(_xlpm.a, INDIRECT("'" &amp; _xlpm.poNum &amp; "'!_" &amp; SUBSTITUTE(_xlpm.poNum, "-", "_") &amp; "_table"))))
    )
)</f>
        <v>#VALUE!</v>
      </c>
      <c r="B162" s="109"/>
      <c r="C162" s="109"/>
      <c r="D162" s="110"/>
      <c r="E162" s="109"/>
      <c r="F162" s="112"/>
      <c r="G162" s="109"/>
      <c r="H162" s="130"/>
    </row>
    <row r="163" spans="1:8">
      <c r="A163" s="109" t="e" cm="1" vm="1">
        <f t="array" aca="1" ref="A163" ca="1">_xlfn.VSTACK(
    _xlfn.LET(
        _xlpm.poList, PO_Index[PO],
        _xlfn.REDUCE(
            "", _xlpm.poList,
            _xlfn.LAMBDA(_xlpm.a,_xlpm.poNum, _xlfn.VSTACK(_xlpm.a, INDIRECT("'" &amp; _xlpm.poNum &amp; "'!_" &amp; SUBSTITUTE(_xlpm.poNum, "-", "_") &amp; "_table"))))
    )
)</f>
        <v>#VALUE!</v>
      </c>
      <c r="B163" s="109"/>
      <c r="C163" s="109"/>
      <c r="D163" s="110"/>
      <c r="E163" s="119"/>
      <c r="F163" s="112"/>
      <c r="G163" s="109"/>
      <c r="H163" s="130"/>
    </row>
    <row r="164" spans="1:8">
      <c r="A164" s="109" t="e" cm="1" vm="1">
        <f t="array" aca="1" ref="A164" ca="1">_xlfn.VSTACK(
    _xlfn.LET(
        _xlpm.poList, PO_Index[PO],
        _xlfn.REDUCE(
            "", _xlpm.poList,
            _xlfn.LAMBDA(_xlpm.a,_xlpm.poNum, _xlfn.VSTACK(_xlpm.a, INDIRECT("'" &amp; _xlpm.poNum &amp; "'!_" &amp; SUBSTITUTE(_xlpm.poNum, "-", "_") &amp; "_table"))))
    )
)</f>
        <v>#VALUE!</v>
      </c>
      <c r="B164" s="109"/>
      <c r="C164" s="109"/>
      <c r="D164" s="110"/>
      <c r="E164" s="109"/>
      <c r="F164" s="112"/>
      <c r="G164" s="109"/>
      <c r="H164" s="130"/>
    </row>
    <row r="165" spans="1:8">
      <c r="A165" s="109" t="e" cm="1" vm="1">
        <f t="array" aca="1" ref="A165" ca="1">_xlfn.VSTACK(
    _xlfn.LET(
        _xlpm.poList, PO_Index[PO],
        _xlfn.REDUCE(
            "", _xlpm.poList,
            _xlfn.LAMBDA(_xlpm.a,_xlpm.poNum, _xlfn.VSTACK(_xlpm.a, INDIRECT("'" &amp; _xlpm.poNum &amp; "'!_" &amp; SUBSTITUTE(_xlpm.poNum, "-", "_") &amp; "_table"))))
    )
)</f>
        <v>#VALUE!</v>
      </c>
      <c r="B165" s="109"/>
      <c r="C165" s="109"/>
      <c r="D165" s="110"/>
      <c r="E165" s="109"/>
      <c r="F165" s="112"/>
      <c r="G165" s="109"/>
      <c r="H165" s="130"/>
    </row>
    <row r="166" spans="1:8">
      <c r="A166" s="109" t="e" cm="1" vm="1">
        <f t="array" aca="1" ref="A166" ca="1">_xlfn.VSTACK(
    _xlfn.LET(
        _xlpm.poList, PO_Index[PO],
        _xlfn.REDUCE(
            "", _xlpm.poList,
            _xlfn.LAMBDA(_xlpm.a,_xlpm.poNum, _xlfn.VSTACK(_xlpm.a, INDIRECT("'" &amp; _xlpm.poNum &amp; "'!_" &amp; SUBSTITUTE(_xlpm.poNum, "-", "_") &amp; "_table"))))
    )
)</f>
        <v>#VALUE!</v>
      </c>
      <c r="B166" s="109"/>
      <c r="C166" s="109"/>
      <c r="D166" s="110"/>
      <c r="E166" s="109"/>
      <c r="F166" s="112"/>
      <c r="G166" s="109"/>
      <c r="H166" s="130"/>
    </row>
    <row r="167" spans="1:8">
      <c r="A167" s="109" t="e" cm="1" vm="1">
        <f t="array" aca="1" ref="A167" ca="1">_xlfn.VSTACK(
    _xlfn.LET(
        _xlpm.poList, PO_Index[PO],
        _xlfn.REDUCE(
            "", _xlpm.poList,
            _xlfn.LAMBDA(_xlpm.a,_xlpm.poNum, _xlfn.VSTACK(_xlpm.a, INDIRECT("'" &amp; _xlpm.poNum &amp; "'!_" &amp; SUBSTITUTE(_xlpm.poNum, "-", "_") &amp; "_table"))))
    )
)</f>
        <v>#VALUE!</v>
      </c>
      <c r="B167" s="109"/>
      <c r="C167" s="109"/>
      <c r="D167" s="110"/>
      <c r="E167" s="109"/>
      <c r="F167" s="112"/>
      <c r="G167" s="109"/>
      <c r="H167" s="130"/>
    </row>
    <row r="168" spans="1:8">
      <c r="A168" s="109" t="e" cm="1" vm="1">
        <f t="array" aca="1" ref="A168" ca="1">_xlfn.VSTACK(
    _xlfn.LET(
        _xlpm.poList, PO_Index[PO],
        _xlfn.REDUCE(
            "", _xlpm.poList,
            _xlfn.LAMBDA(_xlpm.a,_xlpm.poNum, _xlfn.VSTACK(_xlpm.a, INDIRECT("'" &amp; _xlpm.poNum &amp; "'!_" &amp; SUBSTITUTE(_xlpm.poNum, "-", "_") &amp; "_table"))))
    )
)</f>
        <v>#VALUE!</v>
      </c>
      <c r="B168" s="117"/>
      <c r="C168" s="109"/>
      <c r="D168" s="110"/>
      <c r="E168" s="109"/>
      <c r="F168" s="112"/>
      <c r="G168" s="109"/>
      <c r="H168" s="130"/>
    </row>
    <row r="169" spans="1:8" s="87" customFormat="1">
      <c r="A169" s="109" t="e" cm="1" vm="1">
        <f t="array" aca="1" ref="A169" ca="1">_xlfn.VSTACK(
    _xlfn.LET(
        _xlpm.poList, PO_Index[PO],
        _xlfn.REDUCE(
            "", _xlpm.poList,
            _xlfn.LAMBDA(_xlpm.a,_xlpm.poNum, _xlfn.VSTACK(_xlpm.a, INDIRECT("'" &amp; _xlpm.poNum &amp; "'!_" &amp; SUBSTITUTE(_xlpm.poNum, "-", "_") &amp; "_table"))))
    )
)</f>
        <v>#VALUE!</v>
      </c>
      <c r="B169" s="117"/>
      <c r="C169" s="109"/>
      <c r="D169" s="110"/>
      <c r="E169" s="109"/>
      <c r="F169" s="112"/>
      <c r="G169" s="109"/>
      <c r="H169" s="130"/>
    </row>
    <row r="170" spans="1:8">
      <c r="A170" s="109" t="e" cm="1" vm="1">
        <f t="array" aca="1" ref="A170" ca="1">_xlfn.VSTACK(
    _xlfn.LET(
        _xlpm.poList, PO_Index[PO],
        _xlfn.REDUCE(
            "", _xlpm.poList,
            _xlfn.LAMBDA(_xlpm.a,_xlpm.poNum, _xlfn.VSTACK(_xlpm.a, INDIRECT("'" &amp; _xlpm.poNum &amp; "'!_" &amp; SUBSTITUTE(_xlpm.poNum, "-", "_") &amp; "_table"))))
    )
)</f>
        <v>#VALUE!</v>
      </c>
      <c r="B170" s="117"/>
      <c r="C170" s="109"/>
      <c r="D170" s="110"/>
      <c r="E170" s="109"/>
      <c r="F170" s="112"/>
      <c r="G170" s="109"/>
      <c r="H170" s="130"/>
    </row>
    <row r="171" spans="1:8">
      <c r="A171" s="109" t="e" cm="1" vm="1">
        <f t="array" aca="1" ref="A171" ca="1">_xlfn.VSTACK(
    _xlfn.LET(
        _xlpm.poList, PO_Index[PO],
        _xlfn.REDUCE(
            "", _xlpm.poList,
            _xlfn.LAMBDA(_xlpm.a,_xlpm.poNum, _xlfn.VSTACK(_xlpm.a, INDIRECT("'" &amp; _xlpm.poNum &amp; "'!_" &amp; SUBSTITUTE(_xlpm.poNum, "-", "_") &amp; "_table"))))
    )
)</f>
        <v>#VALUE!</v>
      </c>
      <c r="B171" s="111"/>
      <c r="C171" s="109"/>
      <c r="D171" s="110"/>
      <c r="E171" s="111"/>
      <c r="F171" s="112"/>
      <c r="G171" s="109"/>
      <c r="H171" s="130"/>
    </row>
    <row r="172" spans="1:8">
      <c r="A172" s="109" t="e" cm="1" vm="1">
        <f t="array" aca="1" ref="A172" ca="1">_xlfn.VSTACK(
    _xlfn.LET(
        _xlpm.poList, PO_Index[PO],
        _xlfn.REDUCE(
            "", _xlpm.poList,
            _xlfn.LAMBDA(_xlpm.a,_xlpm.poNum, _xlfn.VSTACK(_xlpm.a, INDIRECT("'" &amp; _xlpm.poNum &amp; "'!_" &amp; SUBSTITUTE(_xlpm.poNum, "-", "_") &amp; "_table"))))
    )
)</f>
        <v>#VALUE!</v>
      </c>
      <c r="B172" s="111"/>
      <c r="C172" s="109"/>
      <c r="D172" s="110"/>
      <c r="E172" s="111"/>
      <c r="F172" s="112"/>
      <c r="G172" s="109"/>
      <c r="H172" s="130"/>
    </row>
    <row r="173" spans="1:8">
      <c r="A173" s="109" t="e" cm="1" vm="1">
        <f t="array" aca="1" ref="A173" ca="1">_xlfn.VSTACK(
    _xlfn.LET(
        _xlpm.poList, PO_Index[PO],
        _xlfn.REDUCE(
            "", _xlpm.poList,
            _xlfn.LAMBDA(_xlpm.a,_xlpm.poNum, _xlfn.VSTACK(_xlpm.a, INDIRECT("'" &amp; _xlpm.poNum &amp; "'!_" &amp; SUBSTITUTE(_xlpm.poNum, "-", "_") &amp; "_table"))))
    )
)</f>
        <v>#VALUE!</v>
      </c>
      <c r="B173" s="111"/>
      <c r="C173" s="109"/>
      <c r="D173" s="110"/>
      <c r="E173" s="111"/>
      <c r="F173" s="112"/>
      <c r="G173" s="109"/>
      <c r="H173" s="130"/>
    </row>
    <row r="174" spans="1:8">
      <c r="A174" s="109" t="e" cm="1" vm="1">
        <f t="array" aca="1" ref="A174" ca="1">_xlfn.VSTACK(
    _xlfn.LET(
        _xlpm.poList, PO_Index[PO],
        _xlfn.REDUCE(
            "", _xlpm.poList,
            _xlfn.LAMBDA(_xlpm.a,_xlpm.poNum, _xlfn.VSTACK(_xlpm.a, INDIRECT("'" &amp; _xlpm.poNum &amp; "'!_" &amp; SUBSTITUTE(_xlpm.poNum, "-", "_") &amp; "_table"))))
    )
)</f>
        <v>#VALUE!</v>
      </c>
      <c r="B174" s="111"/>
      <c r="C174" s="109"/>
      <c r="D174" s="110"/>
      <c r="E174" s="111"/>
      <c r="F174" s="112"/>
      <c r="G174" s="109"/>
      <c r="H174" s="130"/>
    </row>
    <row r="175" spans="1:8">
      <c r="A175" s="109" t="e" cm="1" vm="1">
        <f t="array" aca="1" ref="A175" ca="1">_xlfn.VSTACK(
    _xlfn.LET(
        _xlpm.poList, PO_Index[PO],
        _xlfn.REDUCE(
            "", _xlpm.poList,
            _xlfn.LAMBDA(_xlpm.a,_xlpm.poNum, _xlfn.VSTACK(_xlpm.a, INDIRECT("'" &amp; _xlpm.poNum &amp; "'!_" &amp; SUBSTITUTE(_xlpm.poNum, "-", "_") &amp; "_table"))))
    )
)</f>
        <v>#VALUE!</v>
      </c>
      <c r="B175" s="111"/>
      <c r="C175" s="109"/>
      <c r="D175" s="110"/>
      <c r="E175" s="111"/>
      <c r="F175" s="112"/>
      <c r="G175" s="109"/>
      <c r="H175" s="130"/>
    </row>
    <row r="176" spans="1:8">
      <c r="A176" s="109" t="e" cm="1" vm="1">
        <f t="array" aca="1" ref="A176" ca="1">_xlfn.VSTACK(
    _xlfn.LET(
        _xlpm.poList, PO_Index[PO],
        _xlfn.REDUCE(
            "", _xlpm.poList,
            _xlfn.LAMBDA(_xlpm.a,_xlpm.poNum, _xlfn.VSTACK(_xlpm.a, INDIRECT("'" &amp; _xlpm.poNum &amp; "'!_" &amp; SUBSTITUTE(_xlpm.poNum, "-", "_") &amp; "_table"))))
    )
)</f>
        <v>#VALUE!</v>
      </c>
      <c r="B176" s="111"/>
      <c r="C176" s="109"/>
      <c r="D176" s="110"/>
      <c r="E176" s="111"/>
      <c r="F176" s="112"/>
      <c r="G176" s="109"/>
      <c r="H176" s="130"/>
    </row>
    <row r="177" spans="1:8">
      <c r="A177" s="109" t="e" cm="1" vm="1">
        <f t="array" aca="1" ref="A177" ca="1">_xlfn.VSTACK(
    _xlfn.LET(
        _xlpm.poList, PO_Index[PO],
        _xlfn.REDUCE(
            "", _xlpm.poList,
            _xlfn.LAMBDA(_xlpm.a,_xlpm.poNum, _xlfn.VSTACK(_xlpm.a, INDIRECT("'" &amp; _xlpm.poNum &amp; "'!_" &amp; SUBSTITUTE(_xlpm.poNum, "-", "_") &amp; "_table"))))
    )
)</f>
        <v>#VALUE!</v>
      </c>
      <c r="B177" s="111"/>
      <c r="C177" s="109"/>
      <c r="D177" s="110"/>
      <c r="E177" s="111"/>
      <c r="F177" s="112"/>
      <c r="G177" s="109"/>
      <c r="H177" s="130"/>
    </row>
    <row r="178" spans="1:8">
      <c r="A178" s="109" t="e" cm="1" vm="1">
        <f t="array" aca="1" ref="A178" ca="1">_xlfn.VSTACK(
    _xlfn.LET(
        _xlpm.poList, PO_Index[PO],
        _xlfn.REDUCE(
            "", _xlpm.poList,
            _xlfn.LAMBDA(_xlpm.a,_xlpm.poNum, _xlfn.VSTACK(_xlpm.a, INDIRECT("'" &amp; _xlpm.poNum &amp; "'!_" &amp; SUBSTITUTE(_xlpm.poNum, "-", "_") &amp; "_table"))))
    )
)</f>
        <v>#VALUE!</v>
      </c>
      <c r="B178" s="111"/>
      <c r="C178" s="109"/>
      <c r="D178" s="110"/>
      <c r="E178" s="111"/>
      <c r="F178" s="112"/>
      <c r="G178" s="109"/>
      <c r="H178" s="130"/>
    </row>
    <row r="179" spans="1:8">
      <c r="A179" s="109" t="e" cm="1" vm="1">
        <f t="array" aca="1" ref="A179" ca="1">_xlfn.VSTACK(
    _xlfn.LET(
        _xlpm.poList, PO_Index[PO],
        _xlfn.REDUCE(
            "", _xlpm.poList,
            _xlfn.LAMBDA(_xlpm.a,_xlpm.poNum, _xlfn.VSTACK(_xlpm.a, INDIRECT("'" &amp; _xlpm.poNum &amp; "'!_" &amp; SUBSTITUTE(_xlpm.poNum, "-", "_") &amp; "_table"))))
    )
)</f>
        <v>#VALUE!</v>
      </c>
      <c r="B179" s="111"/>
      <c r="C179" s="109"/>
      <c r="D179" s="110"/>
      <c r="E179" s="111"/>
      <c r="F179" s="112"/>
      <c r="G179" s="109"/>
      <c r="H179" s="130"/>
    </row>
    <row r="180" spans="1:8">
      <c r="A180" s="109" t="e" cm="1" vm="1">
        <f t="array" aca="1" ref="A180" ca="1">_xlfn.VSTACK(
    _xlfn.LET(
        _xlpm.poList, PO_Index[PO],
        _xlfn.REDUCE(
            "", _xlpm.poList,
            _xlfn.LAMBDA(_xlpm.a,_xlpm.poNum, _xlfn.VSTACK(_xlpm.a, INDIRECT("'" &amp; _xlpm.poNum &amp; "'!_" &amp; SUBSTITUTE(_xlpm.poNum, "-", "_") &amp; "_table"))))
    )
)</f>
        <v>#VALUE!</v>
      </c>
      <c r="B180" s="109"/>
      <c r="C180" s="109"/>
      <c r="D180" s="110"/>
      <c r="E180" s="119"/>
      <c r="F180" s="112"/>
      <c r="G180" s="109"/>
      <c r="H180" s="130"/>
    </row>
    <row r="181" spans="1:8">
      <c r="A181" s="109" t="e" cm="1" vm="1">
        <f t="array" aca="1" ref="A181" ca="1">_xlfn.VSTACK(
    _xlfn.LET(
        _xlpm.poList, PO_Index[PO],
        _xlfn.REDUCE(
            "", _xlpm.poList,
            _xlfn.LAMBDA(_xlpm.a,_xlpm.poNum, _xlfn.VSTACK(_xlpm.a, INDIRECT("'" &amp; _xlpm.poNum &amp; "'!_" &amp; SUBSTITUTE(_xlpm.poNum, "-", "_") &amp; "_table"))))
    )
)</f>
        <v>#VALUE!</v>
      </c>
      <c r="B181" s="111"/>
      <c r="C181" s="109"/>
      <c r="D181" s="110"/>
      <c r="E181" s="111"/>
      <c r="F181" s="112"/>
      <c r="G181" s="109"/>
      <c r="H181" s="130"/>
    </row>
    <row r="182" spans="1:8">
      <c r="A182" s="109" t="e" cm="1" vm="1">
        <f t="array" aca="1" ref="A182" ca="1">_xlfn.VSTACK(
    _xlfn.LET(
        _xlpm.poList, PO_Index[PO],
        _xlfn.REDUCE(
            "", _xlpm.poList,
            _xlfn.LAMBDA(_xlpm.a,_xlpm.poNum, _xlfn.VSTACK(_xlpm.a, INDIRECT("'" &amp; _xlpm.poNum &amp; "'!_" &amp; SUBSTITUTE(_xlpm.poNum, "-", "_") &amp; "_table"))))
    )
)</f>
        <v>#VALUE!</v>
      </c>
      <c r="B182" s="111"/>
      <c r="C182" s="109"/>
      <c r="D182" s="110"/>
      <c r="E182" s="111"/>
      <c r="F182" s="112"/>
      <c r="G182" s="109"/>
      <c r="H182" s="130"/>
    </row>
    <row r="183" spans="1:8">
      <c r="A183" s="109" t="e" cm="1" vm="1">
        <f t="array" aca="1" ref="A183" ca="1">_xlfn.VSTACK(
    _xlfn.LET(
        _xlpm.poList, PO_Index[PO],
        _xlfn.REDUCE(
            "", _xlpm.poList,
            _xlfn.LAMBDA(_xlpm.a,_xlpm.poNum, _xlfn.VSTACK(_xlpm.a, INDIRECT("'" &amp; _xlpm.poNum &amp; "'!_" &amp; SUBSTITUTE(_xlpm.poNum, "-", "_") &amp; "_table"))))
    )
)</f>
        <v>#VALUE!</v>
      </c>
      <c r="B183" s="111"/>
      <c r="C183" s="109"/>
      <c r="D183" s="110"/>
      <c r="E183" s="111"/>
      <c r="F183" s="112"/>
      <c r="G183" s="109"/>
      <c r="H183" s="130"/>
    </row>
    <row r="184" spans="1:8">
      <c r="A184" s="109" t="e" cm="1" vm="1">
        <f t="array" aca="1" ref="A184" ca="1">_xlfn.VSTACK(
    _xlfn.LET(
        _xlpm.poList, PO_Index[PO],
        _xlfn.REDUCE(
            "", _xlpm.poList,
            _xlfn.LAMBDA(_xlpm.a,_xlpm.poNum, _xlfn.VSTACK(_xlpm.a, INDIRECT("'" &amp; _xlpm.poNum &amp; "'!_" &amp; SUBSTITUTE(_xlpm.poNum, "-", "_") &amp; "_table"))))
    )
)</f>
        <v>#VALUE!</v>
      </c>
      <c r="B184" s="111"/>
      <c r="C184" s="109"/>
      <c r="D184" s="110"/>
      <c r="E184" s="111"/>
      <c r="F184" s="112"/>
      <c r="G184" s="109"/>
      <c r="H184" s="130"/>
    </row>
    <row r="185" spans="1:8">
      <c r="A185" s="109" t="e" cm="1" vm="1">
        <f t="array" aca="1" ref="A185" ca="1">_xlfn.VSTACK(
    _xlfn.LET(
        _xlpm.poList, PO_Index[PO],
        _xlfn.REDUCE(
            "", _xlpm.poList,
            _xlfn.LAMBDA(_xlpm.a,_xlpm.poNum, _xlfn.VSTACK(_xlpm.a, INDIRECT("'" &amp; _xlpm.poNum &amp; "'!_" &amp; SUBSTITUTE(_xlpm.poNum, "-", "_") &amp; "_table"))))
    )
)</f>
        <v>#VALUE!</v>
      </c>
      <c r="B185" s="109"/>
      <c r="C185" s="109"/>
      <c r="D185" s="110"/>
      <c r="E185" s="109"/>
      <c r="F185" s="112"/>
      <c r="G185" s="109"/>
      <c r="H185" s="130"/>
    </row>
    <row r="186" spans="1:8">
      <c r="A186" s="109" t="e" cm="1" vm="1">
        <f t="array" aca="1" ref="A186" ca="1">_xlfn.VSTACK(
    _xlfn.LET(
        _xlpm.poList, PO_Index[PO],
        _xlfn.REDUCE(
            "", _xlpm.poList,
            _xlfn.LAMBDA(_xlpm.a,_xlpm.poNum, _xlfn.VSTACK(_xlpm.a, INDIRECT("'" &amp; _xlpm.poNum &amp; "'!_" &amp; SUBSTITUTE(_xlpm.poNum, "-", "_") &amp; "_table"))))
    )
)</f>
        <v>#VALUE!</v>
      </c>
      <c r="B186" s="111"/>
      <c r="C186" s="109"/>
      <c r="D186" s="110"/>
      <c r="E186" s="119"/>
      <c r="F186" s="112"/>
      <c r="G186" s="109"/>
      <c r="H186" s="130"/>
    </row>
    <row r="187" spans="1:8">
      <c r="A187" s="109" t="e" cm="1" vm="1">
        <f t="array" aca="1" ref="A187" ca="1">_xlfn.VSTACK(
    _xlfn.LET(
        _xlpm.poList, PO_Index[PO],
        _xlfn.REDUCE(
            "", _xlpm.poList,
            _xlfn.LAMBDA(_xlpm.a,_xlpm.poNum, _xlfn.VSTACK(_xlpm.a, INDIRECT("'" &amp; _xlpm.poNum &amp; "'!_" &amp; SUBSTITUTE(_xlpm.poNum, "-", "_") &amp; "_table"))))
    )
)</f>
        <v>#VALUE!</v>
      </c>
      <c r="B187" s="109"/>
      <c r="C187" s="109"/>
      <c r="D187" s="110"/>
      <c r="E187" s="109"/>
      <c r="F187" s="112"/>
      <c r="G187" s="109"/>
      <c r="H187" s="130"/>
    </row>
    <row r="188" spans="1:8">
      <c r="A188" s="109" t="e" cm="1" vm="1">
        <f t="array" aca="1" ref="A188" ca="1">_xlfn.VSTACK(
    _xlfn.LET(
        _xlpm.poList, PO_Index[PO],
        _xlfn.REDUCE(
            "", _xlpm.poList,
            _xlfn.LAMBDA(_xlpm.a,_xlpm.poNum, _xlfn.VSTACK(_xlpm.a, INDIRECT("'" &amp; _xlpm.poNum &amp; "'!_" &amp; SUBSTITUTE(_xlpm.poNum, "-", "_") &amp; "_table"))))
    )
)</f>
        <v>#VALUE!</v>
      </c>
      <c r="B188" s="109"/>
      <c r="C188" s="109"/>
      <c r="D188" s="110"/>
      <c r="E188" s="109"/>
      <c r="F188" s="112"/>
      <c r="G188" s="109"/>
      <c r="H188" s="130"/>
    </row>
    <row r="189" spans="1:8">
      <c r="A189" s="109" t="e" cm="1" vm="1">
        <f t="array" aca="1" ref="A189" ca="1">_xlfn.VSTACK(
    _xlfn.LET(
        _xlpm.poList, PO_Index[PO],
        _xlfn.REDUCE(
            "", _xlpm.poList,
            _xlfn.LAMBDA(_xlpm.a,_xlpm.poNum, _xlfn.VSTACK(_xlpm.a, INDIRECT("'" &amp; _xlpm.poNum &amp; "'!_" &amp; SUBSTITUTE(_xlpm.poNum, "-", "_") &amp; "_table"))))
    )
)</f>
        <v>#VALUE!</v>
      </c>
      <c r="B189" s="109"/>
      <c r="C189" s="109"/>
      <c r="D189" s="110"/>
      <c r="E189" s="109"/>
      <c r="F189" s="112"/>
      <c r="G189" s="109"/>
      <c r="H189" s="130"/>
    </row>
    <row r="190" spans="1:8">
      <c r="A190" s="109" t="e" cm="1" vm="1">
        <f t="array" aca="1" ref="A190" ca="1">_xlfn.VSTACK(
    _xlfn.LET(
        _xlpm.poList, PO_Index[PO],
        _xlfn.REDUCE(
            "", _xlpm.poList,
            _xlfn.LAMBDA(_xlpm.a,_xlpm.poNum, _xlfn.VSTACK(_xlpm.a, INDIRECT("'" &amp; _xlpm.poNum &amp; "'!_" &amp; SUBSTITUTE(_xlpm.poNum, "-", "_") &amp; "_table"))))
    )
)</f>
        <v>#VALUE!</v>
      </c>
      <c r="B190" s="111"/>
      <c r="C190" s="109"/>
      <c r="D190" s="110"/>
      <c r="E190" s="111"/>
      <c r="F190" s="112"/>
      <c r="G190" s="109"/>
      <c r="H190" s="130"/>
    </row>
    <row r="191" spans="1:8">
      <c r="A191" s="109" t="e" cm="1" vm="1">
        <f t="array" aca="1" ref="A191" ca="1">_xlfn.VSTACK(
    _xlfn.LET(
        _xlpm.poList, PO_Index[PO],
        _xlfn.REDUCE(
            "", _xlpm.poList,
            _xlfn.LAMBDA(_xlpm.a,_xlpm.poNum, _xlfn.VSTACK(_xlpm.a, INDIRECT("'" &amp; _xlpm.poNum &amp; "'!_" &amp; SUBSTITUTE(_xlpm.poNum, "-", "_") &amp; "_table"))))
    )
)</f>
        <v>#VALUE!</v>
      </c>
      <c r="B191" s="109"/>
      <c r="C191" s="109"/>
      <c r="D191" s="110"/>
      <c r="E191" s="119"/>
      <c r="F191" s="112"/>
      <c r="G191" s="109"/>
      <c r="H191" s="130"/>
    </row>
    <row r="192" spans="1:8">
      <c r="A192" s="109" t="e" cm="1" vm="1">
        <f t="array" aca="1" ref="A192" ca="1">_xlfn.VSTACK(
    _xlfn.LET(
        _xlpm.poList, PO_Index[PO],
        _xlfn.REDUCE(
            "", _xlpm.poList,
            _xlfn.LAMBDA(_xlpm.a,_xlpm.poNum, _xlfn.VSTACK(_xlpm.a, INDIRECT("'" &amp; _xlpm.poNum &amp; "'!_" &amp; SUBSTITUTE(_xlpm.poNum, "-", "_") &amp; "_table"))))
    )
)</f>
        <v>#VALUE!</v>
      </c>
      <c r="B192" s="111"/>
      <c r="C192" s="109"/>
      <c r="D192" s="110"/>
      <c r="E192" s="111"/>
      <c r="F192" s="111"/>
      <c r="G192" s="109"/>
      <c r="H192" s="130"/>
    </row>
    <row r="193" spans="1:8">
      <c r="A193" s="117" t="e" cm="1" vm="1">
        <f t="array" aca="1" ref="A193" ca="1">_xlfn.VSTACK(
    _xlfn.LET(
        _xlpm.poList, PO_Index[PO],
        _xlfn.REDUCE(
            "", _xlpm.poList,
            _xlfn.LAMBDA(_xlpm.a,_xlpm.poNum, _xlfn.VSTACK(_xlpm.a, INDIRECT("'" &amp; _xlpm.poNum &amp; "'!_" &amp; SUBSTITUTE(_xlpm.poNum, "-", "_") &amp; "_table"))))
    )
)</f>
        <v>#VALUE!</v>
      </c>
      <c r="B193" s="117"/>
      <c r="C193" s="109"/>
      <c r="D193" s="110"/>
      <c r="E193" s="117"/>
      <c r="F193" s="117"/>
      <c r="G193" s="109"/>
      <c r="H193" s="130"/>
    </row>
    <row r="194" spans="1:8">
      <c r="A194" s="109" t="e" cm="1" vm="1">
        <f t="array" aca="1" ref="A194" ca="1">_xlfn.VSTACK(
    _xlfn.LET(
        _xlpm.poList, PO_Index[PO],
        _xlfn.REDUCE(
            "", _xlpm.poList,
            _xlfn.LAMBDA(_xlpm.a,_xlpm.poNum, _xlfn.VSTACK(_xlpm.a, INDIRECT("'" &amp; _xlpm.poNum &amp; "'!_" &amp; SUBSTITUTE(_xlpm.poNum, "-", "_") &amp; "_table"))))
    )
)</f>
        <v>#VALUE!</v>
      </c>
      <c r="B194" s="109"/>
      <c r="C194" s="109"/>
      <c r="D194" s="110"/>
      <c r="E194" s="111"/>
      <c r="F194" s="111"/>
      <c r="G194" s="109"/>
      <c r="H194" s="130"/>
    </row>
    <row r="195" spans="1:8">
      <c r="A195" s="109" t="e" cm="1" vm="1">
        <f t="array" aca="1" ref="A195" ca="1">_xlfn.VSTACK(
    _xlfn.LET(
        _xlpm.poList, PO_Index[PO],
        _xlfn.REDUCE(
            "", _xlpm.poList,
            _xlfn.LAMBDA(_xlpm.a,_xlpm.poNum, _xlfn.VSTACK(_xlpm.a, INDIRECT("'" &amp; _xlpm.poNum &amp; "'!_" &amp; SUBSTITUTE(_xlpm.poNum, "-", "_") &amp; "_table"))))
    )
)</f>
        <v>#VALUE!</v>
      </c>
      <c r="B195" s="109"/>
      <c r="C195" s="109"/>
      <c r="D195" s="110"/>
      <c r="E195" s="111"/>
      <c r="F195" s="112"/>
      <c r="G195" s="109"/>
      <c r="H195" s="130"/>
    </row>
    <row r="196" spans="1:8">
      <c r="A196" s="109" t="e" cm="1" vm="1">
        <f t="array" aca="1" ref="A196" ca="1">_xlfn.VSTACK(
    _xlfn.LET(
        _xlpm.poList, PO_Index[PO],
        _xlfn.REDUCE(
            "", _xlpm.poList,
            _xlfn.LAMBDA(_xlpm.a,_xlpm.poNum, _xlfn.VSTACK(_xlpm.a, INDIRECT("'" &amp; _xlpm.poNum &amp; "'!_" &amp; SUBSTITUTE(_xlpm.poNum, "-", "_") &amp; "_table"))))
    )
)</f>
        <v>#VALUE!</v>
      </c>
      <c r="B196" s="109"/>
      <c r="C196" s="109"/>
      <c r="D196" s="110"/>
      <c r="E196" s="111"/>
      <c r="F196" s="112"/>
      <c r="G196" s="109"/>
      <c r="H196" s="130"/>
    </row>
    <row r="197" spans="1:8">
      <c r="A197" s="109" t="e" cm="1" vm="1">
        <f t="array" aca="1" ref="A197" ca="1">_xlfn.VSTACK(
    _xlfn.LET(
        _xlpm.poList, PO_Index[PO],
        _xlfn.REDUCE(
            "", _xlpm.poList,
            _xlfn.LAMBDA(_xlpm.a,_xlpm.poNum, _xlfn.VSTACK(_xlpm.a, INDIRECT("'" &amp; _xlpm.poNum &amp; "'!_" &amp; SUBSTITUTE(_xlpm.poNum, "-", "_") &amp; "_table"))))
    )
)</f>
        <v>#VALUE!</v>
      </c>
      <c r="B197" s="109"/>
      <c r="C197" s="109"/>
      <c r="D197" s="110"/>
      <c r="E197" s="111"/>
      <c r="F197" s="112"/>
      <c r="G197" s="109"/>
      <c r="H197" s="130"/>
    </row>
    <row r="198" spans="1:8">
      <c r="A198" s="109" t="e" cm="1" vm="1">
        <f t="array" aca="1" ref="A198" ca="1">_xlfn.VSTACK(
    _xlfn.LET(
        _xlpm.poList, PO_Index[PO],
        _xlfn.REDUCE(
            "", _xlpm.poList,
            _xlfn.LAMBDA(_xlpm.a,_xlpm.poNum, _xlfn.VSTACK(_xlpm.a, INDIRECT("'" &amp; _xlpm.poNum &amp; "'!_" &amp; SUBSTITUTE(_xlpm.poNum, "-", "_") &amp; "_table"))))
    )
)</f>
        <v>#VALUE!</v>
      </c>
      <c r="B198" s="109"/>
      <c r="C198" s="109"/>
      <c r="D198" s="110"/>
      <c r="E198" s="111"/>
      <c r="F198" s="112"/>
      <c r="G198" s="109"/>
      <c r="H198" s="130"/>
    </row>
    <row r="199" spans="1:8">
      <c r="A199" s="109" t="e" cm="1" vm="1">
        <f t="array" aca="1" ref="A199" ca="1">_xlfn.VSTACK(
    _xlfn.LET(
        _xlpm.poList, PO_Index[PO],
        _xlfn.REDUCE(
            "", _xlpm.poList,
            _xlfn.LAMBDA(_xlpm.a,_xlpm.poNum, _xlfn.VSTACK(_xlpm.a, INDIRECT("'" &amp; _xlpm.poNum &amp; "'!_" &amp; SUBSTITUTE(_xlpm.poNum, "-", "_") &amp; "_table"))))
    )
)</f>
        <v>#VALUE!</v>
      </c>
      <c r="B199" s="109"/>
      <c r="C199" s="109"/>
      <c r="D199" s="110"/>
      <c r="E199" s="111"/>
      <c r="F199" s="112"/>
      <c r="G199" s="109"/>
      <c r="H199" s="130"/>
    </row>
    <row r="200" spans="1:8">
      <c r="A200" s="109" t="e" cm="1" vm="1">
        <f t="array" aca="1" ref="A200" ca="1">_xlfn.VSTACK(
    _xlfn.LET(
        _xlpm.poList, PO_Index[PO],
        _xlfn.REDUCE(
            "", _xlpm.poList,
            _xlfn.LAMBDA(_xlpm.a,_xlpm.poNum, _xlfn.VSTACK(_xlpm.a, INDIRECT("'" &amp; _xlpm.poNum &amp; "'!_" &amp; SUBSTITUTE(_xlpm.poNum, "-", "_") &amp; "_table"))))
    )
)</f>
        <v>#VALUE!</v>
      </c>
      <c r="B200" s="109"/>
      <c r="C200" s="109"/>
      <c r="D200" s="110"/>
      <c r="E200" s="111"/>
      <c r="F200" s="112"/>
      <c r="G200" s="109"/>
      <c r="H200" s="130"/>
    </row>
    <row r="201" spans="1:8">
      <c r="A201" s="109" t="e" cm="1" vm="1">
        <f t="array" aca="1" ref="A201" ca="1">_xlfn.VSTACK(
    _xlfn.LET(
        _xlpm.poList, PO_Index[PO],
        _xlfn.REDUCE(
            "", _xlpm.poList,
            _xlfn.LAMBDA(_xlpm.a,_xlpm.poNum, _xlfn.VSTACK(_xlpm.a, INDIRECT("'" &amp; _xlpm.poNum &amp; "'!_" &amp; SUBSTITUTE(_xlpm.poNum, "-", "_") &amp; "_table"))))
    )
)</f>
        <v>#VALUE!</v>
      </c>
      <c r="B201" s="109"/>
      <c r="C201" s="109"/>
      <c r="D201" s="110"/>
      <c r="E201" s="111"/>
      <c r="F201" s="112"/>
      <c r="G201" s="109"/>
      <c r="H201" s="130"/>
    </row>
    <row r="202" spans="1:8">
      <c r="A202" s="109" t="e" cm="1" vm="1">
        <f t="array" aca="1" ref="A202" ca="1">_xlfn.VSTACK(
    _xlfn.LET(
        _xlpm.poList, PO_Index[PO],
        _xlfn.REDUCE(
            "", _xlpm.poList,
            _xlfn.LAMBDA(_xlpm.a,_xlpm.poNum, _xlfn.VSTACK(_xlpm.a, INDIRECT("'" &amp; _xlpm.poNum &amp; "'!_" &amp; SUBSTITUTE(_xlpm.poNum, "-", "_") &amp; "_table"))))
    )
)</f>
        <v>#VALUE!</v>
      </c>
      <c r="B202" s="109"/>
      <c r="C202" s="109"/>
      <c r="D202" s="110"/>
      <c r="E202" s="111"/>
      <c r="F202" s="112"/>
      <c r="G202" s="109"/>
      <c r="H202" s="130"/>
    </row>
    <row r="203" spans="1:8">
      <c r="A203" s="109" t="e" cm="1" vm="1">
        <f t="array" aca="1" ref="A203" ca="1">_xlfn.VSTACK(
    _xlfn.LET(
        _xlpm.poList, PO_Index[PO],
        _xlfn.REDUCE(
            "", _xlpm.poList,
            _xlfn.LAMBDA(_xlpm.a,_xlpm.poNum, _xlfn.VSTACK(_xlpm.a, INDIRECT("'" &amp; _xlpm.poNum &amp; "'!_" &amp; SUBSTITUTE(_xlpm.poNum, "-", "_") &amp; "_table"))))
    )
)</f>
        <v>#VALUE!</v>
      </c>
      <c r="B203" s="109"/>
      <c r="C203" s="109"/>
      <c r="D203" s="110"/>
      <c r="E203" s="111"/>
      <c r="F203" s="112"/>
      <c r="G203" s="109"/>
      <c r="H203" s="130"/>
    </row>
    <row r="204" spans="1:8">
      <c r="A204" s="113" t="e" cm="1" vm="1">
        <f t="array" aca="1" ref="A204" ca="1">_xlfn.VSTACK(
    _xlfn.LET(
        _xlpm.poList, PO_Index[PO],
        _xlfn.REDUCE(
            "", _xlpm.poList,
            _xlfn.LAMBDA(_xlpm.a,_xlpm.poNum, _xlfn.VSTACK(_xlpm.a, INDIRECT("'" &amp; _xlpm.poNum &amp; "'!_" &amp; SUBSTITUTE(_xlpm.poNum, "-", "_") &amp; "_table"))))
    )
)</f>
        <v>#VALUE!</v>
      </c>
      <c r="B204" s="114"/>
      <c r="C204" s="109"/>
      <c r="D204" s="115"/>
      <c r="E204" s="113"/>
      <c r="F204" s="116"/>
      <c r="G204" s="109"/>
      <c r="H204" s="130"/>
    </row>
    <row r="205" spans="1:8">
      <c r="A205" s="113" t="e" cm="1" vm="1">
        <f t="array" aca="1" ref="A205" ca="1">_xlfn.VSTACK(
    _xlfn.LET(
        _xlpm.poList, PO_Index[PO],
        _xlfn.REDUCE(
            "", _xlpm.poList,
            _xlfn.LAMBDA(_xlpm.a,_xlpm.poNum, _xlfn.VSTACK(_xlpm.a, INDIRECT("'" &amp; _xlpm.poNum &amp; "'!_" &amp; SUBSTITUTE(_xlpm.poNum, "-", "_") &amp; "_table"))))
    )
)</f>
        <v>#VALUE!</v>
      </c>
      <c r="B205" s="114"/>
      <c r="C205" s="109"/>
      <c r="D205" s="115"/>
      <c r="E205" s="113"/>
      <c r="F205" s="116"/>
      <c r="G205" s="109"/>
      <c r="H205" s="130"/>
    </row>
    <row r="206" spans="1:8">
      <c r="A206" s="113" t="e" cm="1" vm="1">
        <f t="array" aca="1" ref="A206" ca="1">_xlfn.VSTACK(
    _xlfn.LET(
        _xlpm.poList, PO_Index[PO],
        _xlfn.REDUCE(
            "", _xlpm.poList,
            _xlfn.LAMBDA(_xlpm.a,_xlpm.poNum, _xlfn.VSTACK(_xlpm.a, INDIRECT("'" &amp; _xlpm.poNum &amp; "'!_" &amp; SUBSTITUTE(_xlpm.poNum, "-", "_") &amp; "_table"))))
    )
)</f>
        <v>#VALUE!</v>
      </c>
      <c r="B206" s="114"/>
      <c r="C206" s="109"/>
      <c r="D206" s="115"/>
      <c r="E206" s="113"/>
      <c r="F206" s="116"/>
      <c r="G206" s="109"/>
      <c r="H206" s="130"/>
    </row>
    <row r="207" spans="1:8">
      <c r="A207" s="113" t="e" cm="1" vm="1">
        <f t="array" aca="1" ref="A207" ca="1">_xlfn.VSTACK(
    _xlfn.LET(
        _xlpm.poList, PO_Index[PO],
        _xlfn.REDUCE(
            "", _xlpm.poList,
            _xlfn.LAMBDA(_xlpm.a,_xlpm.poNum, _xlfn.VSTACK(_xlpm.a, INDIRECT("'" &amp; _xlpm.poNum &amp; "'!_" &amp; SUBSTITUTE(_xlpm.poNum, "-", "_") &amp; "_table"))))
    )
)</f>
        <v>#VALUE!</v>
      </c>
      <c r="B207" s="114"/>
      <c r="C207" s="109"/>
      <c r="D207" s="115"/>
      <c r="E207" s="113"/>
      <c r="F207" s="116"/>
      <c r="G207" s="109"/>
      <c r="H207" s="130"/>
    </row>
    <row r="208" spans="1:8">
      <c r="A208" s="109" t="e" cm="1" vm="1">
        <f t="array" aca="1" ref="A208" ca="1">_xlfn.VSTACK(
    _xlfn.LET(
        _xlpm.poList, PO_Index[PO],
        _xlfn.REDUCE(
            "", _xlpm.poList,
            _xlfn.LAMBDA(_xlpm.a,_xlpm.poNum, _xlfn.VSTACK(_xlpm.a, INDIRECT("'" &amp; _xlpm.poNum &amp; "'!_" &amp; SUBSTITUTE(_xlpm.poNum, "-", "_") &amp; "_table"))))
    )
)</f>
        <v>#VALUE!</v>
      </c>
      <c r="B208" s="111"/>
      <c r="C208" s="109"/>
      <c r="D208" s="110"/>
      <c r="E208" s="111"/>
      <c r="F208" s="112"/>
      <c r="G208" s="109"/>
      <c r="H208" s="130"/>
    </row>
    <row r="209" spans="1:8">
      <c r="A209" s="132" t="e" cm="1" vm="1">
        <f t="array" aca="1" ref="A209" ca="1">_xlfn.VSTACK(
    _xlfn.LET(
        _xlpm.poList, PO_Index[PO],
        _xlfn.REDUCE(
            "", _xlpm.poList,
            _xlfn.LAMBDA(_xlpm.a,_xlpm.poNum, _xlfn.VSTACK(_xlpm.a, INDIRECT("'" &amp; _xlpm.poNum &amp; "'!_" &amp; SUBSTITUTE(_xlpm.poNum, "-", "_") &amp; "_table"))))
    )
)</f>
        <v>#VALUE!</v>
      </c>
      <c r="B209" s="132"/>
      <c r="C209" s="109"/>
      <c r="D209" s="127"/>
      <c r="E209" s="109"/>
      <c r="F209" s="133"/>
      <c r="G209" s="109"/>
      <c r="H209" s="130"/>
    </row>
    <row r="210" spans="1:8">
      <c r="A210" s="132" t="e" cm="1" vm="1">
        <f t="array" aca="1" ref="A210" ca="1">_xlfn.VSTACK(
    _xlfn.LET(
        _xlpm.poList, PO_Index[PO],
        _xlfn.REDUCE(
            "", _xlpm.poList,
            _xlfn.LAMBDA(_xlpm.a,_xlpm.poNum, _xlfn.VSTACK(_xlpm.a, INDIRECT("'" &amp; _xlpm.poNum &amp; "'!_" &amp; SUBSTITUTE(_xlpm.poNum, "-", "_") &amp; "_table"))))
    )
)</f>
        <v>#VALUE!</v>
      </c>
      <c r="B210" s="132"/>
      <c r="C210" s="109"/>
      <c r="D210" s="127"/>
      <c r="E210" s="109"/>
      <c r="F210" s="133"/>
      <c r="G210" s="109"/>
      <c r="H210" s="130"/>
    </row>
    <row r="211" spans="1:8">
      <c r="A211" s="109" t="e" cm="1" vm="1">
        <f t="array" aca="1" ref="A211" ca="1">_xlfn.VSTACK(
    _xlfn.LET(
        _xlpm.poList, PO_Index[PO],
        _xlfn.REDUCE(
            "", _xlpm.poList,
            _xlfn.LAMBDA(_xlpm.a,_xlpm.poNum, _xlfn.VSTACK(_xlpm.a, INDIRECT("'" &amp; _xlpm.poNum &amp; "'!_" &amp; SUBSTITUTE(_xlpm.poNum, "-", "_") &amp; "_table"))))
    )
)</f>
        <v>#VALUE!</v>
      </c>
      <c r="B211" s="109"/>
      <c r="C211" s="109"/>
      <c r="D211" s="110"/>
      <c r="E211" s="119"/>
      <c r="F211" s="112"/>
      <c r="G211" s="109"/>
      <c r="H211" s="130"/>
    </row>
    <row r="213" spans="1:8">
      <c r="E213" s="86" t="s">
        <v>21</v>
      </c>
      <c r="F213" s="77">
        <f>SUM('PO Log'!$F$9:$F$211)</f>
        <v>0</v>
      </c>
    </row>
  </sheetData>
  <mergeCells count="1">
    <mergeCell ref="A4:H4"/>
  </mergeCells>
  <conditionalFormatting sqref="G9:G211">
    <cfRule type="containsText" dxfId="42" priority="1" operator="containsText" text="zzzz">
      <formula>NOT(ISERROR(SEARCH("zzzz",G9)))</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73" r:id="rId3" name="Button 5">
              <controlPr defaultSize="0" print="0" autoFill="0" autoPict="0" macro="[0]!InsertNewRow">
                <anchor moveWithCells="1" sizeWithCells="1">
                  <from>
                    <xdr:col>6</xdr:col>
                    <xdr:colOff>660400</xdr:colOff>
                    <xdr:row>0</xdr:row>
                    <xdr:rowOff>279400</xdr:rowOff>
                  </from>
                  <to>
                    <xdr:col>6</xdr:col>
                    <xdr:colOff>2184400</xdr:colOff>
                    <xdr:row>0</xdr:row>
                    <xdr:rowOff>660400</xdr:rowOff>
                  </to>
                </anchor>
              </controlPr>
            </control>
          </mc:Choice>
        </mc:AlternateContent>
        <mc:AlternateContent xmlns:mc="http://schemas.openxmlformats.org/markup-compatibility/2006">
          <mc:Choice Requires="x14">
            <control shapeId="7174" r:id="rId4" name="Button 6">
              <controlPr defaultSize="0" print="0" autoFill="0" autoPict="0" macro="[0]!DeleteLastRow">
                <anchor moveWithCells="1" sizeWithCells="1">
                  <from>
                    <xdr:col>2</xdr:col>
                    <xdr:colOff>609600</xdr:colOff>
                    <xdr:row>0</xdr:row>
                    <xdr:rowOff>241300</xdr:rowOff>
                  </from>
                  <to>
                    <xdr:col>4</xdr:col>
                    <xdr:colOff>482600</xdr:colOff>
                    <xdr:row>0</xdr:row>
                    <xdr:rowOff>622300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K52"/>
  <sheetViews>
    <sheetView topLeftCell="A25" workbookViewId="0">
      <selection activeCell="K49" sqref="K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243</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51"/>
      <c r="B6" s="202"/>
      <c r="C6" s="138"/>
      <c r="D6" s="139"/>
      <c r="E6" s="152"/>
      <c r="F6" s="152"/>
      <c r="G6" s="152"/>
      <c r="H6" s="152"/>
      <c r="I6" s="203"/>
      <c r="M6" s="4">
        <v>112</v>
      </c>
      <c r="O6" s="4" t="str">
        <v>CASH</v>
      </c>
      <c r="P6" s="4" t="str" cm="1">
        <f t="array" ref="P6">IF(O6="","",IFERROR(INDEX(Description, MATCH(O6, Line, 0)), "Not Found"))</f>
        <v>Not Found</v>
      </c>
      <c r="S6" s="249">
        <v>112</v>
      </c>
      <c r="T6" s="257">
        <v>45848</v>
      </c>
      <c r="U6" s="249" t="str">
        <v>CHK 101</v>
      </c>
      <c r="AF6" s="4" t="str">
        <v>CC 2456</v>
      </c>
      <c r="AG6" s="4" t="str">
        <v>CC 2456</v>
      </c>
      <c r="AH6" s="4" t="str">
        <v>CHK 101</v>
      </c>
      <c r="AI6" s="4" t="str">
        <v>CASH</v>
      </c>
      <c r="AJ6" s="4" t="str">
        <v/>
      </c>
      <c r="AK6" s="4" t="str">
        <v/>
      </c>
    </row>
    <row r="7" spans="1:37" s="4" customFormat="1" ht="16">
      <c r="A7" s="151"/>
      <c r="B7" s="204"/>
      <c r="C7" s="153"/>
      <c r="D7" s="154"/>
      <c r="E7" s="154"/>
      <c r="F7" s="155"/>
      <c r="G7" s="155"/>
      <c r="H7" s="155"/>
      <c r="I7" s="205"/>
      <c r="M7" s="4">
        <v>1</v>
      </c>
      <c r="P7" s="4" t="str" cm="1">
        <f t="array" ref="P7">IF(O7="","",IFERROR(INDEX(Description, MATCH(O7, Line, 0)), "Not Found"))</f>
        <v/>
      </c>
      <c r="S7" s="249">
        <v>1</v>
      </c>
      <c r="T7" s="257">
        <v>45849</v>
      </c>
      <c r="U7" s="249" t="str">
        <v>CASH</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3">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5">_xlfn.UNIQUE(_xlfn.HSTACK(LineEntry, DateEntry, PayIDEntry))&lt;&gt;0</f>
        <v>1</v>
      </c>
      <c r="T11" s="4" t="b">
        <v>1</v>
      </c>
      <c r="U11" s="4" t="b">
        <v>1</v>
      </c>
      <c r="W11" s="4" t="b">
        <v>1</v>
      </c>
      <c r="X11" s="4" t="b">
        <v>1</v>
      </c>
      <c r="Y11" s="4" t="b">
        <v>1</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c r="W12" s="4" t="b">
        <v>1</v>
      </c>
      <c r="X12" s="4" t="b">
        <v>1</v>
      </c>
      <c r="Y12" s="4" t="b">
        <v>1</v>
      </c>
    </row>
    <row r="13" spans="1:37" s="4" customFormat="1" ht="16">
      <c r="A13" s="151"/>
      <c r="B13" s="213"/>
      <c r="C13" s="104"/>
      <c r="D13" s="104"/>
      <c r="F13" s="97"/>
      <c r="G13" s="98"/>
      <c r="H13" s="98"/>
      <c r="I13" s="214"/>
      <c r="P13" s="4" t="str" cm="1">
        <f t="array" ref="P13">IF(O13="","",IFERROR(INDEX(Description, MATCH(O13, Line, 0)), "Not Found"))</f>
        <v/>
      </c>
      <c r="S13" s="4" t="b">
        <v>1</v>
      </c>
      <c r="T13" s="4" t="b">
        <v>1</v>
      </c>
      <c r="U13" s="4" t="b">
        <v>1</v>
      </c>
      <c r="W13" s="4" t="b">
        <v>0</v>
      </c>
      <c r="X13" s="4" t="b">
        <v>0</v>
      </c>
      <c r="Y13" s="4" t="b">
        <v>0</v>
      </c>
    </row>
    <row r="14" spans="1:37" s="4" customFormat="1" ht="16">
      <c r="A14" s="151"/>
      <c r="B14" s="213"/>
      <c r="C14" s="106"/>
      <c r="D14" s="106"/>
      <c r="E14" s="158" t="s">
        <v>268</v>
      </c>
      <c r="F14" s="97"/>
      <c r="G14" s="98"/>
      <c r="H14" s="98"/>
      <c r="I14" s="214"/>
      <c r="S14" s="4" t="b">
        <v>1</v>
      </c>
      <c r="T14" s="4" t="b">
        <v>1</v>
      </c>
      <c r="U14" s="4" t="b">
        <v>1</v>
      </c>
    </row>
    <row r="15" spans="1:37" s="4" customFormat="1" ht="16">
      <c r="A15" s="151"/>
      <c r="B15" s="215"/>
      <c r="C15" s="161"/>
      <c r="D15" s="161"/>
      <c r="E15" s="160"/>
      <c r="F15" s="160"/>
      <c r="G15" s="160"/>
      <c r="H15" s="160"/>
      <c r="I15" s="211"/>
      <c r="S15" s="4" t="b">
        <v>0</v>
      </c>
      <c r="T15" s="4" t="b">
        <v>0</v>
      </c>
      <c r="U15" s="4" t="b">
        <v>0</v>
      </c>
    </row>
    <row r="16" spans="1:37" s="3" customFormat="1" ht="23" customHeight="1">
      <c r="A16" s="148"/>
      <c r="B16" s="216" t="s">
        <v>6</v>
      </c>
      <c r="C16" s="162"/>
      <c r="D16" s="162"/>
      <c r="E16" s="162"/>
      <c r="F16" s="162"/>
      <c r="G16" s="185"/>
      <c r="H16" s="89"/>
      <c r="I16" s="217"/>
    </row>
    <row r="17" spans="1:30" s="3" customFormat="1" ht="23" customHeight="1">
      <c r="A17" s="148"/>
      <c r="B17" s="216"/>
      <c r="C17" s="186"/>
      <c r="D17" s="186"/>
      <c r="E17" s="186"/>
      <c r="F17" s="186"/>
      <c r="G17" s="187"/>
      <c r="H17" s="89"/>
      <c r="I17" s="217"/>
      <c r="T17" s="247" t="s">
        <v>323</v>
      </c>
    </row>
    <row r="18" spans="1:30" s="3" customFormat="1" ht="23" customHeight="1">
      <c r="A18" s="148"/>
      <c r="B18" s="216"/>
      <c r="C18" s="99"/>
      <c r="D18" s="99"/>
      <c r="E18" s="99"/>
      <c r="F18" s="99"/>
      <c r="G18" s="99"/>
      <c r="H18" s="99"/>
      <c r="I18" s="218"/>
    </row>
    <row r="19" spans="1:30" s="3" customFormat="1" ht="13" customHeight="1" thickBot="1">
      <c r="A19" s="148"/>
      <c r="B19" s="216"/>
      <c r="C19" s="99"/>
      <c r="D19" s="99"/>
      <c r="E19" s="99"/>
      <c r="F19" s="99"/>
      <c r="G19" s="99"/>
      <c r="H19" s="99"/>
      <c r="I19" s="218"/>
      <c r="T19" s="275" t="s">
        <v>337</v>
      </c>
      <c r="U19" s="275"/>
      <c r="V19" s="275"/>
      <c r="W19" s="275"/>
      <c r="X19" s="275"/>
      <c r="Y19" s="275"/>
      <c r="Z19" s="4" t="s">
        <v>338</v>
      </c>
    </row>
    <row r="20" spans="1:30"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v>112</v>
      </c>
      <c r="O20" s="264">
        <v>1</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v>112</v>
      </c>
      <c r="W20" s="280">
        <v>1</v>
      </c>
      <c r="X20" s="280" t="str">
        <v/>
      </c>
      <c r="Y20" s="281"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8"/>
      <c r="B21" s="216"/>
      <c r="C21" s="163"/>
      <c r="D21" s="163"/>
      <c r="E21" s="163"/>
      <c r="F21" s="163"/>
      <c r="G21" s="163"/>
      <c r="H21" s="163"/>
      <c r="I21" s="219"/>
      <c r="K21" s="267" t="s">
        <v>333</v>
      </c>
      <c r="L21" s="265">
        <v>45849</v>
      </c>
      <c r="M21" s="265">
        <v>45849</v>
      </c>
      <c r="N21" s="265">
        <v>45848</v>
      </c>
      <c r="O21" s="265">
        <v>45849</v>
      </c>
      <c r="P21" s="265" t="str">
        <v/>
      </c>
      <c r="Q21" s="265" t="str">
        <v/>
      </c>
      <c r="T21" s="148">
        <v>45849</v>
      </c>
      <c r="U21" s="167">
        <v>45849</v>
      </c>
      <c r="V21" s="167">
        <v>45848</v>
      </c>
      <c r="W21" s="167">
        <v>45849</v>
      </c>
      <c r="X21" s="167" t="str">
        <v/>
      </c>
      <c r="Y21" s="282" t="str">
        <v/>
      </c>
    </row>
    <row r="22" spans="1:30" ht="30" customHeight="1" thickBot="1">
      <c r="A22" s="141"/>
      <c r="B22" s="220"/>
      <c r="C22" s="164"/>
      <c r="D22" s="165"/>
      <c r="E22" s="165"/>
      <c r="F22" s="165"/>
      <c r="G22" s="165"/>
      <c r="H22" s="165"/>
      <c r="I22" s="221"/>
      <c r="K22" s="267" t="s">
        <v>334</v>
      </c>
      <c r="L22" s="266" t="str">
        <v>CC 2456</v>
      </c>
      <c r="M22" s="266" t="str">
        <v>CC 2456</v>
      </c>
      <c r="N22" s="266" t="str">
        <v>CHK 101</v>
      </c>
      <c r="O22" s="266" t="str">
        <v>CASH</v>
      </c>
      <c r="P22" s="266" t="str">
        <v/>
      </c>
      <c r="Q22" s="266" t="str">
        <v/>
      </c>
      <c r="T22" s="173" t="str">
        <v>CC 2456</v>
      </c>
      <c r="U22" s="174" t="str">
        <v>CC 2456</v>
      </c>
      <c r="V22" s="174" t="str">
        <v>CHK 101</v>
      </c>
      <c r="W22" s="174" t="str">
        <v>CASH</v>
      </c>
      <c r="X22" s="174" t="str">
        <v/>
      </c>
      <c r="Y22" s="175" t="str">
        <v/>
      </c>
    </row>
    <row r="23" spans="1:30"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30"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30"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30" s="4" customFormat="1" ht="16" customHeight="1">
      <c r="A26" s="151"/>
      <c r="B26" s="252">
        <v>112</v>
      </c>
      <c r="C26" s="100" t="s">
        <v>330</v>
      </c>
      <c r="D26" s="101"/>
      <c r="E26" s="244">
        <v>45848</v>
      </c>
      <c r="F26" s="254" t="s">
        <v>331</v>
      </c>
      <c r="G26" s="6">
        <v>1</v>
      </c>
      <c r="H26" s="5">
        <v>1000</v>
      </c>
      <c r="I26" s="224">
        <f t="shared" si="1"/>
        <v>1000</v>
      </c>
      <c r="L26" s="263" t="str">
        <f t="shared" si="2"/>
        <v/>
      </c>
      <c r="M26" s="263" t="str">
        <f t="shared" si="2"/>
        <v/>
      </c>
      <c r="N26" s="263">
        <f t="shared" si="2"/>
        <v>1000</v>
      </c>
      <c r="O26" s="263" t="str">
        <f t="shared" si="2"/>
        <v/>
      </c>
      <c r="P26" s="263" t="str">
        <f t="shared" si="2"/>
        <v/>
      </c>
      <c r="Q26" s="263" t="str">
        <f t="shared" si="2"/>
        <v/>
      </c>
    </row>
    <row r="27" spans="1:30" s="4" customFormat="1" ht="16">
      <c r="A27" s="151"/>
      <c r="B27" s="252">
        <v>204</v>
      </c>
      <c r="C27" s="100" t="s">
        <v>315</v>
      </c>
      <c r="D27" s="101"/>
      <c r="E27" s="244">
        <v>45849</v>
      </c>
      <c r="F27" s="254" t="s">
        <v>316</v>
      </c>
      <c r="G27" s="6">
        <v>1</v>
      </c>
      <c r="H27" s="5">
        <v>100</v>
      </c>
      <c r="I27" s="224">
        <f>G27*H27</f>
        <v>100</v>
      </c>
      <c r="L27" s="263">
        <f>IF($B27="", "", IF(AND($I27, $B27=L$20, $E27=L$21, $F27=L$22, SUM($I$24)&gt;0), $I27, ""))</f>
        <v>100</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30" s="4" customFormat="1" ht="16" customHeight="1">
      <c r="A28" s="151"/>
      <c r="B28" s="252">
        <v>1</v>
      </c>
      <c r="C28" s="100" t="s">
        <v>340</v>
      </c>
      <c r="D28" s="101"/>
      <c r="E28" s="244">
        <v>45849</v>
      </c>
      <c r="F28" s="254" t="s">
        <v>5</v>
      </c>
      <c r="G28" s="6">
        <v>1</v>
      </c>
      <c r="H28" s="5">
        <v>1000</v>
      </c>
      <c r="I28" s="224">
        <f>G28*H28</f>
        <v>1000</v>
      </c>
      <c r="L28" s="263" t="str">
        <f>IF($B28="", "", IF(AND($I28, $B28=L$20, $E28=L$21, $F28=L$22, SUM($I$24)&gt;0), $I28, ""))</f>
        <v/>
      </c>
      <c r="M28" s="263" t="str">
        <f>IF($B28="", "", IF(AND($I28, $B28=M$20, $E28=M$21, $F28=M$22, SUM($I$24)&gt;0), $I28, ""))</f>
        <v/>
      </c>
      <c r="N28" s="263" t="str">
        <f>IF($B28="", "", IF(AND($I28, $B28=N$20, $E28=N$21, $F28=N$22, SUM($I$24)&gt;0), $I28, ""))</f>
        <v/>
      </c>
      <c r="O28" s="263">
        <f>IF($B28="", "", IF(AND($I28, $B28=O$20, $E28=O$21, $F28=O$22, SUM($I$24)&gt;0), $I28, ""))</f>
        <v>1000</v>
      </c>
      <c r="P28" s="263" t="str">
        <f>IF($B28="", "", IF(AND($I28, $B28=P$20, $E28=P$21, $F28=P$22, SUM($I$24)&gt;0), $I28, ""))</f>
        <v/>
      </c>
      <c r="Q28" s="263" t="str">
        <f>IF($B28="", "", IF(AND($I28, $B28=Q$20, $E28=Q$21, $F28=Q$22, SUM($I$24)&gt;0), $I28, ""))</f>
        <v/>
      </c>
    </row>
    <row r="29" spans="1:30" s="4" customFormat="1" ht="16" customHeight="1">
      <c r="A29" s="151"/>
      <c r="B29" s="252">
        <v>204</v>
      </c>
      <c r="C29" s="100" t="s">
        <v>315</v>
      </c>
      <c r="D29" s="101"/>
      <c r="E29" s="244">
        <v>45849</v>
      </c>
      <c r="F29" s="254" t="s">
        <v>316</v>
      </c>
      <c r="G29" s="6">
        <v>1</v>
      </c>
      <c r="H29" s="5">
        <v>100</v>
      </c>
      <c r="I29" s="224">
        <f>G29*H29</f>
        <v>100</v>
      </c>
      <c r="L29" s="263">
        <f>IF($B29="", "", IF(AND($I29, $B29=L$20, $E29=L$21, $F29=L$22, SUM($I$24)&gt;0), $I29, ""))</f>
        <v>100</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30" s="4" customFormat="1" ht="16" customHeight="1">
      <c r="A30" s="151"/>
      <c r="B30" s="252">
        <v>204</v>
      </c>
      <c r="C30" s="100" t="s">
        <v>315</v>
      </c>
      <c r="D30" s="101"/>
      <c r="E30" s="244">
        <v>45849</v>
      </c>
      <c r="F30" s="254" t="s">
        <v>316</v>
      </c>
      <c r="G30" s="6">
        <v>1</v>
      </c>
      <c r="H30" s="5">
        <v>100</v>
      </c>
      <c r="I30" s="224">
        <f>G30*H30</f>
        <v>100</v>
      </c>
      <c r="L30" s="263">
        <f>IF($B30="", "", IF(AND($I30, $B30=L$20, $E30=L$21, $F30=L$22, SUM($I$24)&gt;0), $I30, ""))</f>
        <v>100</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30" s="4" customFormat="1" ht="16" customHeight="1">
      <c r="A31" s="151"/>
      <c r="B31" s="252">
        <v>204</v>
      </c>
      <c r="C31" s="100" t="s">
        <v>315</v>
      </c>
      <c r="D31" s="101"/>
      <c r="E31" s="244">
        <v>45849</v>
      </c>
      <c r="F31" s="254" t="s">
        <v>316</v>
      </c>
      <c r="G31" s="6">
        <v>1</v>
      </c>
      <c r="H31" s="5">
        <v>100</v>
      </c>
      <c r="I31" s="224">
        <f>G31*H31</f>
        <v>100</v>
      </c>
      <c r="L31" s="263">
        <f>IF($B31="", "", IF(AND($I31, $B31=L$20, $E31=L$21, $F31=L$22, SUM($I$24)&gt;0), $I31, ""))</f>
        <v>100</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30"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800</v>
      </c>
      <c r="M36" s="269">
        <f t="shared" ref="M36:Q36" si="3">IF(SUM(M24:M35), SUM(M24:M35),"")</f>
        <v>50</v>
      </c>
      <c r="N36" s="270">
        <f t="shared" si="3"/>
        <v>1000</v>
      </c>
      <c r="O36" s="270">
        <f>IF(SUM(O24:O35), SUM(O24:O35),"")</f>
        <v>1000</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2850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2850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IF('TEMPLATE-SHEET'!$L41="#A", L20,"")</f>
        <v>204</v>
      </c>
      <c r="N41" s="289" t="s">
        <v>336</v>
      </c>
      <c r="O41" s="290" t="str">
        <f>IF('TEMPLATE-SHEET'!$L41="#A", Sheet_PO,"")</f>
        <v>{{PO_NUMBER}}</v>
      </c>
      <c r="P41" s="291">
        <f>IF('TEMPLATE-SHEET'!$L41="#A", L$21,"")</f>
        <v>45849</v>
      </c>
      <c r="Q41" s="290" t="str">
        <f>IF('TEMPLATE-SHEET'!$L41="#A", L$22,"")</f>
        <v>CC 2456</v>
      </c>
      <c r="R41" s="292">
        <f>IF('TEMPLATE-SHEET'!$L41="#A", L$36,"")</f>
        <v>800</v>
      </c>
      <c r="S41" s="290" t="str">
        <f>IF('TEMPLATE-SHEET'!$L41="#A",
      INDEX('Line No'!$B$1:$B$342, MATCH('TEMPLATE-SHEET'!$M41, 'Line No'!$A$1:$A$342, 0)),
      "")</f>
        <v>Production Supplies</v>
      </c>
    </row>
    <row r="42" spans="1:19" ht="16" customHeight="1">
      <c r="A42" s="188"/>
      <c r="B42" s="188"/>
      <c r="C42" s="188"/>
      <c r="D42" s="188"/>
      <c r="E42" s="188"/>
      <c r="F42" s="188"/>
      <c r="G42" s="188"/>
      <c r="H42" s="188"/>
      <c r="I42" s="188"/>
      <c r="L42" s="301" t="str">
        <f>IF(SUM($M$24:$M$34), "#B", "")</f>
        <v>#B</v>
      </c>
      <c r="M42" s="293">
        <f>IF('TEMPLATE-SHEET'!$L42="#B", L20,"")</f>
        <v>204</v>
      </c>
      <c r="N42" s="293" t="s">
        <v>336</v>
      </c>
      <c r="O42" s="293" t="str">
        <f>IF('TEMPLATE-SHEET'!$L42="#B", Sheet_PO,"")</f>
        <v>{{PO_NUMBER}}</v>
      </c>
      <c r="P42" s="294">
        <f>IF('TEMPLATE-SHEET'!$L42="#B", M21,"")</f>
        <v>45849</v>
      </c>
      <c r="Q42" s="293" t="str">
        <f>IF('TEMPLATE-SHEET'!$L42="#B", M22,"")</f>
        <v>CC 2456</v>
      </c>
      <c r="R42" s="295">
        <f>IF('TEMPLATE-SHEET'!$L42="#B", M36,"")</f>
        <v>50</v>
      </c>
      <c r="S42" s="293" t="str">
        <f>IF('TEMPLATE-SHEET'!$L42="#B",
      INDEX('Line No'!$B$1:$B$342, MATCH('TEMPLATE-SHEET'!$M42, 'Line No'!$A$1:$A$342, 0)),
      "")</f>
        <v>Production Supplies</v>
      </c>
    </row>
    <row r="43" spans="1:19" ht="16" customHeight="1">
      <c r="A43" s="188"/>
      <c r="B43" s="188"/>
      <c r="C43" s="188"/>
      <c r="D43" s="188"/>
      <c r="E43" s="188"/>
      <c r="F43" s="188"/>
      <c r="G43" s="189"/>
      <c r="H43" s="189"/>
      <c r="I43" s="189"/>
      <c r="L43" s="302" t="str">
        <f>IF(SUM($N$24:$N$34), "#C", "")</f>
        <v>#C</v>
      </c>
      <c r="M43" s="290">
        <f>IF('TEMPLATE-SHEET'!$L43="#C", M20,"")</f>
        <v>205</v>
      </c>
      <c r="N43" s="289" t="s">
        <v>336</v>
      </c>
      <c r="O43" s="290" t="str">
        <f>IF('TEMPLATE-SHEET'!$L43="#C", Sheet_PO,"")</f>
        <v>{{PO_NUMBER}}</v>
      </c>
      <c r="P43" s="291">
        <f>IF('TEMPLATE-SHEET'!$L43="#C", N21,"")</f>
        <v>45848</v>
      </c>
      <c r="Q43" s="290" t="str">
        <f>IF('TEMPLATE-SHEET'!$L43="#C", N22,"")</f>
        <v>CHK 101</v>
      </c>
      <c r="R43" s="292">
        <f>IF('TEMPLATE-SHEET'!$L43="#C", N36,"")</f>
        <v>1000</v>
      </c>
      <c r="S43" s="290" t="str">
        <f>IF('TEMPLATE-SHEET'!$L43="#C",
      INDEX('Line No'!$B$1:$B$342, MATCH('TEMPLATE-SHEET'!$M43, 'Line No'!$A$1:$A$342, 0)),
      "")</f>
        <v>Location Supplies</v>
      </c>
    </row>
    <row r="44" spans="1:19" ht="16" customHeight="1">
      <c r="A44" s="188"/>
      <c r="B44" s="188"/>
      <c r="C44" s="188"/>
      <c r="D44" s="188"/>
      <c r="E44" s="188"/>
      <c r="F44" s="188"/>
      <c r="G44" s="189"/>
      <c r="H44" s="258"/>
      <c r="I44" s="189"/>
      <c r="L44" s="303" t="str">
        <f>IF(SUM($O$24:$O$34), "#D", "")</f>
        <v>#D</v>
      </c>
      <c r="M44" s="293">
        <f>IF('TEMPLATE-SHEET'!$L44="#D", N20,"")</f>
        <v>112</v>
      </c>
      <c r="N44" s="293" t="s">
        <v>336</v>
      </c>
      <c r="O44" s="293" t="str">
        <f>IF('TEMPLATE-SHEET'!$L44="#D", Sheet_PO,"")</f>
        <v>{{PO_NUMBER}}</v>
      </c>
      <c r="P44" s="294">
        <f>IF('TEMPLATE-SHEET'!$L44="#D", O21,"")</f>
        <v>45849</v>
      </c>
      <c r="Q44" s="293" t="str">
        <f>IF('TEMPLATE-SHEET'!$L44="#D", O22,"")</f>
        <v>CASH</v>
      </c>
      <c r="R44" s="295">
        <f>IF('TEMPLATE-SHEET'!$L44="#D", O36,"")</f>
        <v>1000</v>
      </c>
      <c r="S44" s="293" t="str">
        <f>IF('TEMPLATE-SHEET'!$L44="#D",
      INDEX('Line No'!$B$1:$B$342, MATCH('TEMPLATE-SHEET'!$M44, 'Line No'!$A$1:$A$342, 0)),
      "")</f>
        <v>Pre Pro Meals</v>
      </c>
    </row>
    <row r="45" spans="1:19" ht="16" customHeight="1">
      <c r="A45" s="188"/>
      <c r="B45" s="188"/>
      <c r="C45" s="273"/>
      <c r="D45" s="273"/>
      <c r="E45" s="273"/>
      <c r="F45" s="273"/>
      <c r="G45" s="190"/>
      <c r="H45" s="190"/>
      <c r="I45" s="191"/>
      <c r="L45" s="302" t="str">
        <f>IF(SUM($P$24:$P$34), "#E", "")</f>
        <v/>
      </c>
      <c r="M45" s="290" t="str">
        <f>IF('TEMPLATE-SHEET'!$L45="#E", O20,"")</f>
        <v/>
      </c>
      <c r="N45" s="289"/>
      <c r="O45" s="290" t="str">
        <f>IF('TEMPLATE-SHEET'!$L45="#E", Sheet_PO,"")</f>
        <v/>
      </c>
      <c r="P45" s="291" t="str">
        <f>IF('TEMPLATE-SHEET'!$L45="#E", P21,"")</f>
        <v/>
      </c>
      <c r="Q45" s="290" t="str">
        <f>IF('TEMPLATE-SHEET'!$L45="#E", P22,"")</f>
        <v/>
      </c>
      <c r="R45" s="292" t="str">
        <f>IF('TEMPLATE-SHEET'!$L45="#E", P36,"")</f>
        <v/>
      </c>
      <c r="S45" s="290" t="str">
        <f>IF('TEMPLATE-SHEET'!$L45="#E",
      INDEX('Line No'!$B$1:$B$342, MATCH('TEMPLATE-SHEET'!$M45, 'Line No'!$A$1:$A$342, 0)),
      "")</f>
        <v/>
      </c>
    </row>
    <row r="46" spans="1:19" ht="16" customHeight="1">
      <c r="A46" s="188"/>
      <c r="B46" s="188"/>
      <c r="C46" s="188"/>
      <c r="D46" s="188"/>
      <c r="E46" s="188"/>
      <c r="F46" s="188"/>
      <c r="G46" s="188"/>
      <c r="H46" s="188"/>
      <c r="I46" s="188"/>
      <c r="L46" s="303" t="str">
        <f>IF(SUM($Q$24:$Q$34), "#F", "")</f>
        <v/>
      </c>
      <c r="M46" s="293" t="str">
        <f>IF('TEMPLATE-SHEET'!$L46="#F", P20,"")</f>
        <v/>
      </c>
      <c r="N46" s="293"/>
      <c r="O46" s="293" t="str">
        <f>IF('TEMPLATE-SHEET'!$L46="#F", Sheet_PO,"")</f>
        <v/>
      </c>
      <c r="P46" s="294" t="str">
        <f>IF('TEMPLATE-SHEET'!$L46="#F", Q21,"")</f>
        <v/>
      </c>
      <c r="Q46" s="293" t="str">
        <f>IF('TEMPLATE-SHEET'!$L46="#F", Q22,"")</f>
        <v/>
      </c>
      <c r="R46" s="295" t="str">
        <f>IF('TEMPLATE-SHEET'!$L46="#F", Q36,"")</f>
        <v/>
      </c>
      <c r="S46" s="293" t="str">
        <f>IF('TEMPLATE-SHEET'!$L46="#F",
      INDEX('Line No'!$B$1:$B$342, MATCH('TEMPLATE-SHEET'!$M46, 'Line No'!$A$1:$A$342, 0)),
      "")</f>
        <v/>
      </c>
    </row>
    <row r="47" spans="1:19" ht="16" customHeight="1">
      <c r="A47" s="188"/>
      <c r="B47" s="272"/>
      <c r="C47" s="272"/>
      <c r="D47" s="272"/>
      <c r="E47" s="272"/>
      <c r="F47" s="272"/>
      <c r="G47" s="272"/>
      <c r="H47" s="272"/>
      <c r="I47" s="272"/>
      <c r="L47" s="302" t="str">
        <f>IF(SUM($R$24:$R$34), "#G", "")</f>
        <v/>
      </c>
      <c r="M47" s="290" t="str">
        <f>IF('TEMPLATE-SHEET'!$L47="#G", Q20,"")</f>
        <v/>
      </c>
      <c r="N47" s="289"/>
      <c r="O47" s="290" t="str">
        <f>IF('TEMPLATE-SHEET'!$L47="#G", Sheet_PO,"")</f>
        <v/>
      </c>
      <c r="P47" s="296" t="str">
        <f>IF('TEMPLATE-SHEET'!$L47="#G", R21,"")</f>
        <v/>
      </c>
      <c r="Q47" s="297" t="str">
        <f>IF('TEMPLATE-SHEET'!$L47="#G", R22,"")</f>
        <v/>
      </c>
      <c r="R47" s="292" t="str">
        <f>IF('TEMPLATE-SHEET'!$L47="#G", R36,"")</f>
        <v/>
      </c>
      <c r="S47" s="290" t="str">
        <f>IF('TEMPLATE-SHEET'!$L47="#G",
      INDEX('Line No'!$B$1:$B$342, MATCH('TEMPLATE-SHEET'!$M47, 'Line No'!$A$1:$A$342, 0)),
      "")</f>
        <v/>
      </c>
    </row>
    <row r="48" spans="1:19" ht="16" customHeight="1">
      <c r="L48" s="303" t="str">
        <f>IF(SUM($S$24:$S$34), "#H", "")</f>
        <v/>
      </c>
      <c r="M48" s="293" t="str">
        <f>IF('TEMPLATE-SHEET'!$L48="#H", R20,"")</f>
        <v/>
      </c>
      <c r="N48" s="293"/>
      <c r="O48" s="293" t="str">
        <f>IF('TEMPLATE-SHEET'!$L48="#H", Sheet_PO,"")</f>
        <v/>
      </c>
      <c r="P48" s="298" t="str">
        <f>IF('TEMPLATE-SHEET'!$L48="#H", T21,"")</f>
        <v/>
      </c>
      <c r="Q48" s="299" t="str">
        <f>IF('TEMPLATE-SHEET'!$L48="#H", T22,"")</f>
        <v/>
      </c>
      <c r="R48" s="295" t="str">
        <f>IF('TEMPLATE-SHEET'!$L48="#H", T36,"")</f>
        <v/>
      </c>
      <c r="S48" s="293" t="str">
        <f>IF('TEMPLATE-SHEET'!$L48="#H",
      INDEX('Line No'!$B$1:$B$342, MATCH('TEMPLATE-SHEET'!$M48, 'Line No'!$A$1:$A$342, 0)),
      "")</f>
        <v/>
      </c>
    </row>
    <row r="49" spans="11:21" ht="16" customHeight="1">
      <c r="K49" s="1" cm="1">
        <f t="array" ref="K49">SUMPRODUCT(--(L41:L49&lt;&gt;""))</f>
        <v>4</v>
      </c>
      <c r="L49" s="302" t="str">
        <f>IF(SUM($T$24:$T$34), "#OTHER", "")</f>
        <v/>
      </c>
      <c r="M49" s="290" t="str">
        <f>IF('TEMPLATE-SHEET'!$L49="#I", T20,"")</f>
        <v/>
      </c>
      <c r="N49" s="289"/>
      <c r="O49" s="290" t="str">
        <f>IF('TEMPLATE-SHEET'!$L49="#I", Sheet_PO,"")</f>
        <v/>
      </c>
      <c r="P49" s="296" t="str">
        <f>IF('TEMPLATE-SHEET'!$L49="#I", U21,"")</f>
        <v/>
      </c>
      <c r="Q49" s="297" t="str">
        <f>IF('TEMPLATE-SHEET'!$L49="#I", U22,"")</f>
        <v/>
      </c>
      <c r="R49" s="292" t="str">
        <f>IF('TEMPLATE-SHEET'!$L49="#I", U36,"")</f>
        <v/>
      </c>
      <c r="S49" s="290" t="str">
        <f>IF('TEMPLATE-SHEET'!$L49="#I",
      INDEX('Line No'!$B$1:$B$342, MATCH('TEMPLATE-SHEET'!$M49,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5:D35"/>
    <mergeCell ref="L39:R39"/>
    <mergeCell ref="T19:Y19"/>
    <mergeCell ref="J3:L3"/>
    <mergeCell ref="G1:I1"/>
    <mergeCell ref="B2:C2"/>
    <mergeCell ref="D2:G2"/>
    <mergeCell ref="G3:I3"/>
    <mergeCell ref="B4:G4"/>
    <mergeCell ref="E5:H6"/>
    <mergeCell ref="B7:C7"/>
    <mergeCell ref="D7:E7"/>
    <mergeCell ref="C5:D5"/>
    <mergeCell ref="C6:D6"/>
    <mergeCell ref="C9:D9"/>
    <mergeCell ref="F9:I9"/>
    <mergeCell ref="C10:D10"/>
    <mergeCell ref="F10:I10"/>
    <mergeCell ref="C24:D24"/>
    <mergeCell ref="C11:D11"/>
    <mergeCell ref="C12:D12"/>
    <mergeCell ref="C13:D13"/>
    <mergeCell ref="F13:I13"/>
    <mergeCell ref="C14:D14"/>
    <mergeCell ref="F19:I19"/>
    <mergeCell ref="C31:D31"/>
    <mergeCell ref="B22:I22"/>
    <mergeCell ref="C23:D23"/>
    <mergeCell ref="F14:I14"/>
    <mergeCell ref="C19:E19"/>
    <mergeCell ref="C25:D25"/>
    <mergeCell ref="C26:D26"/>
    <mergeCell ref="C27:D27"/>
    <mergeCell ref="C28:D28"/>
    <mergeCell ref="C29:D29"/>
    <mergeCell ref="C30:D30"/>
    <mergeCell ref="C18:E18"/>
    <mergeCell ref="F18:I18"/>
    <mergeCell ref="C32:D32"/>
    <mergeCell ref="C33:D33"/>
    <mergeCell ref="C34:D34"/>
    <mergeCell ref="C38:D38"/>
  </mergeCells>
  <conditionalFormatting sqref="S41:S49">
    <cfRule type="containsText" dxfId="41"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B6"/>
  <sheetViews>
    <sheetView workbookViewId="0">
      <selection activeCell="B8" sqref="B8"/>
    </sheetView>
  </sheetViews>
  <sheetFormatPr baseColWidth="10" defaultRowHeight="16"/>
  <sheetData>
    <row r="1" spans="1:2" ht="17" thickBot="1">
      <c r="A1" t="s">
        <v>17</v>
      </c>
      <c r="B1" t="s">
        <v>347</v>
      </c>
    </row>
    <row r="2" spans="1:2">
      <c r="A2" s="285" t="s">
        <v>310</v>
      </c>
      <c r="B2" s="344" cm="1">
        <f t="array" aca="1" ref="B2" ca="1">INDIRECT("'" &amp; A2 &amp; "'!count")</f>
        <v>4</v>
      </c>
    </row>
    <row r="3" spans="1:2">
      <c r="A3" s="286" t="s">
        <v>309</v>
      </c>
      <c r="B3" s="344" cm="1">
        <f t="array" aca="1" ref="B3" ca="1">INDIRECT("'" &amp; A3 &amp; "'!count")</f>
        <v>3</v>
      </c>
    </row>
    <row r="4" spans="1:2">
      <c r="A4" s="287" t="s">
        <v>308</v>
      </c>
      <c r="B4" s="344" cm="1">
        <f t="array" aca="1" ref="B4" ca="1">INDIRECT("'" &amp; A4 &amp; "'!count")</f>
        <v>2</v>
      </c>
    </row>
    <row r="5" spans="1:2">
      <c r="A5" s="287" t="s">
        <v>307</v>
      </c>
      <c r="B5" s="344" cm="1">
        <f t="array" aca="1" ref="B5" ca="1">INDIRECT("'" &amp; A5 &amp; "'!count")</f>
        <v>4</v>
      </c>
    </row>
    <row r="6" spans="1:2">
      <c r="A6" s="287" t="s">
        <v>306</v>
      </c>
      <c r="B6" s="344" cm="1">
        <f t="array" aca="1" ref="B6" ca="1">INDIRECT("'" &amp; A6 &amp; "'!count")</f>
        <v>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DED17-CC3E-C346-8CD1-09F8A39CA1D2}">
  <sheetPr codeName="Sheet7">
    <pageSetUpPr fitToPage="1"/>
  </sheetPr>
  <dimension ref="A1:AK52"/>
  <sheetViews>
    <sheetView topLeftCell="A34" workbookViewId="0">
      <selection activeCell="L41" sqref="L4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310</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51"/>
      <c r="B6" s="202"/>
      <c r="C6" s="138"/>
      <c r="D6" s="139"/>
      <c r="E6" s="152"/>
      <c r="F6" s="152"/>
      <c r="G6" s="152"/>
      <c r="H6" s="152"/>
      <c r="I6" s="203"/>
      <c r="M6" s="4">
        <v>112</v>
      </c>
      <c r="O6" s="4" t="str">
        <v>CASH</v>
      </c>
      <c r="P6" s="4" t="str" cm="1">
        <f t="array" ref="P6">IF(O6="","",IFERROR(INDEX(Description, MATCH(O6, Line, 0)), "Not Found"))</f>
        <v>Not Found</v>
      </c>
      <c r="S6" s="249">
        <v>112</v>
      </c>
      <c r="T6" s="257">
        <v>45848</v>
      </c>
      <c r="U6" s="249" t="str">
        <v>CHK 101</v>
      </c>
      <c r="AF6" s="4" t="str">
        <v>CC 2456</v>
      </c>
      <c r="AG6" s="4" t="str">
        <v>CC 2456</v>
      </c>
      <c r="AH6" s="4" t="str">
        <v>CHK 101</v>
      </c>
      <c r="AI6" s="4" t="str">
        <v>CASH</v>
      </c>
      <c r="AJ6" s="4" t="str">
        <v/>
      </c>
      <c r="AK6" s="4" t="str">
        <v/>
      </c>
    </row>
    <row r="7" spans="1:37" s="4" customFormat="1" ht="16">
      <c r="A7" s="151"/>
      <c r="B7" s="204"/>
      <c r="C7" s="153"/>
      <c r="D7" s="154"/>
      <c r="E7" s="154"/>
      <c r="F7" s="155"/>
      <c r="G7" s="155"/>
      <c r="H7" s="155"/>
      <c r="I7" s="205"/>
      <c r="M7" s="4">
        <v>1</v>
      </c>
      <c r="P7" s="4" t="str" cm="1">
        <f t="array" ref="P7">IF(O7="","",IFERROR(INDEX(Description, MATCH(O7, Line, 0)), "Not Found"))</f>
        <v/>
      </c>
      <c r="S7" s="249">
        <v>1</v>
      </c>
      <c r="T7" s="257">
        <v>45849</v>
      </c>
      <c r="U7" s="249" t="str">
        <v>CASH</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3">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5">_xlfn.UNIQUE(_xlfn.HSTACK(LineEntry, DateEntry, PayIDEntry))&lt;&gt;0</f>
        <v>1</v>
      </c>
      <c r="T11" s="4" t="b">
        <v>1</v>
      </c>
      <c r="U11" s="4" t="b">
        <v>1</v>
      </c>
      <c r="W11" s="4" t="b">
        <v>1</v>
      </c>
      <c r="X11" s="4" t="b">
        <v>1</v>
      </c>
      <c r="Y11" s="4" t="b">
        <v>1</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c r="W12" s="4" t="b">
        <v>1</v>
      </c>
      <c r="X12" s="4" t="b">
        <v>1</v>
      </c>
      <c r="Y12" s="4" t="b">
        <v>1</v>
      </c>
    </row>
    <row r="13" spans="1:37" s="4" customFormat="1" ht="16">
      <c r="A13" s="151"/>
      <c r="B13" s="213"/>
      <c r="C13" s="104"/>
      <c r="D13" s="104"/>
      <c r="F13" s="97"/>
      <c r="G13" s="98"/>
      <c r="H13" s="98"/>
      <c r="I13" s="214"/>
      <c r="P13" s="4" t="str" cm="1">
        <f t="array" ref="P13">IF(O13="","",IFERROR(INDEX(Description, MATCH(O13, Line, 0)), "Not Found"))</f>
        <v/>
      </c>
      <c r="S13" s="4" t="b">
        <v>1</v>
      </c>
      <c r="T13" s="4" t="b">
        <v>1</v>
      </c>
      <c r="U13" s="4" t="b">
        <v>1</v>
      </c>
      <c r="W13" s="4" t="b">
        <v>0</v>
      </c>
      <c r="X13" s="4" t="b">
        <v>0</v>
      </c>
      <c r="Y13" s="4" t="b">
        <v>0</v>
      </c>
    </row>
    <row r="14" spans="1:37" s="4" customFormat="1" ht="16">
      <c r="A14" s="151"/>
      <c r="B14" s="213"/>
      <c r="C14" s="106"/>
      <c r="D14" s="106"/>
      <c r="E14" s="158" t="s">
        <v>268</v>
      </c>
      <c r="F14" s="97"/>
      <c r="G14" s="98"/>
      <c r="H14" s="98"/>
      <c r="I14" s="214"/>
      <c r="S14" s="4" t="b">
        <v>1</v>
      </c>
      <c r="T14" s="4" t="b">
        <v>1</v>
      </c>
      <c r="U14" s="4" t="b">
        <v>1</v>
      </c>
    </row>
    <row r="15" spans="1:37" s="4" customFormat="1" ht="16">
      <c r="A15" s="151"/>
      <c r="B15" s="215"/>
      <c r="C15" s="161"/>
      <c r="D15" s="161"/>
      <c r="E15" s="160"/>
      <c r="F15" s="160"/>
      <c r="G15" s="160"/>
      <c r="H15" s="160"/>
      <c r="I15" s="211"/>
      <c r="S15" s="4" t="b">
        <v>0</v>
      </c>
      <c r="T15" s="4" t="b">
        <v>0</v>
      </c>
      <c r="U15" s="4" t="b">
        <v>0</v>
      </c>
    </row>
    <row r="16" spans="1:37" s="3" customFormat="1" ht="23" customHeight="1">
      <c r="A16" s="148"/>
      <c r="B16" s="216" t="s">
        <v>6</v>
      </c>
      <c r="C16" s="162"/>
      <c r="D16" s="162"/>
      <c r="E16" s="162"/>
      <c r="F16" s="162"/>
      <c r="G16" s="185"/>
      <c r="H16" s="89"/>
      <c r="I16" s="217"/>
    </row>
    <row r="17" spans="1:30" s="3" customFormat="1" ht="23" customHeight="1">
      <c r="A17" s="148"/>
      <c r="B17" s="216"/>
      <c r="C17" s="186"/>
      <c r="D17" s="186"/>
      <c r="E17" s="186"/>
      <c r="F17" s="186"/>
      <c r="G17" s="187"/>
      <c r="H17" s="89"/>
      <c r="I17" s="217"/>
      <c r="T17" s="247" t="s">
        <v>323</v>
      </c>
    </row>
    <row r="18" spans="1:30" s="3" customFormat="1" ht="23" customHeight="1">
      <c r="A18" s="148"/>
      <c r="B18" s="216"/>
      <c r="C18" s="99"/>
      <c r="D18" s="99"/>
      <c r="E18" s="99"/>
      <c r="F18" s="99"/>
      <c r="G18" s="99"/>
      <c r="H18" s="99"/>
      <c r="I18" s="218"/>
    </row>
    <row r="19" spans="1:30" s="3" customFormat="1" ht="13" customHeight="1" thickBot="1">
      <c r="A19" s="148"/>
      <c r="B19" s="216"/>
      <c r="C19" s="99"/>
      <c r="D19" s="99"/>
      <c r="E19" s="99"/>
      <c r="F19" s="99"/>
      <c r="G19" s="99"/>
      <c r="H19" s="99"/>
      <c r="I19" s="218"/>
      <c r="T19" s="275" t="s">
        <v>337</v>
      </c>
      <c r="U19" s="275"/>
      <c r="V19" s="275"/>
      <c r="W19" s="275"/>
      <c r="X19" s="275"/>
      <c r="Y19" s="275"/>
      <c r="Z19" s="4" t="s">
        <v>338</v>
      </c>
    </row>
    <row r="20" spans="1:30"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v>112</v>
      </c>
      <c r="O20" s="264">
        <v>1</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v>112</v>
      </c>
      <c r="W20" s="280">
        <v>1</v>
      </c>
      <c r="X20" s="280" t="str">
        <v/>
      </c>
      <c r="Y20" s="281"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8"/>
      <c r="B21" s="216"/>
      <c r="C21" s="163"/>
      <c r="D21" s="163"/>
      <c r="E21" s="163"/>
      <c r="F21" s="163"/>
      <c r="G21" s="163"/>
      <c r="H21" s="163"/>
      <c r="I21" s="219"/>
      <c r="K21" s="267" t="s">
        <v>333</v>
      </c>
      <c r="L21" s="265">
        <v>45849</v>
      </c>
      <c r="M21" s="265">
        <v>45849</v>
      </c>
      <c r="N21" s="265">
        <v>45848</v>
      </c>
      <c r="O21" s="265">
        <v>45849</v>
      </c>
      <c r="P21" s="265" t="str">
        <v/>
      </c>
      <c r="Q21" s="265" t="str">
        <v/>
      </c>
      <c r="T21" s="148">
        <v>45849</v>
      </c>
      <c r="U21" s="167">
        <v>45849</v>
      </c>
      <c r="V21" s="167">
        <v>45848</v>
      </c>
      <c r="W21" s="167">
        <v>45849</v>
      </c>
      <c r="X21" s="167" t="str">
        <v/>
      </c>
      <c r="Y21" s="282" t="str">
        <v/>
      </c>
    </row>
    <row r="22" spans="1:30" ht="30" customHeight="1" thickBot="1">
      <c r="A22" s="141"/>
      <c r="B22" s="220"/>
      <c r="C22" s="164"/>
      <c r="D22" s="165"/>
      <c r="E22" s="165"/>
      <c r="F22" s="165"/>
      <c r="G22" s="165"/>
      <c r="H22" s="165"/>
      <c r="I22" s="221"/>
      <c r="K22" s="267" t="s">
        <v>334</v>
      </c>
      <c r="L22" s="266" t="str">
        <v>CC 2456</v>
      </c>
      <c r="M22" s="266" t="str">
        <v>CC 2456</v>
      </c>
      <c r="N22" s="266" t="str">
        <v>CHK 101</v>
      </c>
      <c r="O22" s="266" t="str">
        <v>CASH</v>
      </c>
      <c r="P22" s="266" t="str">
        <v/>
      </c>
      <c r="Q22" s="266" t="str">
        <v/>
      </c>
      <c r="T22" s="173" t="str">
        <v>CC 2456</v>
      </c>
      <c r="U22" s="174" t="str">
        <v>CC 2456</v>
      </c>
      <c r="V22" s="174" t="str">
        <v>CHK 101</v>
      </c>
      <c r="W22" s="174" t="str">
        <v>CASH</v>
      </c>
      <c r="X22" s="174" t="str">
        <v/>
      </c>
      <c r="Y22" s="175" t="str">
        <v/>
      </c>
    </row>
    <row r="23" spans="1:30"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30"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30"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30" s="4" customFormat="1" ht="16" customHeight="1">
      <c r="A26" s="151"/>
      <c r="B26" s="252">
        <v>112</v>
      </c>
      <c r="C26" s="100" t="s">
        <v>330</v>
      </c>
      <c r="D26" s="101"/>
      <c r="E26" s="244">
        <v>45848</v>
      </c>
      <c r="F26" s="254" t="s">
        <v>331</v>
      </c>
      <c r="G26" s="6">
        <v>1</v>
      </c>
      <c r="H26" s="5">
        <v>1000</v>
      </c>
      <c r="I26" s="224">
        <f t="shared" si="1"/>
        <v>1000</v>
      </c>
      <c r="L26" s="263" t="str">
        <f t="shared" si="2"/>
        <v/>
      </c>
      <c r="M26" s="263" t="str">
        <f t="shared" si="2"/>
        <v/>
      </c>
      <c r="N26" s="263">
        <f t="shared" si="2"/>
        <v>1000</v>
      </c>
      <c r="O26" s="263" t="str">
        <f t="shared" si="2"/>
        <v/>
      </c>
      <c r="P26" s="263" t="str">
        <f t="shared" si="2"/>
        <v/>
      </c>
      <c r="Q26" s="263" t="str">
        <f t="shared" si="2"/>
        <v/>
      </c>
    </row>
    <row r="27" spans="1:30" s="4" customFormat="1" ht="16">
      <c r="A27" s="151"/>
      <c r="B27" s="252">
        <v>204</v>
      </c>
      <c r="C27" s="100" t="s">
        <v>315</v>
      </c>
      <c r="D27" s="101"/>
      <c r="E27" s="244">
        <v>45849</v>
      </c>
      <c r="F27" s="254" t="s">
        <v>316</v>
      </c>
      <c r="G27" s="6">
        <v>1</v>
      </c>
      <c r="H27" s="5">
        <v>100</v>
      </c>
      <c r="I27" s="224">
        <f>G27*H27</f>
        <v>100</v>
      </c>
      <c r="L27" s="263">
        <f>IF($B27="", "", IF(AND($I27, $B27=L$20, $E27=L$21, $F27=L$22, SUM($I$24)&gt;0), $I27, ""))</f>
        <v>100</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30" s="4" customFormat="1" ht="16" customHeight="1">
      <c r="A28" s="151"/>
      <c r="B28" s="252">
        <v>1</v>
      </c>
      <c r="C28" s="100" t="s">
        <v>340</v>
      </c>
      <c r="D28" s="101"/>
      <c r="E28" s="244">
        <v>45849</v>
      </c>
      <c r="F28" s="254" t="s">
        <v>5</v>
      </c>
      <c r="G28" s="6">
        <v>1</v>
      </c>
      <c r="H28" s="5">
        <v>1000</v>
      </c>
      <c r="I28" s="224">
        <f>G28*H28</f>
        <v>1000</v>
      </c>
      <c r="L28" s="263" t="str">
        <f>IF($B28="", "", IF(AND($I28, $B28=L$20, $E28=L$21, $F28=L$22, SUM($I$24)&gt;0), $I28, ""))</f>
        <v/>
      </c>
      <c r="M28" s="263" t="str">
        <f>IF($B28="", "", IF(AND($I28, $B28=M$20, $E28=M$21, $F28=M$22, SUM($I$24)&gt;0), $I28, ""))</f>
        <v/>
      </c>
      <c r="N28" s="263" t="str">
        <f>IF($B28="", "", IF(AND($I28, $B28=N$20, $E28=N$21, $F28=N$22, SUM($I$24)&gt;0), $I28, ""))</f>
        <v/>
      </c>
      <c r="O28" s="263">
        <f>IF($B28="", "", IF(AND($I28, $B28=O$20, $E28=O$21, $F28=O$22, SUM($I$24)&gt;0), $I28, ""))</f>
        <v>1000</v>
      </c>
      <c r="P28" s="263" t="str">
        <f>IF($B28="", "", IF(AND($I28, $B28=P$20, $E28=P$21, $F28=P$22, SUM($I$24)&gt;0), $I28, ""))</f>
        <v/>
      </c>
      <c r="Q28" s="263" t="str">
        <f>IF($B28="", "", IF(AND($I28, $B28=Q$20, $E28=Q$21, $F28=Q$22, SUM($I$24)&gt;0), $I28, ""))</f>
        <v/>
      </c>
    </row>
    <row r="29" spans="1:30" s="4" customFormat="1" ht="16" customHeight="1">
      <c r="A29" s="151"/>
      <c r="B29" s="252">
        <v>204</v>
      </c>
      <c r="C29" s="100" t="s">
        <v>315</v>
      </c>
      <c r="D29" s="101"/>
      <c r="E29" s="244">
        <v>45849</v>
      </c>
      <c r="F29" s="254" t="s">
        <v>316</v>
      </c>
      <c r="G29" s="6">
        <v>1</v>
      </c>
      <c r="H29" s="5">
        <v>100</v>
      </c>
      <c r="I29" s="224">
        <f>G29*H29</f>
        <v>100</v>
      </c>
      <c r="L29" s="263">
        <f>IF($B29="", "", IF(AND($I29, $B29=L$20, $E29=L$21, $F29=L$22, SUM($I$24)&gt;0), $I29, ""))</f>
        <v>100</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30" s="4" customFormat="1" ht="16" customHeight="1">
      <c r="A30" s="151"/>
      <c r="B30" s="252">
        <v>204</v>
      </c>
      <c r="C30" s="100" t="s">
        <v>315</v>
      </c>
      <c r="D30" s="101"/>
      <c r="E30" s="244">
        <v>45849</v>
      </c>
      <c r="F30" s="254" t="s">
        <v>316</v>
      </c>
      <c r="G30" s="6">
        <v>1</v>
      </c>
      <c r="H30" s="5">
        <v>100</v>
      </c>
      <c r="I30" s="224">
        <f>G30*H30</f>
        <v>100</v>
      </c>
      <c r="L30" s="263">
        <f>IF($B30="", "", IF(AND($I30, $B30=L$20, $E30=L$21, $F30=L$22, SUM($I$24)&gt;0), $I30, ""))</f>
        <v>100</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30" s="4" customFormat="1" ht="16" customHeight="1">
      <c r="A31" s="151"/>
      <c r="B31" s="252">
        <v>204</v>
      </c>
      <c r="C31" s="100" t="s">
        <v>315</v>
      </c>
      <c r="D31" s="101"/>
      <c r="E31" s="244">
        <v>45849</v>
      </c>
      <c r="F31" s="254" t="s">
        <v>316</v>
      </c>
      <c r="G31" s="6">
        <v>1</v>
      </c>
      <c r="H31" s="5">
        <v>100</v>
      </c>
      <c r="I31" s="224">
        <f>G31*H31</f>
        <v>100</v>
      </c>
      <c r="L31" s="263">
        <f>IF($B31="", "", IF(AND($I31, $B31=L$20, $E31=L$21, $F31=L$22, SUM($I$24)&gt;0), $I31, ""))</f>
        <v>100</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30"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800</v>
      </c>
      <c r="M36" s="269">
        <f t="shared" ref="M36:Q36" si="3">IF(SUM(M24:M35), SUM(M24:M35),"")</f>
        <v>50</v>
      </c>
      <c r="N36" s="270">
        <f t="shared" si="3"/>
        <v>1000</v>
      </c>
      <c r="O36" s="270">
        <f>IF(SUM(O24:O35), SUM(O24:O35),"")</f>
        <v>1000</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2850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2850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IF('2499-001'!$L41="#A", L20,"")</f>
        <v>204</v>
      </c>
      <c r="N41" s="289" t="s">
        <v>336</v>
      </c>
      <c r="O41" s="290" t="str">
        <f>IF('2499-001'!$L41="#A", Sheet_PO,"")</f>
        <v>2499-001</v>
      </c>
      <c r="P41" s="291">
        <f>IF('2499-001'!$L41="#A", L$21,"")</f>
        <v>45849</v>
      </c>
      <c r="Q41" s="290" t="str">
        <f>IF('2499-001'!$L41="#A", L$22,"")</f>
        <v>CC 2456</v>
      </c>
      <c r="R41" s="292">
        <f>IF('2499-001'!$L41="#A", L$36,"")</f>
        <v>800</v>
      </c>
      <c r="S41" s="290" t="str">
        <f>IF('2499-001'!$L41="#A",
      INDEX('Line No'!$B$1:$B$342, MATCH('2499-001'!$M41, 'Line No'!$A$1:$A$342, 0)),
      "")</f>
        <v>Production Supplies</v>
      </c>
    </row>
    <row r="42" spans="1:19" ht="16" customHeight="1">
      <c r="A42" s="188"/>
      <c r="B42" s="188"/>
      <c r="C42" s="188"/>
      <c r="D42" s="188"/>
      <c r="E42" s="188"/>
      <c r="F42" s="188"/>
      <c r="G42" s="188"/>
      <c r="H42" s="188"/>
      <c r="I42" s="188"/>
      <c r="L42" s="301" t="str">
        <f>IF(SUM($M$24:$M$34), "#B", "")</f>
        <v>#B</v>
      </c>
      <c r="M42" s="293">
        <f>IF('2499-001'!$L42="#B", L20,"")</f>
        <v>204</v>
      </c>
      <c r="N42" s="293" t="s">
        <v>336</v>
      </c>
      <c r="O42" s="293" t="str">
        <f>IF('2499-001'!$L42="#B", Sheet_PO,"")</f>
        <v>2499-001</v>
      </c>
      <c r="P42" s="294">
        <f>IF('2499-001'!$L42="#B", M21,"")</f>
        <v>45849</v>
      </c>
      <c r="Q42" s="293" t="str">
        <f>IF('2499-001'!$L42="#B", M22,"")</f>
        <v>CC 2456</v>
      </c>
      <c r="R42" s="295">
        <f>IF('2499-001'!$L42="#B", M36,"")</f>
        <v>50</v>
      </c>
      <c r="S42" s="293" t="str">
        <f>IF('2499-001'!$L42="#B",
      INDEX('Line No'!$B$1:$B$342, MATCH('2499-001'!$M42, 'Line No'!$A$1:$A$342, 0)),
      "")</f>
        <v>Production Supplies</v>
      </c>
    </row>
    <row r="43" spans="1:19" ht="16" customHeight="1">
      <c r="A43" s="188"/>
      <c r="B43" s="188"/>
      <c r="C43" s="188"/>
      <c r="D43" s="188"/>
      <c r="E43" s="188"/>
      <c r="F43" s="188"/>
      <c r="G43" s="189"/>
      <c r="H43" s="189"/>
      <c r="I43" s="189"/>
      <c r="L43" s="302" t="str">
        <f>IF(SUM($N$24:$N$34), "#C", "")</f>
        <v>#C</v>
      </c>
      <c r="M43" s="290">
        <f>IF('2499-001'!$L43="#C", M20,"")</f>
        <v>205</v>
      </c>
      <c r="N43" s="289" t="s">
        <v>336</v>
      </c>
      <c r="O43" s="290" t="str">
        <f>IF('2499-001'!$L43="#C", Sheet_PO,"")</f>
        <v>2499-001</v>
      </c>
      <c r="P43" s="291">
        <f>IF('2499-001'!$L43="#C", N21,"")</f>
        <v>45848</v>
      </c>
      <c r="Q43" s="290" t="str">
        <f>IF('2499-001'!$L43="#C", N22,"")</f>
        <v>CHK 101</v>
      </c>
      <c r="R43" s="292">
        <f>IF('2499-001'!$L43="#C", N36,"")</f>
        <v>1000</v>
      </c>
      <c r="S43" s="290" t="str">
        <f>IF('2499-001'!$L43="#C",
      INDEX('Line No'!$B$1:$B$342, MATCH('2499-001'!$M43, 'Line No'!$A$1:$A$342, 0)),
      "")</f>
        <v>Location Supplies</v>
      </c>
    </row>
    <row r="44" spans="1:19" ht="16" customHeight="1">
      <c r="A44" s="188"/>
      <c r="B44" s="188"/>
      <c r="C44" s="188"/>
      <c r="D44" s="188"/>
      <c r="E44" s="188"/>
      <c r="F44" s="188"/>
      <c r="G44" s="189"/>
      <c r="H44" s="258"/>
      <c r="I44" s="189"/>
      <c r="L44" s="303" t="str">
        <f>IF(SUM($O$24:$O$34), "#D", "")</f>
        <v>#D</v>
      </c>
      <c r="M44" s="293">
        <f>IF('2499-001'!$L44="#D", N20,"")</f>
        <v>112</v>
      </c>
      <c r="N44" s="293" t="s">
        <v>336</v>
      </c>
      <c r="O44" s="293" t="str">
        <f>IF('2499-001'!$L44="#D", Sheet_PO,"")</f>
        <v>2499-001</v>
      </c>
      <c r="P44" s="294">
        <f>IF('2499-001'!$L44="#D", O21,"")</f>
        <v>45849</v>
      </c>
      <c r="Q44" s="293" t="str">
        <f>IF('2499-001'!$L44="#D", O22,"")</f>
        <v>CASH</v>
      </c>
      <c r="R44" s="295">
        <f>IF('2499-001'!$L44="#D", O36,"")</f>
        <v>1000</v>
      </c>
      <c r="S44" s="293" t="str">
        <f>IF('2499-001'!$L44="#D",
      INDEX('Line No'!$B$1:$B$342, MATCH('2499-001'!$M44, 'Line No'!$A$1:$A$342, 0)),
      "")</f>
        <v>Pre Pro Meals</v>
      </c>
    </row>
    <row r="45" spans="1:19" ht="16" customHeight="1">
      <c r="A45" s="188"/>
      <c r="B45" s="188"/>
      <c r="C45" s="273"/>
      <c r="D45" s="273"/>
      <c r="E45" s="273"/>
      <c r="F45" s="273"/>
      <c r="G45" s="190"/>
      <c r="H45" s="190"/>
      <c r="I45" s="191"/>
      <c r="L45" s="302" t="str">
        <f>IF(SUM($P$24:$P$34), "#E", "")</f>
        <v/>
      </c>
      <c r="M45" s="290" t="str">
        <f>IF('2499-001'!$L45="#E", O20,"")</f>
        <v/>
      </c>
      <c r="N45" s="289"/>
      <c r="O45" s="290" t="str">
        <f>IF('2499-001'!$L45="#E", Sheet_PO,"")</f>
        <v/>
      </c>
      <c r="P45" s="291" t="str">
        <f>IF('2499-001'!$L45="#E", P21,"")</f>
        <v/>
      </c>
      <c r="Q45" s="290" t="str">
        <f>IF('2499-001'!$L45="#E", P22,"")</f>
        <v/>
      </c>
      <c r="R45" s="292" t="str">
        <f>IF('2499-001'!$L45="#E", P36,"")</f>
        <v/>
      </c>
      <c r="S45" s="290" t="str">
        <f>IF('2499-001'!$L45="#E",
      INDEX('Line No'!$B$1:$B$342, MATCH('2499-001'!$M45, 'Line No'!$A$1:$A$342, 0)),
      "")</f>
        <v/>
      </c>
    </row>
    <row r="46" spans="1:19" ht="16" customHeight="1">
      <c r="A46" s="188"/>
      <c r="B46" s="188"/>
      <c r="C46" s="188"/>
      <c r="D46" s="188"/>
      <c r="E46" s="188"/>
      <c r="F46" s="188"/>
      <c r="G46" s="188"/>
      <c r="H46" s="188"/>
      <c r="I46" s="188"/>
      <c r="L46" s="303" t="str">
        <f>IF(SUM($Q$24:$Q$34), "#F", "")</f>
        <v/>
      </c>
      <c r="M46" s="293" t="str">
        <f>IF('2499-001'!$L46="#F", P20,"")</f>
        <v/>
      </c>
      <c r="N46" s="293"/>
      <c r="O46" s="293" t="str">
        <f>IF('2499-001'!$L46="#F", Sheet_PO,"")</f>
        <v/>
      </c>
      <c r="P46" s="294" t="str">
        <f>IF('2499-001'!$L46="#F", Q21,"")</f>
        <v/>
      </c>
      <c r="Q46" s="293" t="str">
        <f>IF('2499-001'!$L46="#F", Q22,"")</f>
        <v/>
      </c>
      <c r="R46" s="295" t="str">
        <f>IF('2499-001'!$L46="#F", Q36,"")</f>
        <v/>
      </c>
      <c r="S46" s="293" t="str">
        <f>IF('2499-001'!$L46="#F",
      INDEX('Line No'!$B$1:$B$342, MATCH('2499-001'!$M46, 'Line No'!$A$1:$A$342, 0)),
      "")</f>
        <v/>
      </c>
    </row>
    <row r="47" spans="1:19" ht="16" customHeight="1">
      <c r="A47" s="188"/>
      <c r="B47" s="272"/>
      <c r="C47" s="272"/>
      <c r="D47" s="272"/>
      <c r="E47" s="272"/>
      <c r="F47" s="272"/>
      <c r="G47" s="272"/>
      <c r="H47" s="272"/>
      <c r="I47" s="272"/>
      <c r="L47" s="302" t="str">
        <f>IF(SUM($R$24:$R$34), "#G", "")</f>
        <v/>
      </c>
      <c r="M47" s="290" t="str">
        <f>IF('2499-001'!$L47="#G", Q20,"")</f>
        <v/>
      </c>
      <c r="N47" s="289"/>
      <c r="O47" s="290" t="str">
        <f>IF('2499-001'!$L47="#G", Sheet_PO,"")</f>
        <v/>
      </c>
      <c r="P47" s="296" t="str">
        <f>IF('2499-001'!$L47="#G", R21,"")</f>
        <v/>
      </c>
      <c r="Q47" s="297" t="str">
        <f>IF('2499-001'!$L47="#G", R22,"")</f>
        <v/>
      </c>
      <c r="R47" s="292" t="str">
        <f>IF('2499-001'!$L47="#G", R36,"")</f>
        <v/>
      </c>
      <c r="S47" s="290" t="str">
        <f>IF('2499-001'!$L47="#G",
      INDEX('Line No'!$B$1:$B$342, MATCH('2499-001'!$M47, 'Line No'!$A$1:$A$342, 0)),
      "")</f>
        <v/>
      </c>
    </row>
    <row r="48" spans="1:19" ht="16" customHeight="1">
      <c r="L48" s="303" t="str">
        <f>IF(SUM($S$24:$S$34), "#H", "")</f>
        <v/>
      </c>
      <c r="M48" s="293" t="str">
        <f>IF('2499-001'!$L48="#H", R20,"")</f>
        <v/>
      </c>
      <c r="N48" s="293"/>
      <c r="O48" s="293" t="str">
        <f>IF('2499-001'!$L48="#H", Sheet_PO,"")</f>
        <v/>
      </c>
      <c r="P48" s="298" t="str">
        <f>IF('2499-001'!$L48="#H", T21,"")</f>
        <v/>
      </c>
      <c r="Q48" s="299" t="str">
        <f>IF('2499-001'!$L48="#H", T22,"")</f>
        <v/>
      </c>
      <c r="R48" s="295" t="str">
        <f>IF('2499-001'!$L48="#H", T36,"")</f>
        <v/>
      </c>
      <c r="S48" s="293" t="str">
        <f>IF('2499-001'!$L48="#H",
      INDEX('Line No'!$B$1:$B$342, MATCH('2499-001'!$M48, 'Line No'!$A$1:$A$342, 0)),
      "")</f>
        <v/>
      </c>
    </row>
    <row r="49" spans="11:21" ht="16" customHeight="1">
      <c r="K49" s="1" cm="1">
        <f t="array" ref="K49">SUMPRODUCT(--(L41:L49&lt;&gt;""))</f>
        <v>4</v>
      </c>
      <c r="L49" s="302" t="str">
        <f>IF(SUM($T$24:$T$34), "#OTHER", "")</f>
        <v/>
      </c>
      <c r="M49" s="290" t="str">
        <f>IF('2499-001'!$L49="#I", T20,"")</f>
        <v/>
      </c>
      <c r="N49" s="289"/>
      <c r="O49" s="290" t="str">
        <f>IF('2499-001'!$L49="#I", Sheet_PO,"")</f>
        <v/>
      </c>
      <c r="P49" s="296" t="str">
        <f>IF('2499-001'!$L49="#I", U21,"")</f>
        <v/>
      </c>
      <c r="Q49" s="297" t="str">
        <f>IF('2499-001'!$L49="#I", U22,"")</f>
        <v/>
      </c>
      <c r="R49" s="292" t="str">
        <f>IF('2499-001'!$L49="#I", U36,"")</f>
        <v/>
      </c>
      <c r="S49" s="290" t="str">
        <f>IF('2499-001'!$L49="#I",
      INDEX('Line No'!$B$1:$B$342, MATCH('2499-001'!$M49,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S41:S49">
    <cfRule type="containsText" dxfId="40"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5D217-635D-8C4D-8BAB-7188DD891567}">
  <sheetPr codeName="Sheet8">
    <pageSetUpPr fitToPage="1"/>
  </sheetPr>
  <dimension ref="A1:AK52"/>
  <sheetViews>
    <sheetView topLeftCell="A25" workbookViewId="0">
      <selection activeCell="H28" sqref="H28"/>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309</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3</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t="str">
        <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v>45848</v>
      </c>
      <c r="AI5" s="4" t="str">
        <v/>
      </c>
      <c r="AJ5" s="4" t="str">
        <v/>
      </c>
      <c r="AK5" s="4" t="str">
        <v/>
      </c>
    </row>
    <row r="6" spans="1:37" s="4" customFormat="1" ht="16">
      <c r="A6" s="151"/>
      <c r="B6" s="202"/>
      <c r="C6" s="138"/>
      <c r="D6" s="139"/>
      <c r="E6" s="152"/>
      <c r="F6" s="152"/>
      <c r="G6" s="152"/>
      <c r="H6" s="152"/>
      <c r="I6" s="203"/>
      <c r="M6" s="4">
        <v>112</v>
      </c>
      <c r="O6" s="4" t="str">
        <v/>
      </c>
      <c r="P6" s="4" t="str" cm="1">
        <f t="array" ref="P6">IF(O6="","",IFERROR(INDEX(Description, MATCH(O6, Line, 0)), "Not Found"))</f>
        <v/>
      </c>
      <c r="S6" s="249">
        <v>112</v>
      </c>
      <c r="T6" s="257">
        <v>45848</v>
      </c>
      <c r="U6" s="249" t="str">
        <v>CHK 101</v>
      </c>
      <c r="AF6" s="4" t="str">
        <v>CC 2456</v>
      </c>
      <c r="AG6" s="4" t="str">
        <v>CC 2456</v>
      </c>
      <c r="AH6" s="4" t="str">
        <v>CHK 101</v>
      </c>
      <c r="AI6" s="4" t="str">
        <v/>
      </c>
      <c r="AJ6" s="4" t="str">
        <v/>
      </c>
      <c r="AK6" s="4" t="str">
        <v/>
      </c>
    </row>
    <row r="7" spans="1:37" s="4" customFormat="1" ht="16">
      <c r="A7" s="151"/>
      <c r="B7" s="204"/>
      <c r="C7" s="153"/>
      <c r="D7" s="154"/>
      <c r="E7" s="154"/>
      <c r="F7" s="155"/>
      <c r="G7" s="155"/>
      <c r="H7" s="155"/>
      <c r="I7" s="205"/>
      <c r="M7" s="4" t="str">
        <v/>
      </c>
      <c r="P7" s="4" t="str" cm="1">
        <f t="array" ref="P7">IF(O7="","",IFERROR(INDEX(Description, MATCH(O7, Line, 0)), "Not Found"))</f>
        <v/>
      </c>
      <c r="S7" s="249" t="str">
        <v/>
      </c>
      <c r="T7" s="257" t="str">
        <v/>
      </c>
      <c r="U7" s="249" t="str">
        <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2">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4">_xlfn.UNIQUE(_xlfn.HSTACK(LineEntry, DateEntry, PayIDEntry))&lt;&gt;0</f>
        <v>1</v>
      </c>
      <c r="T11" s="4" t="b">
        <v>1</v>
      </c>
      <c r="U11" s="4" t="b">
        <v>1</v>
      </c>
      <c r="W11" s="4" t="b">
        <v>1</v>
      </c>
      <c r="X11" s="4" t="b">
        <v>1</v>
      </c>
      <c r="Y11" s="4" t="b">
        <v>1</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c r="W12" s="4" t="b">
        <v>0</v>
      </c>
      <c r="X12" s="4" t="b">
        <v>0</v>
      </c>
      <c r="Y12" s="4" t="b">
        <v>0</v>
      </c>
    </row>
    <row r="13" spans="1:37" s="4" customFormat="1" ht="16">
      <c r="A13" s="151"/>
      <c r="B13" s="213"/>
      <c r="C13" s="104"/>
      <c r="D13" s="104"/>
      <c r="F13" s="97"/>
      <c r="G13" s="98"/>
      <c r="H13" s="98"/>
      <c r="I13" s="214"/>
      <c r="P13" s="4" t="str" cm="1">
        <f t="array" ref="P13">IF(O13="","",IFERROR(INDEX(Description, MATCH(O13, Line, 0)), "Not Found"))</f>
        <v/>
      </c>
      <c r="S13" s="4" t="b">
        <v>1</v>
      </c>
      <c r="T13" s="4" t="b">
        <v>1</v>
      </c>
      <c r="U13" s="4" t="b">
        <v>1</v>
      </c>
    </row>
    <row r="14" spans="1:37" s="4" customFormat="1" ht="16">
      <c r="A14" s="151"/>
      <c r="B14" s="213"/>
      <c r="C14" s="106"/>
      <c r="D14" s="106"/>
      <c r="E14" s="158" t="s">
        <v>268</v>
      </c>
      <c r="F14" s="97"/>
      <c r="G14" s="98"/>
      <c r="H14" s="98"/>
      <c r="I14" s="214"/>
      <c r="S14" s="4" t="b">
        <v>0</v>
      </c>
      <c r="T14" s="4" t="b">
        <v>0</v>
      </c>
      <c r="U14" s="4" t="b">
        <v>0</v>
      </c>
    </row>
    <row r="15" spans="1:37" s="4" customFormat="1" ht="16">
      <c r="A15" s="151"/>
      <c r="B15" s="215"/>
      <c r="C15" s="161"/>
      <c r="D15" s="161"/>
      <c r="E15" s="160"/>
      <c r="F15" s="160"/>
      <c r="G15" s="160"/>
      <c r="H15" s="160"/>
      <c r="I15" s="211"/>
    </row>
    <row r="16" spans="1:37" s="3" customFormat="1" ht="23" customHeight="1">
      <c r="A16" s="148"/>
      <c r="B16" s="216" t="s">
        <v>6</v>
      </c>
      <c r="C16" s="162"/>
      <c r="D16" s="162"/>
      <c r="E16" s="162"/>
      <c r="F16" s="162"/>
      <c r="G16" s="185"/>
      <c r="H16" s="89"/>
      <c r="I16" s="217"/>
    </row>
    <row r="17" spans="1:29" s="3" customFormat="1" ht="23" customHeight="1">
      <c r="A17" s="148"/>
      <c r="B17" s="216"/>
      <c r="C17" s="186"/>
      <c r="D17" s="186"/>
      <c r="E17" s="186"/>
      <c r="F17" s="186"/>
      <c r="G17" s="187"/>
      <c r="H17" s="89"/>
      <c r="I17" s="217"/>
      <c r="T17" s="247" t="s">
        <v>323</v>
      </c>
    </row>
    <row r="18" spans="1:29" s="3" customFormat="1" ht="23" customHeight="1">
      <c r="A18" s="148"/>
      <c r="B18" s="216"/>
      <c r="C18" s="99"/>
      <c r="D18" s="99"/>
      <c r="E18" s="99"/>
      <c r="F18" s="99"/>
      <c r="G18" s="99"/>
      <c r="H18" s="99"/>
      <c r="I18" s="218"/>
    </row>
    <row r="19" spans="1:29" s="3" customFormat="1" ht="13" customHeight="1" thickBot="1">
      <c r="A19" s="148"/>
      <c r="B19" s="216"/>
      <c r="C19" s="99"/>
      <c r="D19" s="99"/>
      <c r="E19" s="99"/>
      <c r="F19" s="99"/>
      <c r="G19" s="99"/>
      <c r="H19" s="99"/>
      <c r="I19" s="218"/>
      <c r="T19" s="275" t="s">
        <v>337</v>
      </c>
      <c r="U19" s="275"/>
      <c r="V19" s="275"/>
      <c r="W19" s="275"/>
      <c r="X19" s="275"/>
      <c r="Y19" s="275"/>
      <c r="Z19" s="4" t="s">
        <v>338</v>
      </c>
    </row>
    <row r="20" spans="1:29"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v>112</v>
      </c>
      <c r="O20" s="264" t="str">
        <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v>112</v>
      </c>
      <c r="W20" s="280" t="str">
        <v/>
      </c>
      <c r="X20" s="280" t="str">
        <v/>
      </c>
      <c r="Y20" s="281" t="str">
        <v/>
      </c>
      <c r="Z20" s="3" cm="1">
        <f t="array" ref="Z20">SUMPRODUCT(--(TRIM(T20:Y20)&lt;&gt;""))</f>
        <v>3</v>
      </c>
      <c r="AA20" s="3" cm="1">
        <f t="array" ref="AA20:AC20">_xlfn._xlws.SORT(INDEX(T20:Y20, 1):INDEX(T20:Y20, Z20), 1, TRUE)</f>
        <v>204</v>
      </c>
      <c r="AB20" s="3">
        <v>205</v>
      </c>
      <c r="AC20" s="3">
        <v>112</v>
      </c>
    </row>
    <row r="21" spans="1:29" s="3" customFormat="1" ht="16" customHeight="1">
      <c r="A21" s="148"/>
      <c r="B21" s="216"/>
      <c r="C21" s="163"/>
      <c r="D21" s="163"/>
      <c r="E21" s="163"/>
      <c r="F21" s="163"/>
      <c r="G21" s="163"/>
      <c r="H21" s="163"/>
      <c r="I21" s="219"/>
      <c r="K21" s="267" t="s">
        <v>333</v>
      </c>
      <c r="L21" s="265">
        <v>45849</v>
      </c>
      <c r="M21" s="265">
        <v>45849</v>
      </c>
      <c r="N21" s="265">
        <v>45848</v>
      </c>
      <c r="O21" s="265" t="str">
        <v/>
      </c>
      <c r="P21" s="265" t="str">
        <v/>
      </c>
      <c r="Q21" s="265" t="str">
        <v/>
      </c>
      <c r="T21" s="148">
        <v>45849</v>
      </c>
      <c r="U21" s="167">
        <v>45849</v>
      </c>
      <c r="V21" s="167">
        <v>45848</v>
      </c>
      <c r="W21" s="167" t="str">
        <v/>
      </c>
      <c r="X21" s="167" t="str">
        <v/>
      </c>
      <c r="Y21" s="282" t="str">
        <v/>
      </c>
    </row>
    <row r="22" spans="1:29" ht="30" customHeight="1" thickBot="1">
      <c r="A22" s="141"/>
      <c r="B22" s="220"/>
      <c r="C22" s="164"/>
      <c r="D22" s="165"/>
      <c r="E22" s="165"/>
      <c r="F22" s="165"/>
      <c r="G22" s="165"/>
      <c r="H22" s="165"/>
      <c r="I22" s="221"/>
      <c r="K22" s="267" t="s">
        <v>334</v>
      </c>
      <c r="L22" s="266" t="str">
        <v>CC 2456</v>
      </c>
      <c r="M22" s="266" t="str">
        <v>CC 2456</v>
      </c>
      <c r="N22" s="266" t="str">
        <v>CHK 101</v>
      </c>
      <c r="O22" s="266" t="str">
        <v/>
      </c>
      <c r="P22" s="266" t="str">
        <v/>
      </c>
      <c r="Q22" s="266" t="str">
        <v/>
      </c>
      <c r="T22" s="173" t="str">
        <v>CC 2456</v>
      </c>
      <c r="U22" s="174" t="str">
        <v>CC 2456</v>
      </c>
      <c r="V22" s="174" t="str">
        <v>CHK 101</v>
      </c>
      <c r="W22" s="174" t="str">
        <v/>
      </c>
      <c r="X22" s="174" t="str">
        <v/>
      </c>
      <c r="Y22" s="175" t="str">
        <v/>
      </c>
    </row>
    <row r="23" spans="1:29"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29"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29"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29" s="4" customFormat="1" ht="16" customHeight="1">
      <c r="A26" s="151"/>
      <c r="B26" s="252">
        <v>112</v>
      </c>
      <c r="C26" s="100" t="s">
        <v>330</v>
      </c>
      <c r="D26" s="101"/>
      <c r="E26" s="244">
        <v>45848</v>
      </c>
      <c r="F26" s="254" t="s">
        <v>331</v>
      </c>
      <c r="G26" s="6">
        <v>1</v>
      </c>
      <c r="H26" s="5">
        <v>1000</v>
      </c>
      <c r="I26" s="224">
        <f t="shared" si="1"/>
        <v>1000</v>
      </c>
      <c r="L26" s="263" t="str">
        <f t="shared" si="2"/>
        <v/>
      </c>
      <c r="M26" s="263" t="str">
        <f t="shared" si="2"/>
        <v/>
      </c>
      <c r="N26" s="263">
        <f t="shared" si="2"/>
        <v>1000</v>
      </c>
      <c r="O26" s="263" t="str">
        <f t="shared" si="2"/>
        <v/>
      </c>
      <c r="P26" s="263" t="str">
        <f t="shared" si="2"/>
        <v/>
      </c>
      <c r="Q26" s="263" t="str">
        <f t="shared" si="2"/>
        <v/>
      </c>
    </row>
    <row r="27" spans="1:29" s="4" customFormat="1" ht="16">
      <c r="A27" s="151"/>
      <c r="B27" s="252">
        <v>204</v>
      </c>
      <c r="C27" s="100" t="s">
        <v>315</v>
      </c>
      <c r="D27" s="101"/>
      <c r="E27" s="244">
        <v>45849</v>
      </c>
      <c r="F27" s="254" t="s">
        <v>316</v>
      </c>
      <c r="G27" s="6">
        <v>1</v>
      </c>
      <c r="H27" s="5">
        <v>100</v>
      </c>
      <c r="I27" s="224">
        <f>G27*H27</f>
        <v>100</v>
      </c>
      <c r="L27" s="263">
        <f>IF($B27="", "", IF(AND($I27, $B27=L$20, $E27=L$21, $F27=L$22, SUM($I$24)&gt;0), $I27, ""))</f>
        <v>100</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29" s="4" customFormat="1" ht="16" customHeight="1">
      <c r="A28" s="151"/>
      <c r="B28" s="252"/>
      <c r="C28" s="100"/>
      <c r="D28" s="101"/>
      <c r="E28" s="244"/>
      <c r="F28" s="254"/>
      <c r="G28" s="6"/>
      <c r="H28" s="5"/>
      <c r="I28" s="224">
        <f>G28*H28</f>
        <v>0</v>
      </c>
      <c r="L28" s="263" t="str">
        <f>IF($B28="", "", IF(AND($I28, $B28=L$20, $E28=L$21, $F28=L$22, SUM($I$24)&gt;0), $I28, ""))</f>
        <v/>
      </c>
      <c r="M28" s="263" t="str">
        <f>IF($B28="", "", IF(AND($I28, $B28=M$20, $E28=M$21, $F28=M$22, SUM($I$24)&gt;0), $I28, ""))</f>
        <v/>
      </c>
      <c r="N28" s="263" t="str">
        <f>IF($B28="", "", IF(AND($I28, $B28=N$20, $E28=N$21, $F28=N$22, SUM($I$24)&gt;0), $I28, ""))</f>
        <v/>
      </c>
      <c r="O28" s="263" t="str">
        <f>IF($B28="", "", IF(AND($I28, $B28=O$20, $E28=O$21, $F28=O$22, SUM($I$24)&gt;0), $I28, ""))</f>
        <v/>
      </c>
      <c r="P28" s="263" t="str">
        <f>IF($B28="", "", IF(AND($I28, $B28=P$20, $E28=P$21, $F28=P$22, SUM($I$24)&gt;0), $I28, ""))</f>
        <v/>
      </c>
      <c r="Q28" s="263" t="str">
        <f>IF($B28="", "", IF(AND($I28, $B28=Q$20, $E28=Q$21, $F28=Q$22, SUM($I$24)&gt;0), $I28, ""))</f>
        <v/>
      </c>
    </row>
    <row r="29" spans="1:29" s="4" customFormat="1" ht="16" customHeight="1">
      <c r="A29" s="151"/>
      <c r="B29" s="252">
        <v>204</v>
      </c>
      <c r="C29" s="100" t="s">
        <v>315</v>
      </c>
      <c r="D29" s="101"/>
      <c r="E29" s="244">
        <v>45849</v>
      </c>
      <c r="F29" s="254" t="s">
        <v>316</v>
      </c>
      <c r="G29" s="6">
        <v>1</v>
      </c>
      <c r="H29" s="5">
        <v>100</v>
      </c>
      <c r="I29" s="224">
        <f>G29*H29</f>
        <v>100</v>
      </c>
      <c r="L29" s="263">
        <f>IF($B29="", "", IF(AND($I29, $B29=L$20, $E29=L$21, $F29=L$22, SUM($I$24)&gt;0), $I29, ""))</f>
        <v>100</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29" s="4" customFormat="1" ht="16" customHeight="1">
      <c r="A30" s="151"/>
      <c r="B30" s="252">
        <v>204</v>
      </c>
      <c r="C30" s="100" t="s">
        <v>315</v>
      </c>
      <c r="D30" s="101"/>
      <c r="E30" s="244">
        <v>45849</v>
      </c>
      <c r="F30" s="254" t="s">
        <v>316</v>
      </c>
      <c r="G30" s="6">
        <v>1</v>
      </c>
      <c r="H30" s="5">
        <v>100</v>
      </c>
      <c r="I30" s="224">
        <f>G30*H30</f>
        <v>100</v>
      </c>
      <c r="L30" s="263">
        <f>IF($B30="", "", IF(AND($I30, $B30=L$20, $E30=L$21, $F30=L$22, SUM($I$24)&gt;0), $I30, ""))</f>
        <v>100</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29" s="4" customFormat="1" ht="16" customHeight="1">
      <c r="A31" s="151"/>
      <c r="B31" s="252">
        <v>204</v>
      </c>
      <c r="C31" s="100" t="s">
        <v>315</v>
      </c>
      <c r="D31" s="101"/>
      <c r="E31" s="244">
        <v>45849</v>
      </c>
      <c r="F31" s="254" t="s">
        <v>316</v>
      </c>
      <c r="G31" s="6">
        <v>1</v>
      </c>
      <c r="H31" s="5">
        <v>100</v>
      </c>
      <c r="I31" s="224">
        <f>G31*H31</f>
        <v>100</v>
      </c>
      <c r="L31" s="263">
        <f>IF($B31="", "", IF(AND($I31, $B31=L$20, $E31=L$21, $F31=L$22, SUM($I$24)&gt;0), $I31, ""))</f>
        <v>100</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29"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800</v>
      </c>
      <c r="M36" s="269">
        <f t="shared" ref="M36:Q36" si="3">IF(SUM(M24:M35), SUM(M24:M35),"")</f>
        <v>50</v>
      </c>
      <c r="N36" s="270">
        <f t="shared" si="3"/>
        <v>1000</v>
      </c>
      <c r="O36" s="270" t="str">
        <f>IF(SUM(O24:O35), SUM(O24:O35),"")</f>
        <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1850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1850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IF('2499-002'!$L41="#A", L20,"")</f>
        <v>204</v>
      </c>
      <c r="N41" s="289" t="s">
        <v>336</v>
      </c>
      <c r="O41" s="290" t="str">
        <f>IF('2499-002'!$L41="#A", Sheet_PO,"")</f>
        <v>2499-002</v>
      </c>
      <c r="P41" s="291">
        <f>IF('2499-002'!$L41="#A", L$21,"")</f>
        <v>45849</v>
      </c>
      <c r="Q41" s="290" t="str">
        <f>IF('2499-002'!$L41="#A", L$22,"")</f>
        <v>CC 2456</v>
      </c>
      <c r="R41" s="292">
        <f>IF('2499-002'!$L41="#A", L$36,"")</f>
        <v>800</v>
      </c>
      <c r="S41" s="290" t="str">
        <f>IF('2499-002'!$L41="#A",
      INDEX('Line No'!$B$1:$B$342, MATCH('2499-002'!$M41, 'Line No'!$A$1:$A$342, 0)),
      "")</f>
        <v>Production Supplies</v>
      </c>
    </row>
    <row r="42" spans="1:19" ht="16" customHeight="1">
      <c r="A42" s="188"/>
      <c r="B42" s="188"/>
      <c r="C42" s="188"/>
      <c r="D42" s="188"/>
      <c r="E42" s="188"/>
      <c r="F42" s="188"/>
      <c r="G42" s="188"/>
      <c r="H42" s="188"/>
      <c r="I42" s="188"/>
      <c r="L42" s="301" t="str">
        <f>IF(SUM($M$24:$M$34), "#B", "")</f>
        <v>#B</v>
      </c>
      <c r="M42" s="293">
        <f>IF('2499-002'!$L42="#B", L20,"")</f>
        <v>204</v>
      </c>
      <c r="N42" s="293" t="s">
        <v>336</v>
      </c>
      <c r="O42" s="293" t="str">
        <f>IF('2499-002'!$L42="#B", Sheet_PO,"")</f>
        <v>2499-002</v>
      </c>
      <c r="P42" s="294">
        <f>IF('2499-002'!$L42="#B", M21,"")</f>
        <v>45849</v>
      </c>
      <c r="Q42" s="293" t="str">
        <f>IF('2499-002'!$L42="#B", M22,"")</f>
        <v>CC 2456</v>
      </c>
      <c r="R42" s="295">
        <f>IF('2499-002'!$L42="#B", M36,"")</f>
        <v>50</v>
      </c>
      <c r="S42" s="293" t="str">
        <f>IF('2499-002'!$L42="#B",
      INDEX('Line No'!$B$1:$B$342, MATCH('2499-002'!$M42, 'Line No'!$A$1:$A$342, 0)),
      "")</f>
        <v>Production Supplies</v>
      </c>
    </row>
    <row r="43" spans="1:19" ht="16" customHeight="1">
      <c r="A43" s="188"/>
      <c r="B43" s="188"/>
      <c r="C43" s="188"/>
      <c r="D43" s="188"/>
      <c r="E43" s="188"/>
      <c r="F43" s="188"/>
      <c r="G43" s="189"/>
      <c r="H43" s="189"/>
      <c r="I43" s="189"/>
      <c r="L43" s="302" t="str">
        <f>IF(SUM($N$24:$N$34), "#C", "")</f>
        <v>#C</v>
      </c>
      <c r="M43" s="290">
        <f>IF('2499-002'!$L43="#C", M20,"")</f>
        <v>205</v>
      </c>
      <c r="N43" s="289" t="s">
        <v>336</v>
      </c>
      <c r="O43" s="290" t="str">
        <f>IF('2499-002'!$L43="#C", Sheet_PO,"")</f>
        <v>2499-002</v>
      </c>
      <c r="P43" s="291">
        <f>IF('2499-002'!$L43="#C", N21,"")</f>
        <v>45848</v>
      </c>
      <c r="Q43" s="290" t="str">
        <f>IF('2499-002'!$L43="#C", N22,"")</f>
        <v>CHK 101</v>
      </c>
      <c r="R43" s="292">
        <f>IF('2499-002'!$L43="#C", N36,"")</f>
        <v>1000</v>
      </c>
      <c r="S43" s="290" t="str">
        <f>IF('2499-002'!$L43="#C",
      INDEX('Line No'!$B$1:$B$342, MATCH('2499-002'!$M43, 'Line No'!$A$1:$A$342, 0)),
      "")</f>
        <v>Location Supplies</v>
      </c>
    </row>
    <row r="44" spans="1:19" ht="16" customHeight="1">
      <c r="A44" s="188"/>
      <c r="B44" s="188"/>
      <c r="C44" s="188"/>
      <c r="D44" s="188"/>
      <c r="E44" s="188"/>
      <c r="F44" s="188"/>
      <c r="G44" s="189"/>
      <c r="H44" s="258"/>
      <c r="I44" s="189"/>
      <c r="L44" s="303" t="str">
        <f>IF(SUM($O$24:$O$34), "#D", "")</f>
        <v/>
      </c>
      <c r="M44" s="293" t="str">
        <f>IF('2499-002'!$L44="#D", N20,"")</f>
        <v/>
      </c>
      <c r="N44" s="293" t="s">
        <v>336</v>
      </c>
      <c r="O44" s="293" t="str">
        <f>IF('2499-002'!$L44="#D", Sheet_PO,"")</f>
        <v/>
      </c>
      <c r="P44" s="294" t="str">
        <f>IF('2499-002'!$L44="#D", O21,"")</f>
        <v/>
      </c>
      <c r="Q44" s="293" t="str">
        <f>IF('2499-002'!$L44="#D", O22,"")</f>
        <v/>
      </c>
      <c r="R44" s="295" t="str">
        <f>IF('2499-002'!$L44="#D", O36,"")</f>
        <v/>
      </c>
      <c r="S44" s="293" t="str">
        <f>IF('2499-002'!$L44="#D",
      INDEX('Line No'!$B$1:$B$342, MATCH('2499-002'!$M44, 'Line No'!$A$1:$A$342, 0)),
      "")</f>
        <v/>
      </c>
    </row>
    <row r="45" spans="1:19" ht="16" customHeight="1">
      <c r="A45" s="188"/>
      <c r="B45" s="188"/>
      <c r="C45" s="273"/>
      <c r="D45" s="273"/>
      <c r="E45" s="273"/>
      <c r="F45" s="273"/>
      <c r="G45" s="190"/>
      <c r="H45" s="190"/>
      <c r="I45" s="191"/>
      <c r="L45" s="302" t="str">
        <f>IF(SUM($P$24:$P$34), "#E", "")</f>
        <v/>
      </c>
      <c r="M45" s="290" t="str">
        <f>IF('2499-002'!$L45="#E", O20,"")</f>
        <v/>
      </c>
      <c r="N45" s="289"/>
      <c r="O45" s="290" t="str">
        <f>IF('2499-002'!$L45="#E", Sheet_PO,"")</f>
        <v/>
      </c>
      <c r="P45" s="291" t="str">
        <f>IF('2499-002'!$L45="#E", P21,"")</f>
        <v/>
      </c>
      <c r="Q45" s="290" t="str">
        <f>IF('2499-002'!$L45="#E", P22,"")</f>
        <v/>
      </c>
      <c r="R45" s="292" t="str">
        <f>IF('2499-002'!$L45="#E", P36,"")</f>
        <v/>
      </c>
      <c r="S45" s="290" t="str">
        <f>IF('2499-002'!$L45="#E",
      INDEX('Line No'!$B$1:$B$342, MATCH('2499-002'!$M45, 'Line No'!$A$1:$A$342, 0)),
      "")</f>
        <v/>
      </c>
    </row>
    <row r="46" spans="1:19" ht="16" customHeight="1">
      <c r="A46" s="188"/>
      <c r="B46" s="188"/>
      <c r="C46" s="188"/>
      <c r="D46" s="188"/>
      <c r="E46" s="188"/>
      <c r="F46" s="188"/>
      <c r="G46" s="188"/>
      <c r="H46" s="188"/>
      <c r="I46" s="188"/>
      <c r="L46" s="303" t="str">
        <f>IF(SUM($Q$24:$Q$34), "#F", "")</f>
        <v/>
      </c>
      <c r="M46" s="293" t="str">
        <f>IF('2499-002'!$L46="#F", P20,"")</f>
        <v/>
      </c>
      <c r="N46" s="293"/>
      <c r="O46" s="293" t="str">
        <f>IF('2499-002'!$L46="#F", Sheet_PO,"")</f>
        <v/>
      </c>
      <c r="P46" s="294" t="str">
        <f>IF('2499-002'!$L46="#F", Q21,"")</f>
        <v/>
      </c>
      <c r="Q46" s="293" t="str">
        <f>IF('2499-002'!$L46="#F", Q22,"")</f>
        <v/>
      </c>
      <c r="R46" s="295" t="str">
        <f>IF('2499-002'!$L46="#F", Q36,"")</f>
        <v/>
      </c>
      <c r="S46" s="293" t="str">
        <f>IF('2499-002'!$L46="#F",
      INDEX('Line No'!$B$1:$B$342, MATCH('2499-002'!$M46, 'Line No'!$A$1:$A$342, 0)),
      "")</f>
        <v/>
      </c>
    </row>
    <row r="47" spans="1:19" ht="16" customHeight="1">
      <c r="A47" s="188"/>
      <c r="B47" s="272"/>
      <c r="C47" s="272"/>
      <c r="D47" s="272"/>
      <c r="E47" s="272"/>
      <c r="F47" s="272"/>
      <c r="G47" s="272"/>
      <c r="H47" s="272"/>
      <c r="I47" s="272"/>
      <c r="L47" s="302" t="str">
        <f>IF(SUM($R$24:$R$34), "#G", "")</f>
        <v/>
      </c>
      <c r="M47" s="290" t="str">
        <f>IF('2499-002'!$L47="#G", Q20,"")</f>
        <v/>
      </c>
      <c r="N47" s="289"/>
      <c r="O47" s="290" t="str">
        <f>IF('2499-002'!$L47="#G", Sheet_PO,"")</f>
        <v/>
      </c>
      <c r="P47" s="296" t="str">
        <f>IF('2499-002'!$L47="#G", R21,"")</f>
        <v/>
      </c>
      <c r="Q47" s="297" t="str">
        <f>IF('2499-002'!$L47="#G", R22,"")</f>
        <v/>
      </c>
      <c r="R47" s="292" t="str">
        <f>IF('2499-002'!$L47="#G", R36,"")</f>
        <v/>
      </c>
      <c r="S47" s="290" t="str">
        <f>IF('2499-002'!$L47="#G",
      INDEX('Line No'!$B$1:$B$342, MATCH('2499-002'!$M47, 'Line No'!$A$1:$A$342, 0)),
      "")</f>
        <v/>
      </c>
    </row>
    <row r="48" spans="1:19" ht="16" customHeight="1">
      <c r="L48" s="303" t="str">
        <f>IF(SUM($S$24:$S$34), "#H", "")</f>
        <v/>
      </c>
      <c r="M48" s="293" t="str">
        <f>IF('2499-002'!$L48="#H", R20,"")</f>
        <v/>
      </c>
      <c r="N48" s="293"/>
      <c r="O48" s="293" t="str">
        <f>IF('2499-002'!$L48="#H", Sheet_PO,"")</f>
        <v/>
      </c>
      <c r="P48" s="298" t="str">
        <f>IF('2499-002'!$L48="#H", T21,"")</f>
        <v/>
      </c>
      <c r="Q48" s="299" t="str">
        <f>IF('2499-002'!$L48="#H", T22,"")</f>
        <v/>
      </c>
      <c r="R48" s="295" t="str">
        <f>IF('2499-002'!$L48="#H", T36,"")</f>
        <v/>
      </c>
      <c r="S48" s="293" t="str">
        <f>IF('2499-002'!$L48="#H",
      INDEX('Line No'!$B$1:$B$342, MATCH('2499-002'!$M48, 'Line No'!$A$1:$A$342, 0)),
      "")</f>
        <v/>
      </c>
    </row>
    <row r="49" spans="11:21" ht="16" customHeight="1">
      <c r="K49" s="1" cm="1">
        <f t="array" ref="K49">SUMPRODUCT(--(L41:L49&lt;&gt;""))</f>
        <v>3</v>
      </c>
      <c r="L49" s="302" t="str">
        <f>IF(SUM($T$24:$T$34), "#OTHER", "")</f>
        <v/>
      </c>
      <c r="M49" s="290" t="str">
        <f>IF('2499-002'!$L49="#I", T20,"")</f>
        <v/>
      </c>
      <c r="N49" s="289"/>
      <c r="O49" s="290" t="str">
        <f>IF('2499-002'!$L49="#I", Sheet_PO,"")</f>
        <v/>
      </c>
      <c r="P49" s="296" t="str">
        <f>IF('2499-002'!$L49="#I", U21,"")</f>
        <v/>
      </c>
      <c r="Q49" s="297" t="str">
        <f>IF('2499-002'!$L49="#I", U22,"")</f>
        <v/>
      </c>
      <c r="R49" s="292" t="str">
        <f>IF('2499-002'!$L49="#I", U36,"")</f>
        <v/>
      </c>
      <c r="S49" s="290" t="str">
        <f>IF('2499-002'!$L49="#I",
      INDEX('Line No'!$B$1:$B$342, MATCH('2499-002'!$M49,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S41:S49">
    <cfRule type="containsText" dxfId="32"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07416-0614-2547-BDD6-F6CE925B7C82}">
  <sheetPr codeName="Sheet9">
    <pageSetUpPr fitToPage="1"/>
  </sheetPr>
  <dimension ref="A1:AK52"/>
  <sheetViews>
    <sheetView topLeftCell="A22" workbookViewId="0">
      <selection activeCell="B26" sqref="B26:H3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308</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2</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t="str">
        <v/>
      </c>
      <c r="AI4" s="3" t="str">
        <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t="str">
        <v/>
      </c>
      <c r="AI5" s="4" t="str">
        <v/>
      </c>
      <c r="AJ5" s="4" t="str">
        <v/>
      </c>
      <c r="AK5" s="4" t="str">
        <v/>
      </c>
    </row>
    <row r="6" spans="1:37" s="4" customFormat="1" ht="16">
      <c r="A6" s="151"/>
      <c r="B6" s="202"/>
      <c r="C6" s="138"/>
      <c r="D6" s="139"/>
      <c r="E6" s="152"/>
      <c r="F6" s="152"/>
      <c r="G6" s="152"/>
      <c r="H6" s="152"/>
      <c r="I6" s="203"/>
      <c r="M6" s="4" t="str">
        <v/>
      </c>
      <c r="O6" s="4" t="str">
        <v/>
      </c>
      <c r="P6" s="4" t="str" cm="1">
        <f t="array" ref="P6">IF(O6="","",IFERROR(INDEX(Description, MATCH(O6, Line, 0)), "Not Found"))</f>
        <v/>
      </c>
      <c r="S6" s="249" t="str">
        <v/>
      </c>
      <c r="T6" s="257" t="str">
        <v/>
      </c>
      <c r="U6" s="249" t="str">
        <v/>
      </c>
      <c r="AF6" s="4" t="str">
        <v>CC 2456</v>
      </c>
      <c r="AG6" s="4" t="str">
        <v>CC 2456</v>
      </c>
      <c r="AH6" s="4" t="str">
        <v/>
      </c>
      <c r="AI6" s="4" t="str">
        <v/>
      </c>
      <c r="AJ6" s="4" t="str">
        <v/>
      </c>
      <c r="AK6" s="4" t="str">
        <v/>
      </c>
    </row>
    <row r="7" spans="1:37" s="4" customFormat="1" ht="16">
      <c r="A7" s="151"/>
      <c r="B7" s="204"/>
      <c r="C7" s="153"/>
      <c r="D7" s="154"/>
      <c r="E7" s="154"/>
      <c r="F7" s="155"/>
      <c r="G7" s="155"/>
      <c r="H7" s="155"/>
      <c r="I7" s="205"/>
      <c r="M7" s="4" t="str">
        <v/>
      </c>
      <c r="P7" s="4" t="str" cm="1">
        <f t="array" ref="P7">IF(O7="","",IFERROR(INDEX(Description, MATCH(O7, Line, 0)), "Not Found"))</f>
        <v/>
      </c>
      <c r="S7" s="249" t="str">
        <v/>
      </c>
      <c r="T7" s="257" t="str">
        <v/>
      </c>
      <c r="U7" s="249" t="str">
        <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1">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3">_xlfn.UNIQUE(_xlfn.HSTACK(LineEntry, DateEntry, PayIDEntry))&lt;&gt;0</f>
        <v>1</v>
      </c>
      <c r="T11" s="4" t="b">
        <v>1</v>
      </c>
      <c r="U11" s="4" t="b">
        <v>1</v>
      </c>
      <c r="W11" s="4" t="b">
        <v>0</v>
      </c>
      <c r="X11" s="4" t="b">
        <v>0</v>
      </c>
      <c r="Y11" s="4" t="b">
        <v>0</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row>
    <row r="13" spans="1:37" s="4" customFormat="1" ht="16">
      <c r="A13" s="151"/>
      <c r="B13" s="213"/>
      <c r="C13" s="104"/>
      <c r="D13" s="104"/>
      <c r="F13" s="97"/>
      <c r="G13" s="98"/>
      <c r="H13" s="98"/>
      <c r="I13" s="214"/>
      <c r="P13" s="4" t="str" cm="1">
        <f t="array" ref="P13">IF(O13="","",IFERROR(INDEX(Description, MATCH(O13, Line, 0)), "Not Found"))</f>
        <v/>
      </c>
      <c r="S13" s="4" t="b">
        <v>0</v>
      </c>
      <c r="T13" s="4" t="b">
        <v>0</v>
      </c>
      <c r="U13" s="4" t="b">
        <v>0</v>
      </c>
    </row>
    <row r="14" spans="1:37" s="4" customFormat="1" ht="16">
      <c r="A14" s="151"/>
      <c r="B14" s="213"/>
      <c r="C14" s="106"/>
      <c r="D14" s="106"/>
      <c r="E14" s="158" t="s">
        <v>268</v>
      </c>
      <c r="F14" s="97"/>
      <c r="G14" s="98"/>
      <c r="H14" s="98"/>
      <c r="I14" s="214"/>
    </row>
    <row r="15" spans="1:37" s="4" customFormat="1" ht="16">
      <c r="A15" s="151"/>
      <c r="B15" s="215"/>
      <c r="C15" s="161"/>
      <c r="D15" s="161"/>
      <c r="E15" s="160"/>
      <c r="F15" s="160"/>
      <c r="G15" s="160"/>
      <c r="H15" s="160"/>
      <c r="I15" s="211"/>
    </row>
    <row r="16" spans="1:37" s="3" customFormat="1" ht="23" customHeight="1">
      <c r="A16" s="148"/>
      <c r="B16" s="216" t="s">
        <v>6</v>
      </c>
      <c r="C16" s="162"/>
      <c r="D16" s="162"/>
      <c r="E16" s="162"/>
      <c r="F16" s="162"/>
      <c r="G16" s="185"/>
      <c r="H16" s="89"/>
      <c r="I16" s="217"/>
    </row>
    <row r="17" spans="1:28" s="3" customFormat="1" ht="23" customHeight="1">
      <c r="A17" s="148"/>
      <c r="B17" s="216"/>
      <c r="C17" s="186"/>
      <c r="D17" s="186"/>
      <c r="E17" s="186"/>
      <c r="F17" s="186"/>
      <c r="G17" s="187"/>
      <c r="H17" s="89"/>
      <c r="I17" s="217"/>
      <c r="T17" s="247" t="s">
        <v>323</v>
      </c>
    </row>
    <row r="18" spans="1:28" s="3" customFormat="1" ht="23" customHeight="1">
      <c r="A18" s="148"/>
      <c r="B18" s="216"/>
      <c r="C18" s="99"/>
      <c r="D18" s="99"/>
      <c r="E18" s="99"/>
      <c r="F18" s="99"/>
      <c r="G18" s="99"/>
      <c r="H18" s="99"/>
      <c r="I18" s="218"/>
    </row>
    <row r="19" spans="1:28" s="3" customFormat="1" ht="13" customHeight="1" thickBot="1">
      <c r="A19" s="148"/>
      <c r="B19" s="216"/>
      <c r="C19" s="99"/>
      <c r="D19" s="99"/>
      <c r="E19" s="99"/>
      <c r="F19" s="99"/>
      <c r="G19" s="99"/>
      <c r="H19" s="99"/>
      <c r="I19" s="218"/>
      <c r="T19" s="275" t="s">
        <v>337</v>
      </c>
      <c r="U19" s="275"/>
      <c r="V19" s="275"/>
      <c r="W19" s="275"/>
      <c r="X19" s="275"/>
      <c r="Y19" s="275"/>
      <c r="Z19" s="4" t="s">
        <v>338</v>
      </c>
    </row>
    <row r="20" spans="1:28"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t="str">
        <v/>
      </c>
      <c r="O20" s="264" t="str">
        <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t="str">
        <v/>
      </c>
      <c r="W20" s="280" t="str">
        <v/>
      </c>
      <c r="X20" s="280" t="str">
        <v/>
      </c>
      <c r="Y20" s="281" t="str">
        <v/>
      </c>
      <c r="Z20" s="3" cm="1">
        <f t="array" ref="Z20">SUMPRODUCT(--(TRIM(T20:Y20)&lt;&gt;""))</f>
        <v>2</v>
      </c>
      <c r="AA20" s="3" cm="1">
        <f t="array" ref="AA20:AB20">_xlfn._xlws.SORT(INDEX(T20:Y20, 1):INDEX(T20:Y20, Z20), 1, TRUE)</f>
        <v>204</v>
      </c>
      <c r="AB20" s="3">
        <v>205</v>
      </c>
    </row>
    <row r="21" spans="1:28" s="3" customFormat="1" ht="16" customHeight="1">
      <c r="A21" s="148"/>
      <c r="B21" s="216"/>
      <c r="C21" s="163"/>
      <c r="D21" s="163"/>
      <c r="E21" s="163"/>
      <c r="F21" s="163"/>
      <c r="G21" s="163"/>
      <c r="H21" s="163"/>
      <c r="I21" s="219"/>
      <c r="K21" s="267" t="s">
        <v>333</v>
      </c>
      <c r="L21" s="265">
        <v>45849</v>
      </c>
      <c r="M21" s="265">
        <v>45849</v>
      </c>
      <c r="N21" s="265" t="str">
        <v/>
      </c>
      <c r="O21" s="265" t="str">
        <v/>
      </c>
      <c r="P21" s="265" t="str">
        <v/>
      </c>
      <c r="Q21" s="265" t="str">
        <v/>
      </c>
      <c r="T21" s="148">
        <v>45849</v>
      </c>
      <c r="U21" s="167">
        <v>45849</v>
      </c>
      <c r="V21" s="167" t="str">
        <v/>
      </c>
      <c r="W21" s="167" t="str">
        <v/>
      </c>
      <c r="X21" s="167" t="str">
        <v/>
      </c>
      <c r="Y21" s="282" t="str">
        <v/>
      </c>
    </row>
    <row r="22" spans="1:28" ht="30" customHeight="1" thickBot="1">
      <c r="A22" s="141"/>
      <c r="B22" s="220"/>
      <c r="C22" s="164"/>
      <c r="D22" s="165"/>
      <c r="E22" s="165"/>
      <c r="F22" s="165"/>
      <c r="G22" s="165"/>
      <c r="H22" s="165"/>
      <c r="I22" s="221"/>
      <c r="K22" s="267" t="s">
        <v>334</v>
      </c>
      <c r="L22" s="266" t="str">
        <v>CC 2456</v>
      </c>
      <c r="M22" s="266" t="str">
        <v>CC 2456</v>
      </c>
      <c r="N22" s="266" t="str">
        <v/>
      </c>
      <c r="O22" s="266" t="str">
        <v/>
      </c>
      <c r="P22" s="266" t="str">
        <v/>
      </c>
      <c r="Q22" s="266" t="str">
        <v/>
      </c>
      <c r="T22" s="173" t="str">
        <v>CC 2456</v>
      </c>
      <c r="U22" s="174" t="str">
        <v>CC 2456</v>
      </c>
      <c r="V22" s="174" t="str">
        <v/>
      </c>
      <c r="W22" s="174" t="str">
        <v/>
      </c>
      <c r="X22" s="174" t="str">
        <v/>
      </c>
      <c r="Y22" s="175" t="str">
        <v/>
      </c>
    </row>
    <row r="23" spans="1:28"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28"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28"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28" s="4" customFormat="1" ht="16" customHeight="1">
      <c r="A26" s="151"/>
      <c r="B26" s="252"/>
      <c r="C26" s="100"/>
      <c r="D26" s="101"/>
      <c r="E26" s="244"/>
      <c r="F26" s="254"/>
      <c r="G26" s="6"/>
      <c r="H26" s="5"/>
      <c r="I26" s="224">
        <f t="shared" si="1"/>
        <v>0</v>
      </c>
      <c r="L26" s="263" t="str">
        <f t="shared" si="2"/>
        <v/>
      </c>
      <c r="M26" s="263" t="str">
        <f t="shared" si="2"/>
        <v/>
      </c>
      <c r="N26" s="263" t="str">
        <f t="shared" si="2"/>
        <v/>
      </c>
      <c r="O26" s="263" t="str">
        <f t="shared" si="2"/>
        <v/>
      </c>
      <c r="P26" s="263" t="str">
        <f t="shared" si="2"/>
        <v/>
      </c>
      <c r="Q26" s="263" t="str">
        <f t="shared" si="2"/>
        <v/>
      </c>
    </row>
    <row r="27" spans="1:28" s="4" customFormat="1" ht="16">
      <c r="A27" s="151"/>
      <c r="B27" s="252"/>
      <c r="C27" s="100"/>
      <c r="D27" s="101"/>
      <c r="E27" s="244"/>
      <c r="F27" s="254"/>
      <c r="G27" s="6"/>
      <c r="H27" s="5"/>
      <c r="I27" s="224">
        <f>G27*H27</f>
        <v>0</v>
      </c>
      <c r="L27" s="263" t="str">
        <f>IF($B27="", "", IF(AND($I27, $B27=L$20, $E27=L$21, $F27=L$22, SUM($I$24)&gt;0), $I27, ""))</f>
        <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28" s="4" customFormat="1" ht="16" customHeight="1">
      <c r="A28" s="151"/>
      <c r="B28" s="252"/>
      <c r="C28" s="100"/>
      <c r="D28" s="101"/>
      <c r="E28" s="244"/>
      <c r="F28" s="254"/>
      <c r="G28" s="6"/>
      <c r="H28" s="5"/>
      <c r="I28" s="224">
        <f>G28*H28</f>
        <v>0</v>
      </c>
      <c r="L28" s="263" t="str">
        <f>IF($B28="", "", IF(AND($I28, $B28=L$20, $E28=L$21, $F28=L$22, SUM($I$24)&gt;0), $I28, ""))</f>
        <v/>
      </c>
      <c r="M28" s="263" t="str">
        <f>IF($B28="", "", IF(AND($I28, $B28=M$20, $E28=M$21, $F28=M$22, SUM($I$24)&gt;0), $I28, ""))</f>
        <v/>
      </c>
      <c r="N28" s="263" t="str">
        <f>IF($B28="", "", IF(AND($I28, $B28=N$20, $E28=N$21, $F28=N$22, SUM($I$24)&gt;0), $I28, ""))</f>
        <v/>
      </c>
      <c r="O28" s="263" t="str">
        <f>IF($B28="", "", IF(AND($I28, $B28=O$20, $E28=O$21, $F28=O$22, SUM($I$24)&gt;0), $I28, ""))</f>
        <v/>
      </c>
      <c r="P28" s="263" t="str">
        <f>IF($B28="", "", IF(AND($I28, $B28=P$20, $E28=P$21, $F28=P$22, SUM($I$24)&gt;0), $I28, ""))</f>
        <v/>
      </c>
      <c r="Q28" s="263" t="str">
        <f>IF($B28="", "", IF(AND($I28, $B28=Q$20, $E28=Q$21, $F28=Q$22, SUM($I$24)&gt;0), $I28, ""))</f>
        <v/>
      </c>
    </row>
    <row r="29" spans="1:28" s="4" customFormat="1" ht="16" customHeight="1">
      <c r="A29" s="151"/>
      <c r="B29" s="252"/>
      <c r="C29" s="100"/>
      <c r="D29" s="101"/>
      <c r="E29" s="244"/>
      <c r="F29" s="254"/>
      <c r="G29" s="6"/>
      <c r="H29" s="5"/>
      <c r="I29" s="224">
        <f>G29*H29</f>
        <v>0</v>
      </c>
      <c r="L29" s="263" t="str">
        <f>IF($B29="", "", IF(AND($I29, $B29=L$20, $E29=L$21, $F29=L$22, SUM($I$24)&gt;0), $I29, ""))</f>
        <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28" s="4" customFormat="1" ht="16" customHeight="1">
      <c r="A30" s="151"/>
      <c r="B30" s="252"/>
      <c r="C30" s="100"/>
      <c r="D30" s="101"/>
      <c r="E30" s="244"/>
      <c r="F30" s="254"/>
      <c r="G30" s="6"/>
      <c r="H30" s="5"/>
      <c r="I30" s="224">
        <f>G30*H30</f>
        <v>0</v>
      </c>
      <c r="L30" s="263" t="str">
        <f>IF($B30="", "", IF(AND($I30, $B30=L$20, $E30=L$21, $F30=L$22, SUM($I$24)&gt;0), $I30, ""))</f>
        <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28" s="4" customFormat="1" ht="16" customHeight="1">
      <c r="A31" s="151"/>
      <c r="B31" s="252"/>
      <c r="C31" s="100"/>
      <c r="D31" s="101"/>
      <c r="E31" s="244"/>
      <c r="F31" s="254"/>
      <c r="G31" s="6"/>
      <c r="H31" s="5"/>
      <c r="I31" s="224">
        <f>G31*H31</f>
        <v>0</v>
      </c>
      <c r="L31" s="263" t="str">
        <f>IF($B31="", "", IF(AND($I31, $B31=L$20, $E31=L$21, $F31=L$22, SUM($I$24)&gt;0), $I31, ""))</f>
        <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28"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400</v>
      </c>
      <c r="M36" s="269">
        <f t="shared" ref="M36:Q36" si="3">IF(SUM(M24:M35), SUM(M24:M35),"")</f>
        <v>50</v>
      </c>
      <c r="N36" s="270" t="str">
        <f t="shared" si="3"/>
        <v/>
      </c>
      <c r="O36" s="270" t="str">
        <f>IF(SUM(O24:O35), SUM(O24:O35),"")</f>
        <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450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450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IF('2499-003'!$L41="#A", L20,"")</f>
        <v>204</v>
      </c>
      <c r="N41" s="289" t="s">
        <v>336</v>
      </c>
      <c r="O41" s="290" t="str">
        <f>IF('2499-003'!$L41="#A", Sheet_PO,"")</f>
        <v>2499-003</v>
      </c>
      <c r="P41" s="291">
        <f>IF('2499-003'!$L41="#A", L$21,"")</f>
        <v>45849</v>
      </c>
      <c r="Q41" s="290" t="str">
        <f>IF('2499-003'!$L41="#A", L$22,"")</f>
        <v>CC 2456</v>
      </c>
      <c r="R41" s="292">
        <f>IF('2499-003'!$L41="#A", L$36,"")</f>
        <v>400</v>
      </c>
      <c r="S41" s="290" t="str">
        <f>IF('2499-003'!$L41="#A",
      INDEX('Line No'!$B$1:$B$342, MATCH('2499-003'!$M41, 'Line No'!$A$1:$A$342, 0)),
      "")</f>
        <v>Production Supplies</v>
      </c>
    </row>
    <row r="42" spans="1:19" ht="16" customHeight="1">
      <c r="A42" s="188"/>
      <c r="B42" s="188"/>
      <c r="C42" s="188"/>
      <c r="D42" s="188"/>
      <c r="E42" s="188"/>
      <c r="F42" s="188"/>
      <c r="G42" s="188"/>
      <c r="H42" s="188"/>
      <c r="I42" s="188"/>
      <c r="L42" s="301" t="str">
        <f>IF(SUM($M$24:$M$34), "#B", "")</f>
        <v>#B</v>
      </c>
      <c r="M42" s="293">
        <f>IF('2499-003'!$L42="#B", L20,"")</f>
        <v>204</v>
      </c>
      <c r="N42" s="293" t="s">
        <v>336</v>
      </c>
      <c r="O42" s="293" t="str">
        <f>IF('2499-003'!$L42="#B", Sheet_PO,"")</f>
        <v>2499-003</v>
      </c>
      <c r="P42" s="294">
        <f>IF('2499-003'!$L42="#B", M21,"")</f>
        <v>45849</v>
      </c>
      <c r="Q42" s="293" t="str">
        <f>IF('2499-003'!$L42="#B", M22,"")</f>
        <v>CC 2456</v>
      </c>
      <c r="R42" s="295">
        <f>IF('2499-003'!$L42="#B", M36,"")</f>
        <v>50</v>
      </c>
      <c r="S42" s="293" t="str">
        <f>IF('2499-003'!$L42="#B",
      INDEX('Line No'!$B$1:$B$342, MATCH('2499-003'!$M42, 'Line No'!$A$1:$A$342, 0)),
      "")</f>
        <v>Production Supplies</v>
      </c>
    </row>
    <row r="43" spans="1:19" ht="16" customHeight="1">
      <c r="A43" s="188"/>
      <c r="B43" s="188"/>
      <c r="C43" s="188"/>
      <c r="D43" s="188"/>
      <c r="E43" s="188"/>
      <c r="F43" s="188"/>
      <c r="G43" s="189"/>
      <c r="H43" s="189"/>
      <c r="I43" s="189"/>
      <c r="L43" s="302" t="str">
        <f>IF(SUM($N$24:$N$34), "#C", "")</f>
        <v/>
      </c>
      <c r="M43" s="290" t="str">
        <f>IF('2499-003'!$L43="#C", M20,"")</f>
        <v/>
      </c>
      <c r="N43" s="289" t="s">
        <v>336</v>
      </c>
      <c r="O43" s="290" t="str">
        <f>IF('2499-003'!$L43="#C", Sheet_PO,"")</f>
        <v/>
      </c>
      <c r="P43" s="291" t="str">
        <f>IF('2499-003'!$L43="#C", N21,"")</f>
        <v/>
      </c>
      <c r="Q43" s="290" t="str">
        <f>IF('2499-003'!$L43="#C", N22,"")</f>
        <v/>
      </c>
      <c r="R43" s="292" t="str">
        <f>IF('2499-003'!$L43="#C", N36,"")</f>
        <v/>
      </c>
      <c r="S43" s="290" t="str">
        <f>IF('2499-003'!$L43="#C",
      INDEX('Line No'!$B$1:$B$342, MATCH('2499-003'!$M43, 'Line No'!$A$1:$A$342, 0)),
      "")</f>
        <v/>
      </c>
    </row>
    <row r="44" spans="1:19" ht="16" customHeight="1">
      <c r="A44" s="188"/>
      <c r="B44" s="188"/>
      <c r="C44" s="188"/>
      <c r="D44" s="188"/>
      <c r="E44" s="188"/>
      <c r="F44" s="188"/>
      <c r="G44" s="189"/>
      <c r="H44" s="258"/>
      <c r="I44" s="189"/>
      <c r="L44" s="303" t="str">
        <f>IF(SUM($O$24:$O$34), "#D", "")</f>
        <v/>
      </c>
      <c r="M44" s="293" t="str">
        <f>IF('2499-003'!$L44="#D", N20,"")</f>
        <v/>
      </c>
      <c r="N44" s="293" t="s">
        <v>336</v>
      </c>
      <c r="O44" s="293" t="str">
        <f>IF('2499-003'!$L44="#D", Sheet_PO,"")</f>
        <v/>
      </c>
      <c r="P44" s="294" t="str">
        <f>IF('2499-003'!$L44="#D", O21,"")</f>
        <v/>
      </c>
      <c r="Q44" s="293" t="str">
        <f>IF('2499-003'!$L44="#D", O22,"")</f>
        <v/>
      </c>
      <c r="R44" s="295" t="str">
        <f>IF('2499-003'!$L44="#D", O36,"")</f>
        <v/>
      </c>
      <c r="S44" s="293" t="str">
        <f>IF('2499-003'!$L44="#D",
      INDEX('Line No'!$B$1:$B$342, MATCH('2499-003'!$M44, 'Line No'!$A$1:$A$342, 0)),
      "")</f>
        <v/>
      </c>
    </row>
    <row r="45" spans="1:19" ht="16" customHeight="1">
      <c r="A45" s="188"/>
      <c r="B45" s="188"/>
      <c r="C45" s="273"/>
      <c r="D45" s="273"/>
      <c r="E45" s="273"/>
      <c r="F45" s="273"/>
      <c r="G45" s="190"/>
      <c r="H45" s="190"/>
      <c r="I45" s="191"/>
      <c r="L45" s="302" t="str">
        <f>IF(SUM($P$24:$P$34), "#E", "")</f>
        <v/>
      </c>
      <c r="M45" s="290" t="str">
        <f>IF('2499-003'!$L45="#E", O20,"")</f>
        <v/>
      </c>
      <c r="N45" s="289"/>
      <c r="O45" s="290" t="str">
        <f>IF('2499-003'!$L45="#E", Sheet_PO,"")</f>
        <v/>
      </c>
      <c r="P45" s="291" t="str">
        <f>IF('2499-003'!$L45="#E", P21,"")</f>
        <v/>
      </c>
      <c r="Q45" s="290" t="str">
        <f>IF('2499-003'!$L45="#E", P22,"")</f>
        <v/>
      </c>
      <c r="R45" s="292" t="str">
        <f>IF('2499-003'!$L45="#E", P36,"")</f>
        <v/>
      </c>
      <c r="S45" s="290" t="str">
        <f>IF('2499-003'!$L45="#E",
      INDEX('Line No'!$B$1:$B$342, MATCH('2499-003'!$M45, 'Line No'!$A$1:$A$342, 0)),
      "")</f>
        <v/>
      </c>
    </row>
    <row r="46" spans="1:19" ht="16" customHeight="1">
      <c r="A46" s="188"/>
      <c r="B46" s="188"/>
      <c r="C46" s="188"/>
      <c r="D46" s="188"/>
      <c r="E46" s="188"/>
      <c r="F46" s="188"/>
      <c r="G46" s="188"/>
      <c r="H46" s="188"/>
      <c r="I46" s="188"/>
      <c r="L46" s="303" t="str">
        <f>IF(SUM($Q$24:$Q$34), "#F", "")</f>
        <v/>
      </c>
      <c r="M46" s="293" t="str">
        <f>IF('2499-003'!$L46="#F", P20,"")</f>
        <v/>
      </c>
      <c r="N46" s="293"/>
      <c r="O46" s="293" t="str">
        <f>IF('2499-003'!$L46="#F", Sheet_PO,"")</f>
        <v/>
      </c>
      <c r="P46" s="294" t="str">
        <f>IF('2499-003'!$L46="#F", Q21,"")</f>
        <v/>
      </c>
      <c r="Q46" s="293" t="str">
        <f>IF('2499-003'!$L46="#F", Q22,"")</f>
        <v/>
      </c>
      <c r="R46" s="295" t="str">
        <f>IF('2499-003'!$L46="#F", Q36,"")</f>
        <v/>
      </c>
      <c r="S46" s="293" t="str">
        <f>IF('2499-003'!$L46="#F",
      INDEX('Line No'!$B$1:$B$342, MATCH('2499-003'!$M46, 'Line No'!$A$1:$A$342, 0)),
      "")</f>
        <v/>
      </c>
    </row>
    <row r="47" spans="1:19" ht="16" customHeight="1">
      <c r="A47" s="188"/>
      <c r="B47" s="272"/>
      <c r="C47" s="272"/>
      <c r="D47" s="272"/>
      <c r="E47" s="272"/>
      <c r="F47" s="272"/>
      <c r="G47" s="272"/>
      <c r="H47" s="272"/>
      <c r="I47" s="272"/>
      <c r="L47" s="302" t="str">
        <f>IF(SUM($R$24:$R$34), "#G", "")</f>
        <v/>
      </c>
      <c r="M47" s="290" t="str">
        <f>IF('2499-003'!$L47="#G", Q20,"")</f>
        <v/>
      </c>
      <c r="N47" s="289"/>
      <c r="O47" s="290" t="str">
        <f>IF('2499-003'!$L47="#G", Sheet_PO,"")</f>
        <v/>
      </c>
      <c r="P47" s="296" t="str">
        <f>IF('2499-003'!$L47="#G", R21,"")</f>
        <v/>
      </c>
      <c r="Q47" s="297" t="str">
        <f>IF('2499-003'!$L47="#G", R22,"")</f>
        <v/>
      </c>
      <c r="R47" s="292" t="str">
        <f>IF('2499-003'!$L47="#G", R36,"")</f>
        <v/>
      </c>
      <c r="S47" s="290" t="str">
        <f>IF('2499-003'!$L47="#G",
      INDEX('Line No'!$B$1:$B$342, MATCH('2499-003'!$M47, 'Line No'!$A$1:$A$342, 0)),
      "")</f>
        <v/>
      </c>
    </row>
    <row r="48" spans="1:19" ht="16" customHeight="1">
      <c r="L48" s="303" t="str">
        <f>IF(SUM($S$24:$S$34), "#H", "")</f>
        <v/>
      </c>
      <c r="M48" s="293" t="str">
        <f>IF('2499-003'!$L48="#H", R20,"")</f>
        <v/>
      </c>
      <c r="N48" s="293"/>
      <c r="O48" s="293" t="str">
        <f>IF('2499-003'!$L48="#H", Sheet_PO,"")</f>
        <v/>
      </c>
      <c r="P48" s="298" t="str">
        <f>IF('2499-003'!$L48="#H", T21,"")</f>
        <v/>
      </c>
      <c r="Q48" s="299" t="str">
        <f>IF('2499-003'!$L48="#H", T22,"")</f>
        <v/>
      </c>
      <c r="R48" s="295" t="str">
        <f>IF('2499-003'!$L48="#H", T36,"")</f>
        <v/>
      </c>
      <c r="S48" s="293" t="str">
        <f>IF('2499-003'!$L48="#H",
      INDEX('Line No'!$B$1:$B$342, MATCH('2499-003'!$M48, 'Line No'!$A$1:$A$342, 0)),
      "")</f>
        <v/>
      </c>
    </row>
    <row r="49" spans="11:21" ht="16" customHeight="1">
      <c r="K49" s="1" cm="1">
        <f t="array" ref="K49">SUMPRODUCT(--(L41:L49&lt;&gt;""))</f>
        <v>2</v>
      </c>
      <c r="L49" s="302" t="str">
        <f>IF(SUM($T$24:$T$34), "#OTHER", "")</f>
        <v/>
      </c>
      <c r="M49" s="290" t="str">
        <f>IF('2499-003'!$L49="#I", T20,"")</f>
        <v/>
      </c>
      <c r="N49" s="289"/>
      <c r="O49" s="290" t="str">
        <f>IF('2499-003'!$L49="#I", Sheet_PO,"")</f>
        <v/>
      </c>
      <c r="P49" s="296" t="str">
        <f>IF('2499-003'!$L49="#I", U21,"")</f>
        <v/>
      </c>
      <c r="Q49" s="297" t="str">
        <f>IF('2499-003'!$L49="#I", U22,"")</f>
        <v/>
      </c>
      <c r="R49" s="292" t="str">
        <f>IF('2499-003'!$L49="#I", U36,"")</f>
        <v/>
      </c>
      <c r="S49" s="290" t="str">
        <f>IF('2499-003'!$L49="#I",
      INDEX('Line No'!$B$1:$B$342, MATCH('2499-003'!$M49,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S41:S49">
    <cfRule type="containsText" dxfId="24"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AD7A9-C70E-0445-945E-0021B1AE7809}">
  <sheetPr codeName="Sheet10">
    <pageSetUpPr fitToPage="1"/>
  </sheetPr>
  <dimension ref="A1:AK52"/>
  <sheetViews>
    <sheetView topLeftCell="A25" workbookViewId="0">
      <selection activeCell="K49" sqref="K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307</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51"/>
      <c r="B6" s="202"/>
      <c r="C6" s="138"/>
      <c r="D6" s="139"/>
      <c r="E6" s="152"/>
      <c r="F6" s="152"/>
      <c r="G6" s="152"/>
      <c r="H6" s="152"/>
      <c r="I6" s="203"/>
      <c r="M6" s="4">
        <v>112</v>
      </c>
      <c r="O6" s="4" t="str">
        <v>CASH</v>
      </c>
      <c r="P6" s="4" t="str" cm="1">
        <f t="array" ref="P6">IF(O6="","",IFERROR(INDEX(Description, MATCH(O6, Line, 0)), "Not Found"))</f>
        <v>Not Found</v>
      </c>
      <c r="S6" s="249">
        <v>112</v>
      </c>
      <c r="T6" s="257">
        <v>45848</v>
      </c>
      <c r="U6" s="249" t="str">
        <v>CHK 101</v>
      </c>
      <c r="AF6" s="4" t="str">
        <v>CC 2456</v>
      </c>
      <c r="AG6" s="4" t="str">
        <v>CC 2456</v>
      </c>
      <c r="AH6" s="4" t="str">
        <v>CHK 101</v>
      </c>
      <c r="AI6" s="4" t="str">
        <v>CASH</v>
      </c>
      <c r="AJ6" s="4" t="str">
        <v/>
      </c>
      <c r="AK6" s="4" t="str">
        <v/>
      </c>
    </row>
    <row r="7" spans="1:37" s="4" customFormat="1" ht="16">
      <c r="A7" s="151"/>
      <c r="B7" s="204"/>
      <c r="C7" s="153"/>
      <c r="D7" s="154"/>
      <c r="E7" s="154"/>
      <c r="F7" s="155"/>
      <c r="G7" s="155"/>
      <c r="H7" s="155"/>
      <c r="I7" s="205"/>
      <c r="M7" s="4">
        <v>1</v>
      </c>
      <c r="P7" s="4" t="str" cm="1">
        <f t="array" ref="P7">IF(O7="","",IFERROR(INDEX(Description, MATCH(O7, Line, 0)), "Not Found"))</f>
        <v/>
      </c>
      <c r="S7" s="249">
        <v>1</v>
      </c>
      <c r="T7" s="257">
        <v>45849</v>
      </c>
      <c r="U7" s="249" t="str">
        <v>CASH</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3">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5">_xlfn.UNIQUE(_xlfn.HSTACK(LineEntry, DateEntry, PayIDEntry))&lt;&gt;0</f>
        <v>1</v>
      </c>
      <c r="T11" s="4" t="b">
        <v>1</v>
      </c>
      <c r="U11" s="4" t="b">
        <v>1</v>
      </c>
      <c r="W11" s="4" t="b">
        <v>1</v>
      </c>
      <c r="X11" s="4" t="b">
        <v>1</v>
      </c>
      <c r="Y11" s="4" t="b">
        <v>1</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c r="W12" s="4" t="b">
        <v>1</v>
      </c>
      <c r="X12" s="4" t="b">
        <v>1</v>
      </c>
      <c r="Y12" s="4" t="b">
        <v>1</v>
      </c>
    </row>
    <row r="13" spans="1:37" s="4" customFormat="1" ht="16">
      <c r="A13" s="151"/>
      <c r="B13" s="213"/>
      <c r="C13" s="104"/>
      <c r="D13" s="104"/>
      <c r="F13" s="97"/>
      <c r="G13" s="98"/>
      <c r="H13" s="98"/>
      <c r="I13" s="214"/>
      <c r="P13" s="4" t="str" cm="1">
        <f t="array" ref="P13">IF(O13="","",IFERROR(INDEX(Description, MATCH(O13, Line, 0)), "Not Found"))</f>
        <v/>
      </c>
      <c r="S13" s="4" t="b">
        <v>1</v>
      </c>
      <c r="T13" s="4" t="b">
        <v>1</v>
      </c>
      <c r="U13" s="4" t="b">
        <v>1</v>
      </c>
      <c r="W13" s="4" t="b">
        <v>0</v>
      </c>
      <c r="X13" s="4" t="b">
        <v>0</v>
      </c>
      <c r="Y13" s="4" t="b">
        <v>0</v>
      </c>
    </row>
    <row r="14" spans="1:37" s="4" customFormat="1" ht="16">
      <c r="A14" s="151"/>
      <c r="B14" s="213"/>
      <c r="C14" s="106"/>
      <c r="D14" s="106"/>
      <c r="E14" s="158" t="s">
        <v>268</v>
      </c>
      <c r="F14" s="97"/>
      <c r="G14" s="98"/>
      <c r="H14" s="98"/>
      <c r="I14" s="214"/>
      <c r="S14" s="4" t="b">
        <v>1</v>
      </c>
      <c r="T14" s="4" t="b">
        <v>1</v>
      </c>
      <c r="U14" s="4" t="b">
        <v>1</v>
      </c>
    </row>
    <row r="15" spans="1:37" s="4" customFormat="1" ht="16">
      <c r="A15" s="151"/>
      <c r="B15" s="215"/>
      <c r="C15" s="161"/>
      <c r="D15" s="161"/>
      <c r="E15" s="160"/>
      <c r="F15" s="160"/>
      <c r="G15" s="160"/>
      <c r="H15" s="160"/>
      <c r="I15" s="211"/>
      <c r="S15" s="4" t="b">
        <v>0</v>
      </c>
      <c r="T15" s="4" t="b">
        <v>0</v>
      </c>
      <c r="U15" s="4" t="b">
        <v>0</v>
      </c>
    </row>
    <row r="16" spans="1:37" s="3" customFormat="1" ht="23" customHeight="1">
      <c r="A16" s="148"/>
      <c r="B16" s="216" t="s">
        <v>6</v>
      </c>
      <c r="C16" s="162"/>
      <c r="D16" s="162"/>
      <c r="E16" s="162"/>
      <c r="F16" s="162"/>
      <c r="G16" s="185"/>
      <c r="H16" s="89"/>
      <c r="I16" s="217"/>
    </row>
    <row r="17" spans="1:30" s="3" customFormat="1" ht="23" customHeight="1">
      <c r="A17" s="148"/>
      <c r="B17" s="216"/>
      <c r="C17" s="186"/>
      <c r="D17" s="186"/>
      <c r="E17" s="186"/>
      <c r="F17" s="186"/>
      <c r="G17" s="187"/>
      <c r="H17" s="89"/>
      <c r="I17" s="217"/>
      <c r="T17" s="247" t="s">
        <v>323</v>
      </c>
    </row>
    <row r="18" spans="1:30" s="3" customFormat="1" ht="23" customHeight="1">
      <c r="A18" s="148"/>
      <c r="B18" s="216"/>
      <c r="C18" s="99"/>
      <c r="D18" s="99"/>
      <c r="E18" s="99"/>
      <c r="F18" s="99"/>
      <c r="G18" s="99"/>
      <c r="H18" s="99"/>
      <c r="I18" s="218"/>
    </row>
    <row r="19" spans="1:30" s="3" customFormat="1" ht="13" customHeight="1" thickBot="1">
      <c r="A19" s="148"/>
      <c r="B19" s="216"/>
      <c r="C19" s="99"/>
      <c r="D19" s="99"/>
      <c r="E19" s="99"/>
      <c r="F19" s="99"/>
      <c r="G19" s="99"/>
      <c r="H19" s="99"/>
      <c r="I19" s="218"/>
      <c r="T19" s="275" t="s">
        <v>337</v>
      </c>
      <c r="U19" s="275"/>
      <c r="V19" s="275"/>
      <c r="W19" s="275"/>
      <c r="X19" s="275"/>
      <c r="Y19" s="275"/>
      <c r="Z19" s="4" t="s">
        <v>338</v>
      </c>
    </row>
    <row r="20" spans="1:30"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v>112</v>
      </c>
      <c r="O20" s="264">
        <v>1</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v>112</v>
      </c>
      <c r="W20" s="280">
        <v>1</v>
      </c>
      <c r="X20" s="280" t="str">
        <v/>
      </c>
      <c r="Y20" s="281"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8"/>
      <c r="B21" s="216"/>
      <c r="C21" s="163"/>
      <c r="D21" s="163"/>
      <c r="E21" s="163"/>
      <c r="F21" s="163"/>
      <c r="G21" s="163"/>
      <c r="H21" s="163"/>
      <c r="I21" s="219"/>
      <c r="K21" s="267" t="s">
        <v>333</v>
      </c>
      <c r="L21" s="265">
        <v>45849</v>
      </c>
      <c r="M21" s="265">
        <v>45849</v>
      </c>
      <c r="N21" s="265">
        <v>45848</v>
      </c>
      <c r="O21" s="265">
        <v>45849</v>
      </c>
      <c r="P21" s="265" t="str">
        <v/>
      </c>
      <c r="Q21" s="265" t="str">
        <v/>
      </c>
      <c r="T21" s="148">
        <v>45849</v>
      </c>
      <c r="U21" s="167">
        <v>45849</v>
      </c>
      <c r="V21" s="167">
        <v>45848</v>
      </c>
      <c r="W21" s="167">
        <v>45849</v>
      </c>
      <c r="X21" s="167" t="str">
        <v/>
      </c>
      <c r="Y21" s="282" t="str">
        <v/>
      </c>
    </row>
    <row r="22" spans="1:30" ht="30" customHeight="1" thickBot="1">
      <c r="A22" s="141"/>
      <c r="B22" s="220"/>
      <c r="C22" s="164"/>
      <c r="D22" s="165"/>
      <c r="E22" s="165"/>
      <c r="F22" s="165"/>
      <c r="G22" s="165"/>
      <c r="H22" s="165"/>
      <c r="I22" s="221"/>
      <c r="K22" s="267" t="s">
        <v>334</v>
      </c>
      <c r="L22" s="266" t="str">
        <v>CC 2456</v>
      </c>
      <c r="M22" s="266" t="str">
        <v>CC 2456</v>
      </c>
      <c r="N22" s="266" t="str">
        <v>CHK 101</v>
      </c>
      <c r="O22" s="266" t="str">
        <v>CASH</v>
      </c>
      <c r="P22" s="266" t="str">
        <v/>
      </c>
      <c r="Q22" s="266" t="str">
        <v/>
      </c>
      <c r="T22" s="173" t="str">
        <v>CC 2456</v>
      </c>
      <c r="U22" s="174" t="str">
        <v>CC 2456</v>
      </c>
      <c r="V22" s="174" t="str">
        <v>CHK 101</v>
      </c>
      <c r="W22" s="174" t="str">
        <v>CASH</v>
      </c>
      <c r="X22" s="174" t="str">
        <v/>
      </c>
      <c r="Y22" s="175" t="str">
        <v/>
      </c>
    </row>
    <row r="23" spans="1:30"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30"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30"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30" s="4" customFormat="1" ht="16" customHeight="1">
      <c r="A26" s="151"/>
      <c r="B26" s="252">
        <v>112</v>
      </c>
      <c r="C26" s="100" t="s">
        <v>330</v>
      </c>
      <c r="D26" s="101"/>
      <c r="E26" s="244">
        <v>45848</v>
      </c>
      <c r="F26" s="254" t="s">
        <v>331</v>
      </c>
      <c r="G26" s="6">
        <v>1</v>
      </c>
      <c r="H26" s="5">
        <v>1000</v>
      </c>
      <c r="I26" s="224">
        <f t="shared" si="1"/>
        <v>1000</v>
      </c>
      <c r="L26" s="263" t="str">
        <f t="shared" si="2"/>
        <v/>
      </c>
      <c r="M26" s="263" t="str">
        <f t="shared" si="2"/>
        <v/>
      </c>
      <c r="N26" s="263">
        <f t="shared" si="2"/>
        <v>1000</v>
      </c>
      <c r="O26" s="263" t="str">
        <f t="shared" si="2"/>
        <v/>
      </c>
      <c r="P26" s="263" t="str">
        <f t="shared" si="2"/>
        <v/>
      </c>
      <c r="Q26" s="263" t="str">
        <f t="shared" si="2"/>
        <v/>
      </c>
    </row>
    <row r="27" spans="1:30" s="4" customFormat="1" ht="16">
      <c r="A27" s="151"/>
      <c r="B27" s="252">
        <v>204</v>
      </c>
      <c r="C27" s="100" t="s">
        <v>315</v>
      </c>
      <c r="D27" s="101"/>
      <c r="E27" s="244">
        <v>45849</v>
      </c>
      <c r="F27" s="254" t="s">
        <v>316</v>
      </c>
      <c r="G27" s="6">
        <v>1</v>
      </c>
      <c r="H27" s="5">
        <v>100</v>
      </c>
      <c r="I27" s="224">
        <f>G27*H27</f>
        <v>100</v>
      </c>
      <c r="L27" s="263">
        <f>IF($B27="", "", IF(AND($I27, $B27=L$20, $E27=L$21, $F27=L$22, SUM($I$24)&gt;0), $I27, ""))</f>
        <v>100</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30" s="4" customFormat="1" ht="16" customHeight="1">
      <c r="A28" s="151"/>
      <c r="B28" s="252">
        <v>1</v>
      </c>
      <c r="C28" s="100" t="s">
        <v>340</v>
      </c>
      <c r="D28" s="101"/>
      <c r="E28" s="244">
        <v>45849</v>
      </c>
      <c r="F28" s="254" t="s">
        <v>5</v>
      </c>
      <c r="G28" s="6">
        <v>1</v>
      </c>
      <c r="H28" s="5">
        <v>1000</v>
      </c>
      <c r="I28" s="224">
        <f>G28*H28</f>
        <v>1000</v>
      </c>
      <c r="L28" s="263" t="str">
        <f>IF($B28="", "", IF(AND($I28, $B28=L$20, $E28=L$21, $F28=L$22, SUM($I$24)&gt;0), $I28, ""))</f>
        <v/>
      </c>
      <c r="M28" s="263" t="str">
        <f>IF($B28="", "", IF(AND($I28, $B28=M$20, $E28=M$21, $F28=M$22, SUM($I$24)&gt;0), $I28, ""))</f>
        <v/>
      </c>
      <c r="N28" s="263" t="str">
        <f>IF($B28="", "", IF(AND($I28, $B28=N$20, $E28=N$21, $F28=N$22, SUM($I$24)&gt;0), $I28, ""))</f>
        <v/>
      </c>
      <c r="O28" s="263">
        <f>IF($B28="", "", IF(AND($I28, $B28=O$20, $E28=O$21, $F28=O$22, SUM($I$24)&gt;0), $I28, ""))</f>
        <v>1000</v>
      </c>
      <c r="P28" s="263" t="str">
        <f>IF($B28="", "", IF(AND($I28, $B28=P$20, $E28=P$21, $F28=P$22, SUM($I$24)&gt;0), $I28, ""))</f>
        <v/>
      </c>
      <c r="Q28" s="263" t="str">
        <f>IF($B28="", "", IF(AND($I28, $B28=Q$20, $E28=Q$21, $F28=Q$22, SUM($I$24)&gt;0), $I28, ""))</f>
        <v/>
      </c>
    </row>
    <row r="29" spans="1:30" s="4" customFormat="1" ht="16" customHeight="1">
      <c r="A29" s="151"/>
      <c r="B29" s="252">
        <v>204</v>
      </c>
      <c r="C29" s="100" t="s">
        <v>315</v>
      </c>
      <c r="D29" s="101"/>
      <c r="E29" s="244">
        <v>45849</v>
      </c>
      <c r="F29" s="254" t="s">
        <v>316</v>
      </c>
      <c r="G29" s="6">
        <v>1</v>
      </c>
      <c r="H29" s="5">
        <v>100</v>
      </c>
      <c r="I29" s="224">
        <f>G29*H29</f>
        <v>100</v>
      </c>
      <c r="L29" s="263">
        <f>IF($B29="", "", IF(AND($I29, $B29=L$20, $E29=L$21, $F29=L$22, SUM($I$24)&gt;0), $I29, ""))</f>
        <v>100</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30" s="4" customFormat="1" ht="16" customHeight="1">
      <c r="A30" s="151"/>
      <c r="B30" s="252">
        <v>204</v>
      </c>
      <c r="C30" s="100" t="s">
        <v>315</v>
      </c>
      <c r="D30" s="101"/>
      <c r="E30" s="244">
        <v>45849</v>
      </c>
      <c r="F30" s="254" t="s">
        <v>316</v>
      </c>
      <c r="G30" s="6">
        <v>1</v>
      </c>
      <c r="H30" s="5">
        <v>100</v>
      </c>
      <c r="I30" s="224">
        <f>G30*H30</f>
        <v>100</v>
      </c>
      <c r="L30" s="263">
        <f>IF($B30="", "", IF(AND($I30, $B30=L$20, $E30=L$21, $F30=L$22, SUM($I$24)&gt;0), $I30, ""))</f>
        <v>100</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30" s="4" customFormat="1" ht="16" customHeight="1">
      <c r="A31" s="151"/>
      <c r="B31" s="252">
        <v>204</v>
      </c>
      <c r="C31" s="100" t="s">
        <v>315</v>
      </c>
      <c r="D31" s="101"/>
      <c r="E31" s="244">
        <v>45849</v>
      </c>
      <c r="F31" s="254" t="s">
        <v>316</v>
      </c>
      <c r="G31" s="6">
        <v>1</v>
      </c>
      <c r="H31" s="5">
        <v>100</v>
      </c>
      <c r="I31" s="224">
        <f>G31*H31</f>
        <v>100</v>
      </c>
      <c r="L31" s="263">
        <f>IF($B31="", "", IF(AND($I31, $B31=L$20, $E31=L$21, $F31=L$22, SUM($I$24)&gt;0), $I31, ""))</f>
        <v>100</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30"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800</v>
      </c>
      <c r="M36" s="269">
        <f t="shared" ref="M36:Q36" si="3">IF(SUM(M24:M35), SUM(M24:M35),"")</f>
        <v>50</v>
      </c>
      <c r="N36" s="270">
        <f t="shared" si="3"/>
        <v>1000</v>
      </c>
      <c r="O36" s="270">
        <f>IF(SUM(O24:O35), SUM(O24:O35),"")</f>
        <v>1000</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2850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2850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IF('2499-004'!$L41="#A", L20,"")</f>
        <v>204</v>
      </c>
      <c r="N41" s="289" t="s">
        <v>336</v>
      </c>
      <c r="O41" s="290" t="str">
        <f>IF('2499-004'!$L41="#A", Sheet_PO,"")</f>
        <v>2499-004</v>
      </c>
      <c r="P41" s="291">
        <f>IF('2499-004'!$L41="#A", L$21,"")</f>
        <v>45849</v>
      </c>
      <c r="Q41" s="290" t="str">
        <f>IF('2499-004'!$L41="#A", L$22,"")</f>
        <v>CC 2456</v>
      </c>
      <c r="R41" s="292">
        <f>IF('2499-004'!$L41="#A", L$36,"")</f>
        <v>800</v>
      </c>
      <c r="S41" s="290" t="str">
        <f>IF('2499-004'!$L41="#A",
      INDEX('Line No'!$B$1:$B$342, MATCH('2499-004'!$M41, 'Line No'!$A$1:$A$342, 0)),
      "")</f>
        <v>Production Supplies</v>
      </c>
    </row>
    <row r="42" spans="1:19" ht="16" customHeight="1">
      <c r="A42" s="188"/>
      <c r="B42" s="188"/>
      <c r="C42" s="188"/>
      <c r="D42" s="188"/>
      <c r="E42" s="188"/>
      <c r="F42" s="188"/>
      <c r="G42" s="188"/>
      <c r="H42" s="188"/>
      <c r="I42" s="188"/>
      <c r="L42" s="301" t="str">
        <f>IF(SUM($M$24:$M$34), "#B", "")</f>
        <v>#B</v>
      </c>
      <c r="M42" s="293">
        <f>IF('2499-004'!$L42="#B", L20,"")</f>
        <v>204</v>
      </c>
      <c r="N42" s="293" t="s">
        <v>336</v>
      </c>
      <c r="O42" s="293" t="str">
        <f>IF('2499-004'!$L42="#B", Sheet_PO,"")</f>
        <v>2499-004</v>
      </c>
      <c r="P42" s="294">
        <f>IF('2499-004'!$L42="#B", M21,"")</f>
        <v>45849</v>
      </c>
      <c r="Q42" s="293" t="str">
        <f>IF('2499-004'!$L42="#B", M22,"")</f>
        <v>CC 2456</v>
      </c>
      <c r="R42" s="295">
        <f>IF('2499-004'!$L42="#B", M36,"")</f>
        <v>50</v>
      </c>
      <c r="S42" s="293" t="str">
        <f>IF('2499-004'!$L42="#B",
      INDEX('Line No'!$B$1:$B$342, MATCH('2499-004'!$M42, 'Line No'!$A$1:$A$342, 0)),
      "")</f>
        <v>Production Supplies</v>
      </c>
    </row>
    <row r="43" spans="1:19" ht="16" customHeight="1">
      <c r="A43" s="188"/>
      <c r="B43" s="188"/>
      <c r="C43" s="188"/>
      <c r="D43" s="188"/>
      <c r="E43" s="188"/>
      <c r="F43" s="188"/>
      <c r="G43" s="189"/>
      <c r="H43" s="189"/>
      <c r="I43" s="189"/>
      <c r="L43" s="302" t="str">
        <f>IF(SUM($N$24:$N$34), "#C", "")</f>
        <v>#C</v>
      </c>
      <c r="M43" s="290">
        <f>IF('2499-004'!$L43="#C", M20,"")</f>
        <v>205</v>
      </c>
      <c r="N43" s="289" t="s">
        <v>336</v>
      </c>
      <c r="O43" s="290" t="str">
        <f>IF('2499-004'!$L43="#C", Sheet_PO,"")</f>
        <v>2499-004</v>
      </c>
      <c r="P43" s="291">
        <f>IF('2499-004'!$L43="#C", N21,"")</f>
        <v>45848</v>
      </c>
      <c r="Q43" s="290" t="str">
        <f>IF('2499-004'!$L43="#C", N22,"")</f>
        <v>CHK 101</v>
      </c>
      <c r="R43" s="292">
        <f>IF('2499-004'!$L43="#C", N36,"")</f>
        <v>1000</v>
      </c>
      <c r="S43" s="290" t="str">
        <f>IF('2499-004'!$L43="#C",
      INDEX('Line No'!$B$1:$B$342, MATCH('2499-004'!$M43, 'Line No'!$A$1:$A$342, 0)),
      "")</f>
        <v>Location Supplies</v>
      </c>
    </row>
    <row r="44" spans="1:19" ht="16" customHeight="1">
      <c r="A44" s="188"/>
      <c r="B44" s="188"/>
      <c r="C44" s="188"/>
      <c r="D44" s="188"/>
      <c r="E44" s="188"/>
      <c r="F44" s="188"/>
      <c r="G44" s="189"/>
      <c r="H44" s="258"/>
      <c r="I44" s="189"/>
      <c r="L44" s="303" t="str">
        <f>IF(SUM($O$24:$O$34), "#D", "")</f>
        <v>#D</v>
      </c>
      <c r="M44" s="293">
        <f>IF('2499-004'!$L44="#D", N20,"")</f>
        <v>112</v>
      </c>
      <c r="N44" s="293" t="s">
        <v>336</v>
      </c>
      <c r="O44" s="293" t="str">
        <f>IF('2499-004'!$L44="#D", Sheet_PO,"")</f>
        <v>2499-004</v>
      </c>
      <c r="P44" s="294">
        <f>IF('2499-004'!$L44="#D", O21,"")</f>
        <v>45849</v>
      </c>
      <c r="Q44" s="293" t="str">
        <f>IF('2499-004'!$L44="#D", O22,"")</f>
        <v>CASH</v>
      </c>
      <c r="R44" s="295">
        <f>IF('2499-004'!$L44="#D", O36,"")</f>
        <v>1000</v>
      </c>
      <c r="S44" s="293" t="str">
        <f>IF('2499-004'!$L44="#D",
      INDEX('Line No'!$B$1:$B$342, MATCH('2499-004'!$M44, 'Line No'!$A$1:$A$342, 0)),
      "")</f>
        <v>Pre Pro Meals</v>
      </c>
    </row>
    <row r="45" spans="1:19" ht="16" customHeight="1">
      <c r="A45" s="188"/>
      <c r="B45" s="188"/>
      <c r="C45" s="273"/>
      <c r="D45" s="273"/>
      <c r="E45" s="273"/>
      <c r="F45" s="273"/>
      <c r="G45" s="190"/>
      <c r="H45" s="190"/>
      <c r="I45" s="191"/>
      <c r="L45" s="302" t="str">
        <f>IF(SUM($P$24:$P$34), "#E", "")</f>
        <v/>
      </c>
      <c r="M45" s="290" t="str">
        <f>IF('2499-004'!$L45="#E", O20,"")</f>
        <v/>
      </c>
      <c r="N45" s="289"/>
      <c r="O45" s="290" t="str">
        <f>IF('2499-004'!$L45="#E", Sheet_PO,"")</f>
        <v/>
      </c>
      <c r="P45" s="291" t="str">
        <f>IF('2499-004'!$L45="#E", P21,"")</f>
        <v/>
      </c>
      <c r="Q45" s="290" t="str">
        <f>IF('2499-004'!$L45="#E", P22,"")</f>
        <v/>
      </c>
      <c r="R45" s="292" t="str">
        <f>IF('2499-004'!$L45="#E", P36,"")</f>
        <v/>
      </c>
      <c r="S45" s="290" t="str">
        <f>IF('2499-004'!$L45="#E",
      INDEX('Line No'!$B$1:$B$342, MATCH('2499-004'!$M45, 'Line No'!$A$1:$A$342, 0)),
      "")</f>
        <v/>
      </c>
    </row>
    <row r="46" spans="1:19" ht="16" customHeight="1">
      <c r="A46" s="188"/>
      <c r="B46" s="188"/>
      <c r="C46" s="188"/>
      <c r="D46" s="188"/>
      <c r="E46" s="188"/>
      <c r="F46" s="188"/>
      <c r="G46" s="188"/>
      <c r="H46" s="188"/>
      <c r="I46" s="188"/>
      <c r="L46" s="303" t="str">
        <f>IF(SUM($Q$24:$Q$34), "#F", "")</f>
        <v/>
      </c>
      <c r="M46" s="293" t="str">
        <f>IF('2499-004'!$L46="#F", P20,"")</f>
        <v/>
      </c>
      <c r="N46" s="293"/>
      <c r="O46" s="293" t="str">
        <f>IF('2499-004'!$L46="#F", Sheet_PO,"")</f>
        <v/>
      </c>
      <c r="P46" s="294" t="str">
        <f>IF('2499-004'!$L46="#F", Q21,"")</f>
        <v/>
      </c>
      <c r="Q46" s="293" t="str">
        <f>IF('2499-004'!$L46="#F", Q22,"")</f>
        <v/>
      </c>
      <c r="R46" s="295" t="str">
        <f>IF('2499-004'!$L46="#F", Q36,"")</f>
        <v/>
      </c>
      <c r="S46" s="293" t="str">
        <f>IF('2499-004'!$L46="#F",
      INDEX('Line No'!$B$1:$B$342, MATCH('2499-004'!$M46, 'Line No'!$A$1:$A$342, 0)),
      "")</f>
        <v/>
      </c>
    </row>
    <row r="47" spans="1:19" ht="16" customHeight="1">
      <c r="A47" s="188"/>
      <c r="B47" s="272"/>
      <c r="C47" s="272"/>
      <c r="D47" s="272"/>
      <c r="E47" s="272"/>
      <c r="F47" s="272"/>
      <c r="G47" s="272"/>
      <c r="H47" s="272"/>
      <c r="I47" s="272"/>
      <c r="L47" s="302" t="str">
        <f>IF(SUM($R$24:$R$34), "#G", "")</f>
        <v/>
      </c>
      <c r="M47" s="290" t="str">
        <f>IF('2499-004'!$L47="#G", Q20,"")</f>
        <v/>
      </c>
      <c r="N47" s="289"/>
      <c r="O47" s="290" t="str">
        <f>IF('2499-004'!$L47="#G", Sheet_PO,"")</f>
        <v/>
      </c>
      <c r="P47" s="296" t="str">
        <f>IF('2499-004'!$L47="#G", R21,"")</f>
        <v/>
      </c>
      <c r="Q47" s="297" t="str">
        <f>IF('2499-004'!$L47="#G", R22,"")</f>
        <v/>
      </c>
      <c r="R47" s="292" t="str">
        <f>IF('2499-004'!$L47="#G", R36,"")</f>
        <v/>
      </c>
      <c r="S47" s="290" t="str">
        <f>IF('2499-004'!$L47="#G",
      INDEX('Line No'!$B$1:$B$342, MATCH('2499-004'!$M47, 'Line No'!$A$1:$A$342, 0)),
      "")</f>
        <v/>
      </c>
    </row>
    <row r="48" spans="1:19" ht="16" customHeight="1">
      <c r="L48" s="303" t="str">
        <f>IF(SUM($S$24:$S$34), "#H", "")</f>
        <v/>
      </c>
      <c r="M48" s="293" t="str">
        <f>IF('2499-004'!$L48="#H", R20,"")</f>
        <v/>
      </c>
      <c r="N48" s="293"/>
      <c r="O48" s="293" t="str">
        <f>IF('2499-004'!$L48="#H", Sheet_PO,"")</f>
        <v/>
      </c>
      <c r="P48" s="298" t="str">
        <f>IF('2499-004'!$L48="#H", T21,"")</f>
        <v/>
      </c>
      <c r="Q48" s="299" t="str">
        <f>IF('2499-004'!$L48="#H", T22,"")</f>
        <v/>
      </c>
      <c r="R48" s="295" t="str">
        <f>IF('2499-004'!$L48="#H", T36,"")</f>
        <v/>
      </c>
      <c r="S48" s="293" t="str">
        <f>IF('2499-004'!$L48="#H",
      INDEX('Line No'!$B$1:$B$342, MATCH('2499-004'!$M48, 'Line No'!$A$1:$A$342, 0)),
      "")</f>
        <v/>
      </c>
    </row>
    <row r="49" spans="11:21" ht="16" customHeight="1">
      <c r="K49" s="1" cm="1">
        <f t="array" ref="K49">SUMPRODUCT(--(L41:L49&lt;&gt;""))</f>
        <v>4</v>
      </c>
      <c r="L49" s="302" t="str">
        <f>IF(SUM($T$24:$T$34), "#OTHER", "")</f>
        <v/>
      </c>
      <c r="M49" s="290" t="str">
        <f>IF('2499-004'!$L49="#I", T20,"")</f>
        <v/>
      </c>
      <c r="N49" s="289"/>
      <c r="O49" s="290" t="str">
        <f>IF('2499-004'!$L49="#I", Sheet_PO,"")</f>
        <v/>
      </c>
      <c r="P49" s="296" t="str">
        <f>IF('2499-004'!$L49="#I", U21,"")</f>
        <v/>
      </c>
      <c r="Q49" s="297" t="str">
        <f>IF('2499-004'!$L49="#I", U22,"")</f>
        <v/>
      </c>
      <c r="R49" s="292" t="str">
        <f>IF('2499-004'!$L49="#I", U36,"")</f>
        <v/>
      </c>
      <c r="S49" s="290" t="str">
        <f>IF('2499-004'!$L49="#I",
      INDEX('Line No'!$B$1:$B$342, MATCH('2499-004'!$M49,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S41:S49">
    <cfRule type="containsText" dxfId="16"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CD5C6-8CE9-7344-B3B1-87451F9C1CBF}">
  <sheetPr codeName="Sheet11">
    <pageSetUpPr fitToPage="1"/>
  </sheetPr>
  <dimension ref="A1:AK52"/>
  <sheetViews>
    <sheetView topLeftCell="A25" workbookViewId="0">
      <selection activeCell="K49" sqref="K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140"/>
      <c r="B1" s="274" t="s">
        <v>261</v>
      </c>
      <c r="C1" s="274"/>
      <c r="D1" s="274"/>
      <c r="E1" s="274"/>
      <c r="G1" s="192"/>
      <c r="H1" s="192"/>
      <c r="I1" s="193"/>
      <c r="X1" s="250" t="s">
        <v>324</v>
      </c>
    </row>
    <row r="2" spans="1:37" ht="12.75" customHeight="1">
      <c r="A2" s="141"/>
      <c r="B2" s="194"/>
      <c r="C2" s="142"/>
      <c r="D2" s="143"/>
      <c r="E2" s="143"/>
      <c r="F2" s="143"/>
      <c r="G2" s="143"/>
      <c r="H2" s="144"/>
      <c r="I2" s="195"/>
      <c r="S2" s="250" t="s">
        <v>326</v>
      </c>
      <c r="X2" s="251" t="s">
        <v>325</v>
      </c>
      <c r="Y2" s="251"/>
      <c r="Z2" s="251"/>
      <c r="AA2" s="251"/>
    </row>
    <row r="3" spans="1:37" ht="22">
      <c r="A3" s="141"/>
      <c r="B3" s="196" t="s">
        <v>14</v>
      </c>
      <c r="C3" s="145"/>
      <c r="D3" s="146"/>
      <c r="E3" s="146"/>
      <c r="F3" s="147" t="s">
        <v>13</v>
      </c>
      <c r="G3" s="108" t="s">
        <v>306</v>
      </c>
      <c r="H3" s="108"/>
      <c r="I3" s="197"/>
      <c r="J3" s="107"/>
      <c r="K3" s="107"/>
      <c r="L3" s="107"/>
      <c r="M3" s="243" t="s">
        <v>311</v>
      </c>
      <c r="N3" s="245" t="s">
        <v>312</v>
      </c>
      <c r="O3" s="245" t="s">
        <v>313</v>
      </c>
      <c r="P3" s="245" t="s">
        <v>314</v>
      </c>
      <c r="S3" s="243" t="s">
        <v>322</v>
      </c>
      <c r="AB3" s="1" t="s">
        <v>328</v>
      </c>
    </row>
    <row r="4" spans="1:37" s="3" customFormat="1" ht="29" customHeight="1">
      <c r="A4" s="148"/>
      <c r="B4" s="198"/>
      <c r="C4" s="149"/>
      <c r="D4" s="149"/>
      <c r="E4" s="149"/>
      <c r="F4" s="149"/>
      <c r="G4" s="149"/>
      <c r="H4" s="150"/>
      <c r="I4" s="199"/>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8" cm="1">
        <f t="array" ref="S4:U9">IFERROR(
    INDEX(
        _xlfn._xlws.FILTER(
            _xlfn.UNIQUE(_xlfn.HSTACK(LineEntry, DateEntry, PayIDEntry)),
            _xlfn.BYROW(_xlfn.UNIQUE(_xlfn.HSTACK(LineEntry, DateEntry, PayIDEntry)), _xlfn.LAMBDA(_xlpm.row, SUM(_xlpm.row)&lt;&gt;0))
        ),
        _xlfn.SEQUENCE(6,1),
        {1,2,3}
    ),
    ""
)</f>
        <v>204</v>
      </c>
      <c r="T4" s="256">
        <v>45849</v>
      </c>
      <c r="U4" s="248" t="str">
        <v>CC 2456</v>
      </c>
      <c r="AB4" s="283" t="s">
        <v>339</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51"/>
      <c r="B5" s="200" t="s">
        <v>262</v>
      </c>
      <c r="C5" s="136"/>
      <c r="D5" s="137"/>
      <c r="E5" s="152"/>
      <c r="F5" s="152"/>
      <c r="G5" s="152"/>
      <c r="H5" s="152"/>
      <c r="I5" s="201"/>
      <c r="M5" s="4">
        <v>205</v>
      </c>
      <c r="O5" s="4" t="str">
        <v/>
      </c>
      <c r="P5" s="4" t="str" cm="1">
        <f t="array" ref="P5">IF(O5="","",IFERROR(INDEX(Description, MATCH(O5, Line, 0)), "Not Found"))</f>
        <v/>
      </c>
      <c r="S5" s="249">
        <v>205</v>
      </c>
      <c r="T5" s="257">
        <v>45849</v>
      </c>
      <c r="U5" s="24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51"/>
      <c r="B6" s="202"/>
      <c r="C6" s="138"/>
      <c r="D6" s="139"/>
      <c r="E6" s="152"/>
      <c r="F6" s="152"/>
      <c r="G6" s="152"/>
      <c r="H6" s="152"/>
      <c r="I6" s="203"/>
      <c r="M6" s="4">
        <v>112</v>
      </c>
      <c r="O6" s="4" t="str">
        <v>CASH</v>
      </c>
      <c r="P6" s="4" t="str" cm="1">
        <f t="array" ref="P6">IF(O6="","",IFERROR(INDEX(Description, MATCH(O6, Line, 0)), "Not Found"))</f>
        <v>Not Found</v>
      </c>
      <c r="S6" s="249">
        <v>112</v>
      </c>
      <c r="T6" s="257">
        <v>45848</v>
      </c>
      <c r="U6" s="249" t="str">
        <v>CHK 101</v>
      </c>
      <c r="AF6" s="4" t="str">
        <v>CC 2456</v>
      </c>
      <c r="AG6" s="4" t="str">
        <v>CC 2456</v>
      </c>
      <c r="AH6" s="4" t="str">
        <v>CHK 101</v>
      </c>
      <c r="AI6" s="4" t="str">
        <v>CASH</v>
      </c>
      <c r="AJ6" s="4" t="str">
        <v/>
      </c>
      <c r="AK6" s="4" t="str">
        <v/>
      </c>
    </row>
    <row r="7" spans="1:37" s="4" customFormat="1" ht="16">
      <c r="A7" s="151"/>
      <c r="B7" s="204"/>
      <c r="C7" s="153"/>
      <c r="D7" s="154"/>
      <c r="E7" s="154"/>
      <c r="F7" s="155"/>
      <c r="G7" s="155"/>
      <c r="H7" s="155"/>
      <c r="I7" s="205"/>
      <c r="M7" s="4">
        <v>1</v>
      </c>
      <c r="P7" s="4" t="str" cm="1">
        <f t="array" ref="P7">IF(O7="","",IFERROR(INDEX(Description, MATCH(O7, Line, 0)), "Not Found"))</f>
        <v/>
      </c>
      <c r="S7" s="249">
        <v>1</v>
      </c>
      <c r="T7" s="257">
        <v>45849</v>
      </c>
      <c r="U7" s="249" t="str">
        <v>CASH</v>
      </c>
    </row>
    <row r="8" spans="1:37" s="4" customFormat="1" ht="16">
      <c r="A8" s="151"/>
      <c r="B8" s="206"/>
      <c r="C8" s="156"/>
      <c r="D8" s="157"/>
      <c r="E8" s="157"/>
      <c r="F8" s="155"/>
      <c r="G8" s="155"/>
      <c r="H8" s="155"/>
      <c r="I8" s="205"/>
      <c r="M8" s="4" t="str">
        <v/>
      </c>
      <c r="P8" s="4" t="str" cm="1">
        <f t="array" ref="P8">IF(O8="","",IFERROR(INDEX(Description, MATCH(O8, Line, 0)), "Not Found"))</f>
        <v/>
      </c>
      <c r="S8" s="249" t="str">
        <v/>
      </c>
      <c r="T8" s="257" t="str">
        <v/>
      </c>
      <c r="U8" s="249" t="str">
        <v/>
      </c>
    </row>
    <row r="9" spans="1:37" s="4" customFormat="1" ht="16">
      <c r="A9" s="151"/>
      <c r="B9" s="207" t="s">
        <v>12</v>
      </c>
      <c r="C9" s="102" t="str">
        <f>IFERROR(
    IF(ISNUMBER(MATCH(Sheet_PO, PO_LOG[[#All],[PO]], 0)),
       IF(INDEX(PO_LOG[DATE], MATCH(Sheet_PO, PO_LOG[[#All],[PO]], 0)) = "", "",
          INDEX(PO_LOG[DATE], MATCH(Sheet_PO, PO_LOG[[#All],[PO]], 0))),
       ""),
    "No match found")</f>
        <v/>
      </c>
      <c r="D9" s="102"/>
      <c r="E9" s="158" t="s">
        <v>11</v>
      </c>
      <c r="F9" s="103" t="str">
        <f>IF(TRIM(Job_Number)="", "", Job_Number)</f>
        <v/>
      </c>
      <c r="G9" s="103"/>
      <c r="H9" s="103"/>
      <c r="I9" s="208"/>
      <c r="M9" s="4" t="str">
        <v/>
      </c>
      <c r="P9" s="4" t="str" cm="1">
        <f t="array" ref="P9">IF(O9="","",IFERROR(INDEX(Description, MATCH(O9, Line, 0)), "Not Found"))</f>
        <v/>
      </c>
      <c r="S9" s="249" t="str">
        <v/>
      </c>
      <c r="T9" s="257" t="str">
        <v/>
      </c>
      <c r="U9" s="249" t="str">
        <v/>
      </c>
      <c r="W9" s="4" t="b" cm="1">
        <f t="array" ref="W9:Y13">_xlfn.UNIQUE(_xlfn.HSTACK(LineEntry,DateEntry,PayIDEntry))&lt;&gt;0</f>
        <v>1</v>
      </c>
      <c r="X9" s="4" t="b">
        <v>1</v>
      </c>
      <c r="Y9" s="4" t="b">
        <v>1</v>
      </c>
    </row>
    <row r="10" spans="1:37" s="4" customFormat="1" ht="14" customHeight="1">
      <c r="A10" s="151"/>
      <c r="B10" s="207" t="s">
        <v>10</v>
      </c>
      <c r="C10" s="104" t="s">
        <v>336</v>
      </c>
      <c r="D10" s="104"/>
      <c r="E10" s="158" t="s">
        <v>9</v>
      </c>
      <c r="F10" s="105" t="str">
        <f>IF(TRIM(Job_Name)="", "", Job_Name)</f>
        <v/>
      </c>
      <c r="G10" s="105"/>
      <c r="H10" s="105"/>
      <c r="I10" s="209"/>
      <c r="L10" s="3"/>
      <c r="P10" s="4" t="str" cm="1">
        <f t="array" ref="P10">IF(O10="","",IFERROR(INDEX(Description, MATCH(O10, Line, 0)), "Not Found"))</f>
        <v/>
      </c>
      <c r="W10" s="4" t="b">
        <v>1</v>
      </c>
      <c r="X10" s="4" t="b">
        <v>1</v>
      </c>
      <c r="Y10" s="4" t="b">
        <v>1</v>
      </c>
    </row>
    <row r="11" spans="1:37" s="4" customFormat="1" ht="17">
      <c r="A11" s="151"/>
      <c r="B11" s="210"/>
      <c r="C11" s="104"/>
      <c r="D11" s="104"/>
      <c r="E11" s="159"/>
      <c r="F11" s="160"/>
      <c r="G11" s="160"/>
      <c r="H11" s="160"/>
      <c r="I11" s="211"/>
      <c r="P11" s="4" t="str" cm="1">
        <f t="array" ref="P11">IF(O11="","",IFERROR(INDEX(Description, MATCH(O11, Line, 0)), "Not Found"))</f>
        <v/>
      </c>
      <c r="S11" s="247" t="b" cm="1">
        <f t="array" ref="S11:U15">_xlfn.UNIQUE(_xlfn.HSTACK(LineEntry, DateEntry, PayIDEntry))&lt;&gt;0</f>
        <v>1</v>
      </c>
      <c r="T11" s="4" t="b">
        <v>1</v>
      </c>
      <c r="U11" s="4" t="b">
        <v>1</v>
      </c>
      <c r="W11" s="4" t="b">
        <v>1</v>
      </c>
      <c r="X11" s="4" t="b">
        <v>1</v>
      </c>
      <c r="Y11" s="4" t="b">
        <v>1</v>
      </c>
    </row>
    <row r="12" spans="1:37" s="4" customFormat="1" ht="22" customHeight="1">
      <c r="A12" s="151"/>
      <c r="B12" s="207" t="s">
        <v>8</v>
      </c>
      <c r="C12" s="104"/>
      <c r="D12" s="104"/>
      <c r="E12" s="158" t="s">
        <v>7</v>
      </c>
      <c r="F12" s="7"/>
      <c r="G12" s="7"/>
      <c r="H12" s="7"/>
      <c r="I12" s="212"/>
      <c r="P12" s="4" t="str" cm="1">
        <f t="array" ref="P12">IF(O12="","",IFERROR(INDEX(Description, MATCH(O12, Line, 0)), "Not Found"))</f>
        <v/>
      </c>
      <c r="S12" s="4" t="b">
        <v>1</v>
      </c>
      <c r="T12" s="4" t="b">
        <v>1</v>
      </c>
      <c r="U12" s="4" t="b">
        <v>1</v>
      </c>
      <c r="W12" s="4" t="b">
        <v>1</v>
      </c>
      <c r="X12" s="4" t="b">
        <v>1</v>
      </c>
      <c r="Y12" s="4" t="b">
        <v>1</v>
      </c>
    </row>
    <row r="13" spans="1:37" s="4" customFormat="1" ht="16">
      <c r="A13" s="151"/>
      <c r="B13" s="213"/>
      <c r="C13" s="104"/>
      <c r="D13" s="104"/>
      <c r="F13" s="97"/>
      <c r="G13" s="98"/>
      <c r="H13" s="98"/>
      <c r="I13" s="214"/>
      <c r="P13" s="4" t="str" cm="1">
        <f t="array" ref="P13">IF(O13="","",IFERROR(INDEX(Description, MATCH(O13, Line, 0)), "Not Found"))</f>
        <v/>
      </c>
      <c r="S13" s="4" t="b">
        <v>1</v>
      </c>
      <c r="T13" s="4" t="b">
        <v>1</v>
      </c>
      <c r="U13" s="4" t="b">
        <v>1</v>
      </c>
      <c r="W13" s="4" t="b">
        <v>0</v>
      </c>
      <c r="X13" s="4" t="b">
        <v>0</v>
      </c>
      <c r="Y13" s="4" t="b">
        <v>0</v>
      </c>
    </row>
    <row r="14" spans="1:37" s="4" customFormat="1" ht="16">
      <c r="A14" s="151"/>
      <c r="B14" s="213"/>
      <c r="C14" s="106"/>
      <c r="D14" s="106"/>
      <c r="E14" s="158" t="s">
        <v>268</v>
      </c>
      <c r="F14" s="97"/>
      <c r="G14" s="98"/>
      <c r="H14" s="98"/>
      <c r="I14" s="214"/>
      <c r="S14" s="4" t="b">
        <v>1</v>
      </c>
      <c r="T14" s="4" t="b">
        <v>1</v>
      </c>
      <c r="U14" s="4" t="b">
        <v>1</v>
      </c>
    </row>
    <row r="15" spans="1:37" s="4" customFormat="1" ht="16">
      <c r="A15" s="151"/>
      <c r="B15" s="215"/>
      <c r="C15" s="161"/>
      <c r="D15" s="161"/>
      <c r="E15" s="160"/>
      <c r="F15" s="160"/>
      <c r="G15" s="160"/>
      <c r="H15" s="160"/>
      <c r="I15" s="211"/>
      <c r="S15" s="4" t="b">
        <v>0</v>
      </c>
      <c r="T15" s="4" t="b">
        <v>0</v>
      </c>
      <c r="U15" s="4" t="b">
        <v>0</v>
      </c>
    </row>
    <row r="16" spans="1:37" s="3" customFormat="1" ht="23" customHeight="1">
      <c r="A16" s="148"/>
      <c r="B16" s="216" t="s">
        <v>6</v>
      </c>
      <c r="C16" s="162"/>
      <c r="D16" s="162"/>
      <c r="E16" s="162"/>
      <c r="F16" s="162"/>
      <c r="G16" s="185"/>
      <c r="H16" s="89"/>
      <c r="I16" s="217"/>
    </row>
    <row r="17" spans="1:30" s="3" customFormat="1" ht="23" customHeight="1">
      <c r="A17" s="148"/>
      <c r="B17" s="216"/>
      <c r="C17" s="186"/>
      <c r="D17" s="186"/>
      <c r="E17" s="186"/>
      <c r="F17" s="186"/>
      <c r="G17" s="187"/>
      <c r="H17" s="89"/>
      <c r="I17" s="217"/>
      <c r="T17" s="247" t="s">
        <v>323</v>
      </c>
    </row>
    <row r="18" spans="1:30" s="3" customFormat="1" ht="23" customHeight="1">
      <c r="A18" s="148"/>
      <c r="B18" s="216"/>
      <c r="C18" s="99"/>
      <c r="D18" s="99"/>
      <c r="E18" s="99"/>
      <c r="F18" s="99"/>
      <c r="G18" s="99"/>
      <c r="H18" s="99"/>
      <c r="I18" s="218"/>
    </row>
    <row r="19" spans="1:30" s="3" customFormat="1" ht="13" customHeight="1" thickBot="1">
      <c r="A19" s="148"/>
      <c r="B19" s="216"/>
      <c r="C19" s="99"/>
      <c r="D19" s="99"/>
      <c r="E19" s="99"/>
      <c r="F19" s="99"/>
      <c r="G19" s="99"/>
      <c r="H19" s="99"/>
      <c r="I19" s="218"/>
      <c r="T19" s="275" t="s">
        <v>337</v>
      </c>
      <c r="U19" s="275"/>
      <c r="V19" s="275"/>
      <c r="W19" s="275"/>
      <c r="X19" s="275"/>
      <c r="Y19" s="275"/>
      <c r="Z19" s="4" t="s">
        <v>338</v>
      </c>
    </row>
    <row r="20" spans="1:30" s="3" customFormat="1" ht="34" customHeight="1">
      <c r="A20" s="148"/>
      <c r="B20" s="216"/>
      <c r="C20" s="163"/>
      <c r="D20" s="163"/>
      <c r="E20" s="163"/>
      <c r="F20" s="163"/>
      <c r="G20" s="163"/>
      <c r="H20" s="163"/>
      <c r="I20" s="219"/>
      <c r="K20" s="267" t="s">
        <v>332</v>
      </c>
      <c r="L20" s="264" cm="1">
        <f t="array" ref="L20:Q22">IFERROR(
    _xlfn.WRAPCOLS(
        _xlfn.TOCOL(
            INDEX(
                _xlfn._xlws.FILTER(
                    _xlfn.UNIQUE(_xlfn.HSTACK(LineEntry, DateEntry, PayIDEntry)),
                    _xlfn.BYROW(_xlfn.UNIQUE(_xlfn.HSTACK(LineEntry, DateEntry, PayIDEntry)), _xlfn.LAMBDA(_xlpm.row, SUM(_xlpm.row)&lt;&gt;0))
                ),
                _xlfn.SEQUENCE(6,1),
                {1,2,3}
            )
        ),
        3
    ),
    ""
)</f>
        <v>204</v>
      </c>
      <c r="M20" s="264">
        <v>205</v>
      </c>
      <c r="N20" s="264">
        <v>112</v>
      </c>
      <c r="O20" s="264">
        <v>1</v>
      </c>
      <c r="P20" s="264" t="str">
        <v/>
      </c>
      <c r="Q20" s="264" t="str">
        <v/>
      </c>
      <c r="T20" s="279" cm="1">
        <f t="array" ref="T20:Y22">IFERROR(
    _xlfn.WRAPCOLS(
        _xlfn.TOCOL(
            INDEX(
                _xlfn._xlws.FILTER(
                    _xlfn.UNIQUE(_xlfn.HSTACK(LineEntry, DateEntry, PayIDEntry)),
                    _xlfn.BYROW(_xlfn.UNIQUE(_xlfn.HSTACK(LineEntry, DateEntry, PayIDEntry)), _xlfn.LAMBDA(_xlpm.row, SUM(_xlpm.row)&lt;&gt;0))
                ),
                _xlfn.SEQUENCE(6,1),
                {1,2,3}
            )
        ),
        3
    ),
    ""
)</f>
        <v>204</v>
      </c>
      <c r="U20" s="280">
        <v>205</v>
      </c>
      <c r="V20" s="280">
        <v>112</v>
      </c>
      <c r="W20" s="280">
        <v>1</v>
      </c>
      <c r="X20" s="280" t="str">
        <v/>
      </c>
      <c r="Y20" s="281"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8"/>
      <c r="B21" s="216"/>
      <c r="C21" s="163"/>
      <c r="D21" s="163"/>
      <c r="E21" s="163"/>
      <c r="F21" s="163"/>
      <c r="G21" s="163"/>
      <c r="H21" s="163"/>
      <c r="I21" s="219"/>
      <c r="K21" s="267" t="s">
        <v>333</v>
      </c>
      <c r="L21" s="265">
        <v>45849</v>
      </c>
      <c r="M21" s="265">
        <v>45849</v>
      </c>
      <c r="N21" s="265">
        <v>45848</v>
      </c>
      <c r="O21" s="265">
        <v>45849</v>
      </c>
      <c r="P21" s="265" t="str">
        <v/>
      </c>
      <c r="Q21" s="265" t="str">
        <v/>
      </c>
      <c r="T21" s="148">
        <v>45849</v>
      </c>
      <c r="U21" s="167">
        <v>45849</v>
      </c>
      <c r="V21" s="167">
        <v>45848</v>
      </c>
      <c r="W21" s="167">
        <v>45849</v>
      </c>
      <c r="X21" s="167" t="str">
        <v/>
      </c>
      <c r="Y21" s="282" t="str">
        <v/>
      </c>
    </row>
    <row r="22" spans="1:30" ht="30" customHeight="1" thickBot="1">
      <c r="A22" s="141"/>
      <c r="B22" s="220"/>
      <c r="C22" s="164"/>
      <c r="D22" s="165"/>
      <c r="E22" s="165"/>
      <c r="F22" s="165"/>
      <c r="G22" s="165"/>
      <c r="H22" s="165"/>
      <c r="I22" s="221"/>
      <c r="K22" s="267" t="s">
        <v>334</v>
      </c>
      <c r="L22" s="266" t="str">
        <v>CC 2456</v>
      </c>
      <c r="M22" s="266" t="str">
        <v>CC 2456</v>
      </c>
      <c r="N22" s="266" t="str">
        <v>CHK 101</v>
      </c>
      <c r="O22" s="266" t="str">
        <v>CASH</v>
      </c>
      <c r="P22" s="266" t="str">
        <v/>
      </c>
      <c r="Q22" s="266" t="str">
        <v/>
      </c>
      <c r="T22" s="173" t="str">
        <v>CC 2456</v>
      </c>
      <c r="U22" s="174" t="str">
        <v>CC 2456</v>
      </c>
      <c r="V22" s="174" t="str">
        <v>CHK 101</v>
      </c>
      <c r="W22" s="174" t="str">
        <v>CASH</v>
      </c>
      <c r="X22" s="174" t="str">
        <v/>
      </c>
      <c r="Y22" s="175" t="str">
        <v/>
      </c>
    </row>
    <row r="23" spans="1:30" s="4" customFormat="1" ht="16" customHeight="1" thickBot="1">
      <c r="A23" s="151"/>
      <c r="B23" s="222" t="s">
        <v>4</v>
      </c>
      <c r="C23" s="176" t="s">
        <v>3</v>
      </c>
      <c r="D23" s="177"/>
      <c r="E23" s="178" t="s">
        <v>12</v>
      </c>
      <c r="F23" s="178" t="s">
        <v>18</v>
      </c>
      <c r="G23" s="178" t="s">
        <v>2</v>
      </c>
      <c r="H23" s="178" t="s">
        <v>1</v>
      </c>
      <c r="I23" s="223" t="s">
        <v>0</v>
      </c>
      <c r="L23" s="246" t="s">
        <v>317</v>
      </c>
      <c r="M23" s="246" t="s">
        <v>329</v>
      </c>
      <c r="N23" s="246" t="s">
        <v>318</v>
      </c>
      <c r="O23" s="246" t="s">
        <v>319</v>
      </c>
      <c r="P23" s="246" t="s">
        <v>320</v>
      </c>
      <c r="Q23" s="246" t="s">
        <v>130</v>
      </c>
    </row>
    <row r="24" spans="1:30" s="4" customFormat="1" ht="16" customHeight="1">
      <c r="A24" s="151"/>
      <c r="B24" s="252">
        <v>204</v>
      </c>
      <c r="C24" s="100" t="s">
        <v>315</v>
      </c>
      <c r="D24" s="101"/>
      <c r="E24" s="244">
        <v>45849</v>
      </c>
      <c r="F24" s="254" t="s">
        <v>316</v>
      </c>
      <c r="G24" s="6">
        <v>1</v>
      </c>
      <c r="H24" s="5">
        <v>100</v>
      </c>
      <c r="I24" s="224">
        <f>G24*H24</f>
        <v>100</v>
      </c>
      <c r="L24" s="263">
        <f>IF($B24="", "", IF(AND($I24, $B24=L$20, $E24=L$21, $F24=L$22, SUM($I$24)&gt;0), $I24, ""))</f>
        <v>100</v>
      </c>
      <c r="M24" s="263" t="str">
        <f t="shared" ref="M24:Q24" si="0">IF($B24="", "", IF(AND($I24, $B24=M$20, $E24=M$21, $F24=M$22, SUM($I$24)&gt;0), $I24, ""))</f>
        <v/>
      </c>
      <c r="N24" s="263" t="str">
        <f t="shared" si="0"/>
        <v/>
      </c>
      <c r="O24" s="263" t="str">
        <f>IF($B24="", "", IF(AND($I24, $B24=O$20, $E24=O$21, $F24=O$22, SUM($I$24)&gt;0), $I24, ""))</f>
        <v/>
      </c>
      <c r="P24" s="263" t="str">
        <f t="shared" si="0"/>
        <v/>
      </c>
      <c r="Q24" s="263" t="str">
        <f t="shared" si="0"/>
        <v/>
      </c>
    </row>
    <row r="25" spans="1:30" s="4" customFormat="1" ht="16" customHeight="1">
      <c r="A25" s="151"/>
      <c r="B25" s="252">
        <v>205</v>
      </c>
      <c r="C25" s="100"/>
      <c r="D25" s="101"/>
      <c r="E25" s="244">
        <v>45849</v>
      </c>
      <c r="F25" s="254" t="s">
        <v>316</v>
      </c>
      <c r="G25" s="6">
        <v>1</v>
      </c>
      <c r="H25" s="5">
        <v>50</v>
      </c>
      <c r="I25" s="224">
        <f t="shared" ref="I25:I26" si="1">G25*H25</f>
        <v>50</v>
      </c>
      <c r="L25" s="263" t="str">
        <f t="shared" ref="L25:Q26" si="2">IF($B25="", "", IF(AND($I25, $B25=L$20, $E25=L$21, $F25=L$22, SUM($I$24)&gt;0), $I25, ""))</f>
        <v/>
      </c>
      <c r="M25" s="263">
        <f t="shared" si="2"/>
        <v>50</v>
      </c>
      <c r="N25" s="263" t="str">
        <f t="shared" si="2"/>
        <v/>
      </c>
      <c r="O25" s="263" t="str">
        <f t="shared" si="2"/>
        <v/>
      </c>
      <c r="P25" s="263" t="str">
        <f t="shared" si="2"/>
        <v/>
      </c>
      <c r="Q25" s="263" t="str">
        <f t="shared" si="2"/>
        <v/>
      </c>
    </row>
    <row r="26" spans="1:30" s="4" customFormat="1" ht="16" customHeight="1">
      <c r="A26" s="151"/>
      <c r="B26" s="252">
        <v>112</v>
      </c>
      <c r="C26" s="100" t="s">
        <v>330</v>
      </c>
      <c r="D26" s="101"/>
      <c r="E26" s="244">
        <v>45848</v>
      </c>
      <c r="F26" s="254" t="s">
        <v>331</v>
      </c>
      <c r="G26" s="6">
        <v>1</v>
      </c>
      <c r="H26" s="5">
        <v>1000</v>
      </c>
      <c r="I26" s="224">
        <f t="shared" si="1"/>
        <v>1000</v>
      </c>
      <c r="L26" s="263" t="str">
        <f t="shared" si="2"/>
        <v/>
      </c>
      <c r="M26" s="263" t="str">
        <f t="shared" si="2"/>
        <v/>
      </c>
      <c r="N26" s="263">
        <f t="shared" si="2"/>
        <v>1000</v>
      </c>
      <c r="O26" s="263" t="str">
        <f t="shared" si="2"/>
        <v/>
      </c>
      <c r="P26" s="263" t="str">
        <f t="shared" si="2"/>
        <v/>
      </c>
      <c r="Q26" s="263" t="str">
        <f t="shared" si="2"/>
        <v/>
      </c>
    </row>
    <row r="27" spans="1:30" s="4" customFormat="1" ht="16">
      <c r="A27" s="151"/>
      <c r="B27" s="252">
        <v>204</v>
      </c>
      <c r="C27" s="100" t="s">
        <v>315</v>
      </c>
      <c r="D27" s="101"/>
      <c r="E27" s="244">
        <v>45849</v>
      </c>
      <c r="F27" s="254" t="s">
        <v>316</v>
      </c>
      <c r="G27" s="6">
        <v>1</v>
      </c>
      <c r="H27" s="5">
        <v>100</v>
      </c>
      <c r="I27" s="224">
        <f>G27*H27</f>
        <v>100</v>
      </c>
      <c r="L27" s="263">
        <f>IF($B27="", "", IF(AND($I27, $B27=L$20, $E27=L$21, $F27=L$22, SUM($I$24)&gt;0), $I27, ""))</f>
        <v>100</v>
      </c>
      <c r="M27" s="263" t="str">
        <f>IF($B27="", "", IF(AND($I27, $B27=M$20, $E27=M$21, $F27=M$22, SUM($I$24)&gt;0), $I27, ""))</f>
        <v/>
      </c>
      <c r="N27" s="263" t="str">
        <f>IF($B27="", "", IF(AND($I27, $B27=N$20, $E27=N$21, $F27=N$22, SUM($I$24)&gt;0), $I27, ""))</f>
        <v/>
      </c>
      <c r="O27" s="263" t="str">
        <f>IF($B27="", "", IF(AND($I27, $B27=O$20, $E27=O$21, $F27=O$22, SUM($I$24)&gt;0), $I27, ""))</f>
        <v/>
      </c>
      <c r="P27" s="263" t="str">
        <f>IF($B27="", "", IF(AND($I27, $B27=P$20, $E27=P$21, $F27=P$22, SUM($I$24)&gt;0), $I27, ""))</f>
        <v/>
      </c>
      <c r="Q27" s="263" t="str">
        <f>IF($B27="", "", IF(AND($I27, $B27=Q$20, $E27=Q$21, $F27=Q$22, SUM($I$24)&gt;0), $I27, ""))</f>
        <v/>
      </c>
    </row>
    <row r="28" spans="1:30" s="4" customFormat="1" ht="16" customHeight="1">
      <c r="A28" s="151"/>
      <c r="B28" s="252">
        <v>1</v>
      </c>
      <c r="C28" s="100" t="s">
        <v>340</v>
      </c>
      <c r="D28" s="101"/>
      <c r="E28" s="244">
        <v>45849</v>
      </c>
      <c r="F28" s="254" t="s">
        <v>5</v>
      </c>
      <c r="G28" s="6">
        <v>1</v>
      </c>
      <c r="H28" s="5">
        <v>1000</v>
      </c>
      <c r="I28" s="224">
        <f>G28*H28</f>
        <v>1000</v>
      </c>
      <c r="L28" s="263" t="str">
        <f>IF($B28="", "", IF(AND($I28, $B28=L$20, $E28=L$21, $F28=L$22, SUM($I$24)&gt;0), $I28, ""))</f>
        <v/>
      </c>
      <c r="M28" s="263" t="str">
        <f>IF($B28="", "", IF(AND($I28, $B28=M$20, $E28=M$21, $F28=M$22, SUM($I$24)&gt;0), $I28, ""))</f>
        <v/>
      </c>
      <c r="N28" s="263" t="str">
        <f>IF($B28="", "", IF(AND($I28, $B28=N$20, $E28=N$21, $F28=N$22, SUM($I$24)&gt;0), $I28, ""))</f>
        <v/>
      </c>
      <c r="O28" s="263">
        <f>IF($B28="", "", IF(AND($I28, $B28=O$20, $E28=O$21, $F28=O$22, SUM($I$24)&gt;0), $I28, ""))</f>
        <v>1000</v>
      </c>
      <c r="P28" s="263" t="str">
        <f>IF($B28="", "", IF(AND($I28, $B28=P$20, $E28=P$21, $F28=P$22, SUM($I$24)&gt;0), $I28, ""))</f>
        <v/>
      </c>
      <c r="Q28" s="263" t="str">
        <f>IF($B28="", "", IF(AND($I28, $B28=Q$20, $E28=Q$21, $F28=Q$22, SUM($I$24)&gt;0), $I28, ""))</f>
        <v/>
      </c>
    </row>
    <row r="29" spans="1:30" s="4" customFormat="1" ht="16" customHeight="1">
      <c r="A29" s="151"/>
      <c r="B29" s="252">
        <v>204</v>
      </c>
      <c r="C29" s="100" t="s">
        <v>315</v>
      </c>
      <c r="D29" s="101"/>
      <c r="E29" s="244">
        <v>45849</v>
      </c>
      <c r="F29" s="254" t="s">
        <v>316</v>
      </c>
      <c r="G29" s="6">
        <v>1</v>
      </c>
      <c r="H29" s="5">
        <v>100</v>
      </c>
      <c r="I29" s="224">
        <f>G29*H29</f>
        <v>100</v>
      </c>
      <c r="L29" s="263">
        <f>IF($B29="", "", IF(AND($I29, $B29=L$20, $E29=L$21, $F29=L$22, SUM($I$24)&gt;0), $I29, ""))</f>
        <v>100</v>
      </c>
      <c r="M29" s="263" t="str">
        <f>IF($B29="", "", IF(AND($I29, $B29=M$20, $E29=M$21, $F29=M$22, SUM($I$24)&gt;0), $I29, ""))</f>
        <v/>
      </c>
      <c r="N29" s="263" t="str">
        <f>IF($B29="", "", IF(AND($I29, $B29=N$20, $E29=N$21, $F29=N$22, SUM($I$24)&gt;0), $I29, ""))</f>
        <v/>
      </c>
      <c r="O29" s="263" t="str">
        <f>IF($B29="", "", IF(AND($I29, $B29=O$20, $E29=O$21, $F29=O$22, SUM($I$24)&gt;0), $I29, ""))</f>
        <v/>
      </c>
      <c r="P29" s="263" t="str">
        <f>IF($B29="", "", IF(AND($I29, $B29=P$20, $E29=P$21, $F29=P$22, SUM($I$24)&gt;0), $I29, ""))</f>
        <v/>
      </c>
      <c r="Q29" s="263" t="str">
        <f>IF($B29="", "", IF(AND($I29, $B29=Q$20, $E29=Q$21, $F29=Q$22, SUM($I$24)&gt;0), $I29, ""))</f>
        <v/>
      </c>
    </row>
    <row r="30" spans="1:30" s="4" customFormat="1" ht="16" customHeight="1">
      <c r="A30" s="151"/>
      <c r="B30" s="252">
        <v>204</v>
      </c>
      <c r="C30" s="100" t="s">
        <v>315</v>
      </c>
      <c r="D30" s="101"/>
      <c r="E30" s="244">
        <v>45849</v>
      </c>
      <c r="F30" s="254" t="s">
        <v>316</v>
      </c>
      <c r="G30" s="6">
        <v>1</v>
      </c>
      <c r="H30" s="5">
        <v>100</v>
      </c>
      <c r="I30" s="224">
        <f>G30*H30</f>
        <v>100</v>
      </c>
      <c r="L30" s="263">
        <f>IF($B30="", "", IF(AND($I30, $B30=L$20, $E30=L$21, $F30=L$22, SUM($I$24)&gt;0), $I30, ""))</f>
        <v>100</v>
      </c>
      <c r="M30" s="263" t="str">
        <f>IF($B30="", "", IF(AND($I30, $B30=M$20, $E30=M$21, $F30=M$22, SUM($I$24)&gt;0), $I30, ""))</f>
        <v/>
      </c>
      <c r="N30" s="263" t="str">
        <f>IF($B30="", "", IF(AND($I30, $B30=N$20, $E30=N$21, $F30=N$22, SUM($I$24)&gt;0), $I30, ""))</f>
        <v/>
      </c>
      <c r="O30" s="263" t="str">
        <f>IF($B30="", "", IF(AND($I30, $B30=O$20, $E30=O$21, $F30=O$22, SUM($I$24)&gt;0), $I30, ""))</f>
        <v/>
      </c>
      <c r="P30" s="263" t="str">
        <f>IF($B30="", "", IF(AND($I30, $B30=P$20, $E30=P$21, $F30=P$22, SUM($I$24)&gt;0), $I30, ""))</f>
        <v/>
      </c>
      <c r="Q30" s="263" t="str">
        <f>IF($B30="", "", IF(AND($I30, $B30=Q$20, $E30=Q$21, $F30=Q$22, SUM($I$24)&gt;0), $I30, ""))</f>
        <v/>
      </c>
    </row>
    <row r="31" spans="1:30" s="4" customFormat="1" ht="16" customHeight="1">
      <c r="A31" s="151"/>
      <c r="B31" s="252">
        <v>204</v>
      </c>
      <c r="C31" s="100" t="s">
        <v>315</v>
      </c>
      <c r="D31" s="101"/>
      <c r="E31" s="244">
        <v>45849</v>
      </c>
      <c r="F31" s="254" t="s">
        <v>316</v>
      </c>
      <c r="G31" s="6">
        <v>1</v>
      </c>
      <c r="H31" s="5">
        <v>100</v>
      </c>
      <c r="I31" s="224">
        <f>G31*H31</f>
        <v>100</v>
      </c>
      <c r="L31" s="263">
        <f>IF($B31="", "", IF(AND($I31, $B31=L$20, $E31=L$21, $F31=L$22, SUM($I$24)&gt;0), $I31, ""))</f>
        <v>100</v>
      </c>
      <c r="M31" s="263" t="str">
        <f>IF($B31="", "", IF(AND($I31, $B31=M$20, $E31=M$21, $F31=M$22, SUM($I$24)&gt;0), $I31, ""))</f>
        <v/>
      </c>
      <c r="N31" s="263" t="str">
        <f>IF($B31="", "", IF(AND($I31, $B31=N$20, $E31=N$21, $F31=N$22, SUM($I$24)&gt;0), $I31, ""))</f>
        <v/>
      </c>
      <c r="O31" s="263" t="str">
        <f>IF($B31="", "", IF(AND($I31, $B31=O$20, $E31=O$21, $F31=O$22, SUM($I$24)&gt;0), $I31, ""))</f>
        <v/>
      </c>
      <c r="P31" s="263" t="str">
        <f>IF($B31="", "", IF(AND($I31, $B31=P$20, $E31=P$21, $F31=P$22, SUM($I$24)&gt;0), $I31, ""))</f>
        <v/>
      </c>
      <c r="Q31" s="263" t="str">
        <f>IF($B31="", "", IF(AND($I31, $B31=Q$20, $E31=Q$21, $F31=Q$22, SUM($I$24)&gt;0), $I31, ""))</f>
        <v/>
      </c>
    </row>
    <row r="32" spans="1:30" s="4" customFormat="1" ht="16" customHeight="1">
      <c r="A32" s="151"/>
      <c r="B32" s="252">
        <v>204</v>
      </c>
      <c r="C32" s="100" t="s">
        <v>315</v>
      </c>
      <c r="D32" s="101"/>
      <c r="E32" s="244">
        <v>45849</v>
      </c>
      <c r="F32" s="254" t="s">
        <v>316</v>
      </c>
      <c r="G32" s="6">
        <v>1</v>
      </c>
      <c r="H32" s="5">
        <v>100</v>
      </c>
      <c r="I32" s="224">
        <f>G32*H32</f>
        <v>100</v>
      </c>
      <c r="L32" s="263">
        <f>IF($B32="", "", IF(AND($I32, $B32=L$20, $E32=L$21, $F32=L$22, SUM($I$24)&gt;0), $I32, ""))</f>
        <v>100</v>
      </c>
      <c r="M32" s="263" t="str">
        <f>IF($B32="", "", IF(AND($I32, $B32=M$20, $E32=M$21, $F32=M$22, SUM($I$24)&gt;0), $I32, ""))</f>
        <v/>
      </c>
      <c r="N32" s="263" t="str">
        <f>IF($B32="", "", IF(AND($I32, $B32=N$20, $E32=N$21, $F32=N$22, SUM($I$24)&gt;0), $I32, ""))</f>
        <v/>
      </c>
      <c r="O32" s="263" t="str">
        <f>IF($B32="", "", IF(AND($I32, $B32=O$20, $E32=O$21, $F32=O$22, SUM($I$24)&gt;0), $I32, ""))</f>
        <v/>
      </c>
      <c r="P32" s="263" t="str">
        <f>IF($B32="", "", IF(AND($I32, $B32=P$20, $E32=P$21, $F32=P$22, SUM($I$24)&gt;0), $I32, ""))</f>
        <v/>
      </c>
      <c r="Q32" s="263" t="str">
        <f>IF($B32="", "", IF(AND($I32, $B32=Q$20, $E32=Q$21, $F32=Q$22, SUM($I$24)&gt;0), $I32, ""))</f>
        <v/>
      </c>
    </row>
    <row r="33" spans="1:19" s="4" customFormat="1" ht="16" customHeight="1">
      <c r="A33" s="151"/>
      <c r="B33" s="252">
        <v>204</v>
      </c>
      <c r="C33" s="100" t="s">
        <v>315</v>
      </c>
      <c r="D33" s="101"/>
      <c r="E33" s="244">
        <v>45849</v>
      </c>
      <c r="F33" s="254" t="s">
        <v>316</v>
      </c>
      <c r="G33" s="6">
        <v>1</v>
      </c>
      <c r="H33" s="5">
        <v>100</v>
      </c>
      <c r="I33" s="224">
        <f>G33*H33</f>
        <v>100</v>
      </c>
      <c r="L33" s="263">
        <f>IF($B33="", "", IF(AND($I33, $B33=L$20, $E33=L$21, $F33=L$22, SUM($I$24)&gt;0), $I33, ""))</f>
        <v>100</v>
      </c>
      <c r="M33" s="263" t="str">
        <f>IF($B33="", "", IF(AND($I33, $B33=M$20, $E33=M$21, $F33=M$22, SUM($I$24)&gt;0), $I33, ""))</f>
        <v/>
      </c>
      <c r="N33" s="263" t="str">
        <f>IF($B33="", "", IF(AND($I33, $B33=N$20, $E33=N$21, $F33=N$22, SUM($I$24)&gt;0), $I33, ""))</f>
        <v/>
      </c>
      <c r="O33" s="263" t="str">
        <f>IF($B33="", "", IF(AND($I33, $B33=O$20, $E33=O$21, $F33=O$22, SUM($I$24)&gt;0), $I33, ""))</f>
        <v/>
      </c>
      <c r="P33" s="263" t="str">
        <f>IF($B33="", "", IF(AND($I33, $B33=P$20, $E33=P$21, $F33=P$22, SUM($I$24)&gt;0), $I33, ""))</f>
        <v/>
      </c>
      <c r="Q33" s="263" t="str">
        <f>IF($B33="", "", IF(AND($I33, $B33=Q$20, $E33=Q$21, $F33=Q$22, SUM($I$24)&gt;0), $I33, ""))</f>
        <v/>
      </c>
    </row>
    <row r="34" spans="1:19" s="4" customFormat="1" ht="16" customHeight="1">
      <c r="A34" s="151"/>
      <c r="B34" s="252">
        <v>204</v>
      </c>
      <c r="C34" s="100" t="s">
        <v>315</v>
      </c>
      <c r="D34" s="101"/>
      <c r="E34" s="244">
        <v>45849</v>
      </c>
      <c r="F34" s="254" t="s">
        <v>316</v>
      </c>
      <c r="G34" s="6">
        <v>1</v>
      </c>
      <c r="H34" s="5">
        <v>100</v>
      </c>
      <c r="I34" s="224">
        <f>G34*H34</f>
        <v>100</v>
      </c>
      <c r="L34" s="263">
        <f>IF($B34="", "", IF(AND($I34, $B34=L$20, $E34=L$21, $F34=L$22, SUM($I$24)&gt;0), $I34, ""))</f>
        <v>100</v>
      </c>
      <c r="M34" s="263" t="str">
        <f>IF($B34="", "", IF(AND($I34, $B34=M$20, $E34=M$21, $F34=M$22, SUM($I$24)&gt;0), $I34, ""))</f>
        <v/>
      </c>
      <c r="N34" s="263" t="str">
        <f>IF($B34="", "", IF(AND($I34, $B34=N$20, $E34=N$21, $F34=N$22, SUM($I$24)&gt;0), $I34, ""))</f>
        <v/>
      </c>
      <c r="O34" s="263" t="str">
        <f>IF($B34="", "", IF(AND($I34, $B34=O$20, $E34=O$21, $F34=O$22, SUM($I$24)&gt;0), $I34, ""))</f>
        <v/>
      </c>
      <c r="P34" s="263" t="str">
        <f>IF($B34="", "", IF(AND($I34, $B34=P$20, $E34=P$21, $F34=P$22, SUM($I$24)&gt;0), $I34, ""))</f>
        <v/>
      </c>
      <c r="Q34" s="263" t="str">
        <f>IF($B34="", "", IF(AND($I34, $B34=Q$20, $E34=Q$21, $F34=Q$22, SUM($I$24)&gt;0), $I34, ""))</f>
        <v/>
      </c>
    </row>
    <row r="35" spans="1:19" s="4" customFormat="1" ht="16" customHeight="1" thickBot="1">
      <c r="A35" s="151"/>
      <c r="B35" s="253"/>
      <c r="C35" s="179"/>
      <c r="D35" s="180"/>
      <c r="E35" s="181"/>
      <c r="F35" s="255"/>
      <c r="G35" s="181"/>
      <c r="H35" s="182"/>
      <c r="I35" s="225">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51"/>
      <c r="B36" s="226"/>
      <c r="C36" s="183"/>
      <c r="D36" s="183"/>
      <c r="E36" s="183"/>
      <c r="F36" s="183"/>
      <c r="G36" s="184"/>
      <c r="H36" s="184"/>
      <c r="I36" s="227"/>
      <c r="L36" s="268">
        <f>IF(SUM(L24:L35), SUM(L24:L35),"")</f>
        <v>800</v>
      </c>
      <c r="M36" s="269">
        <f t="shared" ref="M36:Q36" si="3">IF(SUM(M24:M35), SUM(M24:M35),"")</f>
        <v>50</v>
      </c>
      <c r="N36" s="270">
        <f t="shared" si="3"/>
        <v>1000</v>
      </c>
      <c r="O36" s="270">
        <f>IF(SUM(O24:O35), SUM(O24:O35),"")</f>
        <v>1000</v>
      </c>
      <c r="P36" s="270" t="str">
        <f t="shared" si="3"/>
        <v/>
      </c>
      <c r="Q36" s="271" t="str">
        <f t="shared" si="3"/>
        <v/>
      </c>
    </row>
    <row r="37" spans="1:19" s="4" customFormat="1" ht="16" customHeight="1" thickBot="1">
      <c r="A37" s="151"/>
      <c r="B37" s="228" t="s">
        <v>266</v>
      </c>
      <c r="C37" s="2"/>
      <c r="D37" s="2"/>
      <c r="E37" s="168"/>
      <c r="F37" s="169"/>
      <c r="G37" s="235" t="s">
        <v>264</v>
      </c>
      <c r="H37" s="236"/>
      <c r="I37" s="237">
        <f>SUM(I23:I35)</f>
        <v>2850</v>
      </c>
      <c r="L37" s="259" t="s">
        <v>317</v>
      </c>
      <c r="M37" s="260" t="s">
        <v>329</v>
      </c>
      <c r="N37" s="261" t="s">
        <v>318</v>
      </c>
      <c r="O37" s="261" t="s">
        <v>319</v>
      </c>
      <c r="P37" s="261" t="s">
        <v>320</v>
      </c>
      <c r="Q37" s="262" t="s">
        <v>321</v>
      </c>
    </row>
    <row r="38" spans="1:19" s="4" customFormat="1" ht="16" customHeight="1" thickBot="1">
      <c r="A38" s="151"/>
      <c r="B38" s="228"/>
      <c r="C38" s="171"/>
      <c r="D38" s="171"/>
      <c r="E38" s="172"/>
      <c r="F38" s="170"/>
      <c r="G38" s="238"/>
      <c r="H38" s="166"/>
      <c r="I38" s="229"/>
    </row>
    <row r="39" spans="1:19" s="4" customFormat="1" ht="16" customHeight="1">
      <c r="A39" s="151"/>
      <c r="B39" s="228"/>
      <c r="C39" s="144"/>
      <c r="D39" s="144"/>
      <c r="E39" s="170"/>
      <c r="F39" s="170"/>
      <c r="G39" s="238" t="s">
        <v>263</v>
      </c>
      <c r="H39" s="170" t="s">
        <v>265</v>
      </c>
      <c r="I39" s="230"/>
      <c r="L39" s="276" t="s">
        <v>335</v>
      </c>
      <c r="M39" s="277"/>
      <c r="N39" s="277"/>
      <c r="O39" s="277"/>
      <c r="P39" s="277"/>
      <c r="Q39" s="277"/>
      <c r="R39" s="278"/>
    </row>
    <row r="40" spans="1:19" ht="16" customHeight="1" thickBot="1">
      <c r="A40" s="141"/>
      <c r="B40" s="228" t="s">
        <v>267</v>
      </c>
      <c r="C40" s="2"/>
      <c r="D40" s="2"/>
      <c r="E40" s="169"/>
      <c r="F40" s="169"/>
      <c r="G40" s="238" t="s">
        <v>21</v>
      </c>
      <c r="H40" s="170"/>
      <c r="I40" s="231">
        <f>SUM(I37:I39)</f>
        <v>2850</v>
      </c>
      <c r="L40" s="304" t="s">
        <v>341</v>
      </c>
      <c r="M40" s="284" t="s">
        <v>4</v>
      </c>
      <c r="N40" s="305" t="s">
        <v>16</v>
      </c>
      <c r="O40" s="305" t="s">
        <v>17</v>
      </c>
      <c r="P40" s="306" t="s">
        <v>12</v>
      </c>
      <c r="Q40" s="305" t="s">
        <v>18</v>
      </c>
      <c r="R40" s="307" t="s">
        <v>242</v>
      </c>
      <c r="S40" s="308" t="s">
        <v>19</v>
      </c>
    </row>
    <row r="41" spans="1:19" ht="16" customHeight="1" thickBot="1">
      <c r="A41" s="188"/>
      <c r="B41" s="232"/>
      <c r="C41" s="233"/>
      <c r="D41" s="233"/>
      <c r="E41" s="233"/>
      <c r="F41" s="233"/>
      <c r="G41" s="232"/>
      <c r="H41" s="233"/>
      <c r="I41" s="234"/>
      <c r="L41" s="300" t="str">
        <f>IF(SUM($L$24:$L$35), "#A","")</f>
        <v>#A</v>
      </c>
      <c r="M41" s="288">
        <f>IF('2499-005'!$L41="#A", L20,"")</f>
        <v>204</v>
      </c>
      <c r="N41" s="289" t="s">
        <v>336</v>
      </c>
      <c r="O41" s="290" t="str">
        <f>IF('2499-005'!$L41="#A", Sheet_PO,"")</f>
        <v>2499-005</v>
      </c>
      <c r="P41" s="291">
        <f>IF('2499-005'!$L41="#A", L$21,"")</f>
        <v>45849</v>
      </c>
      <c r="Q41" s="290" t="str">
        <f>IF('2499-005'!$L41="#A", L$22,"")</f>
        <v>CC 2456</v>
      </c>
      <c r="R41" s="292">
        <f>IF('2499-005'!$L41="#A", L$36,"")</f>
        <v>800</v>
      </c>
      <c r="S41" s="290" t="str">
        <f>IF('2499-005'!$L41="#A",
      INDEX('Line No'!$B$1:$B$342, MATCH('2499-005'!$M41, 'Line No'!$A$1:$A$342, 0)),
      "")</f>
        <v>Production Supplies</v>
      </c>
    </row>
    <row r="42" spans="1:19" ht="16" customHeight="1">
      <c r="A42" s="188"/>
      <c r="B42" s="188"/>
      <c r="C42" s="188"/>
      <c r="D42" s="188"/>
      <c r="E42" s="188"/>
      <c r="F42" s="188"/>
      <c r="G42" s="188"/>
      <c r="H42" s="188"/>
      <c r="I42" s="188"/>
      <c r="L42" s="301" t="str">
        <f>IF(SUM($M$24:$M$34), "#B", "")</f>
        <v>#B</v>
      </c>
      <c r="M42" s="293">
        <f>IF('2499-005'!$L42="#B", L20,"")</f>
        <v>204</v>
      </c>
      <c r="N42" s="293" t="s">
        <v>336</v>
      </c>
      <c r="O42" s="293" t="str">
        <f>IF('2499-005'!$L42="#B", Sheet_PO,"")</f>
        <v>2499-005</v>
      </c>
      <c r="P42" s="294">
        <f>IF('2499-005'!$L42="#B", M21,"")</f>
        <v>45849</v>
      </c>
      <c r="Q42" s="293" t="str">
        <f>IF('2499-005'!$L42="#B", M22,"")</f>
        <v>CC 2456</v>
      </c>
      <c r="R42" s="295">
        <f>IF('2499-005'!$L42="#B", M36,"")</f>
        <v>50</v>
      </c>
      <c r="S42" s="293" t="str">
        <f>IF('2499-005'!$L42="#B",
      INDEX('Line No'!$B$1:$B$342, MATCH('2499-005'!$M42, 'Line No'!$A$1:$A$342, 0)),
      "")</f>
        <v>Production Supplies</v>
      </c>
    </row>
    <row r="43" spans="1:19" ht="16" customHeight="1">
      <c r="A43" s="188"/>
      <c r="B43" s="188"/>
      <c r="C43" s="188"/>
      <c r="D43" s="188"/>
      <c r="E43" s="188"/>
      <c r="F43" s="188"/>
      <c r="G43" s="189"/>
      <c r="H43" s="189"/>
      <c r="I43" s="189"/>
      <c r="L43" s="302" t="str">
        <f>IF(SUM($N$24:$N$34), "#C", "")</f>
        <v>#C</v>
      </c>
      <c r="M43" s="290">
        <f>IF('2499-005'!$L43="#C", M20,"")</f>
        <v>205</v>
      </c>
      <c r="N43" s="289" t="s">
        <v>336</v>
      </c>
      <c r="O43" s="290" t="str">
        <f>IF('2499-005'!$L43="#C", Sheet_PO,"")</f>
        <v>2499-005</v>
      </c>
      <c r="P43" s="291">
        <f>IF('2499-005'!$L43="#C", N21,"")</f>
        <v>45848</v>
      </c>
      <c r="Q43" s="290" t="str">
        <f>IF('2499-005'!$L43="#C", N22,"")</f>
        <v>CHK 101</v>
      </c>
      <c r="R43" s="292">
        <f>IF('2499-005'!$L43="#C", N36,"")</f>
        <v>1000</v>
      </c>
      <c r="S43" s="290" t="str">
        <f>IF('2499-005'!$L43="#C",
      INDEX('Line No'!$B$1:$B$342, MATCH('2499-005'!$M43, 'Line No'!$A$1:$A$342, 0)),
      "")</f>
        <v>Location Supplies</v>
      </c>
    </row>
    <row r="44" spans="1:19" ht="16" customHeight="1">
      <c r="A44" s="188"/>
      <c r="B44" s="188"/>
      <c r="C44" s="188"/>
      <c r="D44" s="188"/>
      <c r="E44" s="188"/>
      <c r="F44" s="188"/>
      <c r="G44" s="189"/>
      <c r="H44" s="258"/>
      <c r="I44" s="189"/>
      <c r="L44" s="303" t="str">
        <f>IF(SUM($O$24:$O$34), "#D", "")</f>
        <v>#D</v>
      </c>
      <c r="M44" s="293">
        <f>IF('2499-005'!$L44="#D", N20,"")</f>
        <v>112</v>
      </c>
      <c r="N44" s="293" t="s">
        <v>336</v>
      </c>
      <c r="O44" s="293" t="str">
        <f>IF('2499-005'!$L44="#D", Sheet_PO,"")</f>
        <v>2499-005</v>
      </c>
      <c r="P44" s="294">
        <f>IF('2499-005'!$L44="#D", O21,"")</f>
        <v>45849</v>
      </c>
      <c r="Q44" s="293" t="str">
        <f>IF('2499-005'!$L44="#D", O22,"")</f>
        <v>CASH</v>
      </c>
      <c r="R44" s="295">
        <f>IF('2499-005'!$L44="#D", O36,"")</f>
        <v>1000</v>
      </c>
      <c r="S44" s="293" t="str">
        <f>IF('2499-005'!$L44="#D",
      INDEX('Line No'!$B$1:$B$342, MATCH('2499-005'!$M44, 'Line No'!$A$1:$A$342, 0)),
      "")</f>
        <v>Pre Pro Meals</v>
      </c>
    </row>
    <row r="45" spans="1:19" ht="16" customHeight="1">
      <c r="A45" s="188"/>
      <c r="B45" s="188"/>
      <c r="C45" s="273"/>
      <c r="D45" s="273"/>
      <c r="E45" s="273"/>
      <c r="F45" s="273"/>
      <c r="G45" s="190"/>
      <c r="H45" s="190"/>
      <c r="I45" s="191"/>
      <c r="L45" s="302" t="str">
        <f>IF(SUM($P$24:$P$34), "#E", "")</f>
        <v/>
      </c>
      <c r="M45" s="290" t="str">
        <f>IF('2499-005'!$L45="#E", O20,"")</f>
        <v/>
      </c>
      <c r="N45" s="289"/>
      <c r="O45" s="290" t="str">
        <f>IF('2499-005'!$L45="#E", Sheet_PO,"")</f>
        <v/>
      </c>
      <c r="P45" s="291" t="str">
        <f>IF('2499-005'!$L45="#E", P21,"")</f>
        <v/>
      </c>
      <c r="Q45" s="290" t="str">
        <f>IF('2499-005'!$L45="#E", P22,"")</f>
        <v/>
      </c>
      <c r="R45" s="292" t="str">
        <f>IF('2499-005'!$L45="#E", P36,"")</f>
        <v/>
      </c>
      <c r="S45" s="290" t="str">
        <f>IF('2499-005'!$L45="#E",
      INDEX('Line No'!$B$1:$B$342, MATCH('2499-005'!$M45, 'Line No'!$A$1:$A$342, 0)),
      "")</f>
        <v/>
      </c>
    </row>
    <row r="46" spans="1:19" ht="16" customHeight="1">
      <c r="A46" s="188"/>
      <c r="B46" s="188"/>
      <c r="C46" s="188"/>
      <c r="D46" s="188"/>
      <c r="E46" s="188"/>
      <c r="F46" s="188"/>
      <c r="G46" s="188"/>
      <c r="H46" s="188"/>
      <c r="I46" s="188"/>
      <c r="L46" s="303" t="str">
        <f>IF(SUM($Q$24:$Q$34), "#F", "")</f>
        <v/>
      </c>
      <c r="M46" s="293" t="str">
        <f>IF('2499-005'!$L46="#F", P20,"")</f>
        <v/>
      </c>
      <c r="N46" s="293"/>
      <c r="O46" s="293" t="str">
        <f>IF('2499-005'!$L46="#F", Sheet_PO,"")</f>
        <v/>
      </c>
      <c r="P46" s="294" t="str">
        <f>IF('2499-005'!$L46="#F", Q21,"")</f>
        <v/>
      </c>
      <c r="Q46" s="293" t="str">
        <f>IF('2499-005'!$L46="#F", Q22,"")</f>
        <v/>
      </c>
      <c r="R46" s="295" t="str">
        <f>IF('2499-005'!$L46="#F", Q36,"")</f>
        <v/>
      </c>
      <c r="S46" s="293" t="str">
        <f>IF('2499-005'!$L46="#F",
      INDEX('Line No'!$B$1:$B$342, MATCH('2499-005'!$M46, 'Line No'!$A$1:$A$342, 0)),
      "")</f>
        <v/>
      </c>
    </row>
    <row r="47" spans="1:19" ht="16" customHeight="1">
      <c r="A47" s="188"/>
      <c r="B47" s="272"/>
      <c r="C47" s="272"/>
      <c r="D47" s="272"/>
      <c r="E47" s="272"/>
      <c r="F47" s="272"/>
      <c r="G47" s="272"/>
      <c r="H47" s="272"/>
      <c r="I47" s="272"/>
      <c r="L47" s="302" t="str">
        <f>IF(SUM($R$24:$R$34), "#G", "")</f>
        <v/>
      </c>
      <c r="M47" s="290" t="str">
        <f>IF('2499-005'!$L47="#G", Q20,"")</f>
        <v/>
      </c>
      <c r="N47" s="289"/>
      <c r="O47" s="290" t="str">
        <f>IF('2499-005'!$L47="#G", Sheet_PO,"")</f>
        <v/>
      </c>
      <c r="P47" s="296" t="str">
        <f>IF('2499-005'!$L47="#G", R21,"")</f>
        <v/>
      </c>
      <c r="Q47" s="297" t="str">
        <f>IF('2499-005'!$L47="#G", R22,"")</f>
        <v/>
      </c>
      <c r="R47" s="292" t="str">
        <f>IF('2499-005'!$L47="#G", R36,"")</f>
        <v/>
      </c>
      <c r="S47" s="290" t="str">
        <f>IF('2499-005'!$L47="#G",
      INDEX('Line No'!$B$1:$B$342, MATCH('2499-005'!$M47, 'Line No'!$A$1:$A$342, 0)),
      "")</f>
        <v/>
      </c>
    </row>
    <row r="48" spans="1:19" ht="16" customHeight="1">
      <c r="L48" s="303" t="str">
        <f>IF(SUM($S$24:$S$34), "#H", "")</f>
        <v/>
      </c>
      <c r="M48" s="293" t="str">
        <f>IF('2499-005'!$L48="#H", R20,"")</f>
        <v/>
      </c>
      <c r="N48" s="293"/>
      <c r="O48" s="293" t="str">
        <f>IF('2499-005'!$L48="#H", Sheet_PO,"")</f>
        <v/>
      </c>
      <c r="P48" s="298" t="str">
        <f>IF('2499-005'!$L48="#H", T21,"")</f>
        <v/>
      </c>
      <c r="Q48" s="299" t="str">
        <f>IF('2499-005'!$L48="#H", T22,"")</f>
        <v/>
      </c>
      <c r="R48" s="295" t="str">
        <f>IF('2499-005'!$L48="#H", T36,"")</f>
        <v/>
      </c>
      <c r="S48" s="293" t="str">
        <f>IF('2499-005'!$L48="#H",
      INDEX('Line No'!$B$1:$B$342, MATCH('2499-005'!$M48, 'Line No'!$A$1:$A$342, 0)),
      "")</f>
        <v/>
      </c>
    </row>
    <row r="49" spans="11:21" ht="16" customHeight="1">
      <c r="K49" s="1" cm="1">
        <f t="array" ref="K49">SUMPRODUCT(--(L41:L49&lt;&gt;""))</f>
        <v>4</v>
      </c>
      <c r="L49" s="302" t="str">
        <f>IF(SUM($T$24:$T$34), "#OTHER", "")</f>
        <v/>
      </c>
      <c r="M49" s="290" t="str">
        <f>IF('2499-005'!$L49="#I", T20,"")</f>
        <v/>
      </c>
      <c r="N49" s="289"/>
      <c r="O49" s="290" t="str">
        <f>IF('2499-005'!$L49="#I", Sheet_PO,"")</f>
        <v/>
      </c>
      <c r="P49" s="296" t="str">
        <f>IF('2499-005'!$L49="#I", U21,"")</f>
        <v/>
      </c>
      <c r="Q49" s="297" t="str">
        <f>IF('2499-005'!$L49="#I", U22,"")</f>
        <v/>
      </c>
      <c r="R49" s="292" t="str">
        <f>IF('2499-005'!$L49="#I", U36,"")</f>
        <v/>
      </c>
      <c r="S49" s="290" t="str">
        <f>IF('2499-005'!$L49="#I",
      INDEX('Line No'!$B$1:$B$342, MATCH('2499-005'!$M49, 'Line No'!$A$1:$A$342, 0)),
      "")</f>
        <v/>
      </c>
    </row>
    <row r="50" spans="11:21" ht="16" customHeight="1">
      <c r="K50" s="188"/>
      <c r="L50" s="309"/>
      <c r="M50" s="309"/>
      <c r="N50" s="310"/>
      <c r="O50" s="309"/>
      <c r="P50" s="309"/>
      <c r="Q50" s="309"/>
      <c r="R50" s="311"/>
      <c r="S50" s="309"/>
      <c r="T50" s="188"/>
      <c r="U50" s="188"/>
    </row>
    <row r="51" spans="11:21">
      <c r="K51" s="188"/>
      <c r="L51" s="188"/>
      <c r="M51" s="188"/>
      <c r="N51" s="188"/>
      <c r="O51" s="188"/>
      <c r="P51" s="188"/>
      <c r="Q51" s="188"/>
      <c r="R51" s="188"/>
      <c r="S51" s="188"/>
      <c r="T51" s="188"/>
      <c r="U51" s="188"/>
    </row>
    <row r="52" spans="11:21">
      <c r="K52" s="188"/>
      <c r="L52" s="188"/>
      <c r="M52" s="188"/>
      <c r="N52" s="188"/>
      <c r="O52" s="188"/>
      <c r="P52" s="188"/>
      <c r="Q52" s="188"/>
      <c r="R52" s="188"/>
      <c r="S52" s="188"/>
      <c r="T52" s="188"/>
      <c r="U52" s="188"/>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S41:S49">
    <cfRule type="containsText" dxfId="8"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65</vt:i4>
      </vt:variant>
    </vt:vector>
  </HeadingPairs>
  <TitlesOfParts>
    <vt:vector size="77" baseType="lpstr">
      <vt:lpstr>Instructions</vt:lpstr>
      <vt:lpstr>Line No</vt:lpstr>
      <vt:lpstr>PO DATA</vt:lpstr>
      <vt:lpstr>PO Log_2</vt:lpstr>
      <vt:lpstr>PO Log</vt:lpstr>
      <vt:lpstr>TEMPLATE-SHEET</vt:lpstr>
      <vt:lpstr>Sheet_Index</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'2499-001'!DateEntry</vt:lpstr>
      <vt:lpstr>'2499-002'!DateEntry</vt:lpstr>
      <vt:lpstr>'2499-003'!DateEntry</vt:lpstr>
      <vt:lpstr>'2499-004'!DateEntry</vt:lpstr>
      <vt:lpstr>'2499-005'!DateEntry</vt:lpstr>
      <vt:lpstr>DateEntry</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'2499-001'!PAYEE</vt:lpstr>
      <vt:lpstr>'2499-002'!PAYEE</vt:lpstr>
      <vt:lpstr>'2499-003'!PAYEE</vt:lpstr>
      <vt:lpstr>'2499-004'!PAYEE</vt:lpstr>
      <vt:lpstr>'2499-005'!PAYEE</vt:lpstr>
      <vt:lpstr>'TEMPLATE-SHEET'!PAYEE</vt:lpstr>
      <vt:lpstr>'2499-001'!PayIDEntry</vt:lpstr>
      <vt:lpstr>'2499-002'!PayIDEntry</vt:lpstr>
      <vt:lpstr>'2499-003'!PayIDEntry</vt:lpstr>
      <vt:lpstr>'2499-004'!PayIDEntry</vt:lpstr>
      <vt:lpstr>'2499-005'!PayIDEntry</vt:lpstr>
      <vt:lpstr>PayIDEntry</vt:lpstr>
      <vt:lpstr>'2499-001'!PO_LOG_name</vt:lpstr>
      <vt:lpstr>'2499-002'!PO_LOG_name</vt:lpstr>
      <vt:lpstr>'2499-003'!PO_LOG_name</vt:lpstr>
      <vt:lpstr>'2499-004'!PO_LOG_name</vt:lpstr>
      <vt:lpstr>'2499-005'!PO_LOG_name</vt:lpstr>
      <vt:lpstr>'PO Log_2'!PO_LOG_name</vt:lpstr>
      <vt:lpstr>PO_LOG_name</vt:lpstr>
      <vt:lpstr>POtable</vt:lpstr>
      <vt:lpstr>POtable_header</vt:lpstr>
      <vt:lpstr>Prefix</vt:lpstr>
      <vt:lpstr>'2499-001'!Print_Area</vt:lpstr>
      <vt:lpstr>'2499-002'!Print_Area</vt:lpstr>
      <vt:lpstr>'2499-003'!Print_Area</vt:lpstr>
      <vt:lpstr>'2499-004'!Print_Area</vt:lpstr>
      <vt:lpstr>'2499-005'!Print_Area</vt:lpstr>
      <vt:lpstr>'PO Log'!Print_Area</vt:lpstr>
      <vt:lpstr>'PO Log_2'!Print_Area</vt:lpstr>
      <vt:lpstr>'TEMPLATE-SHEET'!Print_Area</vt:lpstr>
      <vt:lpstr>'2499-001'!Sheet_PO</vt:lpstr>
      <vt:lpstr>'2499-002'!Sheet_PO</vt:lpstr>
      <vt:lpstr>'2499-003'!Sheet_PO</vt:lpstr>
      <vt:lpstr>'2499-004'!Sheet_PO</vt:lpstr>
      <vt:lpstr>'2499-005'!Sheet_PO</vt:lpstr>
      <vt:lpstr>Sheet_PO</vt:lpstr>
      <vt:lpstr>Start</vt:lpstr>
      <vt:lpstr>'2499-001'!Vendor</vt:lpstr>
      <vt:lpstr>'2499-002'!Vendor</vt:lpstr>
      <vt:lpstr>'2499-003'!Vendor</vt:lpstr>
      <vt:lpstr>'2499-004'!Vendor</vt:lpstr>
      <vt:lpstr>'2499-005'!Vendor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2025-02-27T16:21:03Z</dcterms:modified>
  <cp:category/>
</cp:coreProperties>
</file>