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9" codeName="{857A39E2-67AF-9BA6-E15C-A4B3A0C75593}"/>
  <workbookPr codeName="ThisWorkbook" defaultThemeVersion="202300"/>
  <mc:AlternateContent xmlns:mc="http://schemas.openxmlformats.org/markup-compatibility/2006">
    <mc:Choice Requires="x15">
      <x15ac:absPath xmlns:x15ac="http://schemas.microsoft.com/office/spreadsheetml/2010/11/ac" url="/Users/joshparkhill/Projects/filmshit/app/static/files/working/"/>
    </mc:Choice>
  </mc:AlternateContent>
  <xr:revisionPtr revIDLastSave="0" documentId="13_ncr:1_{C8F3B68B-CBE0-DA4F-BB26-9AC1E4730242}" xr6:coauthVersionLast="47" xr6:coauthVersionMax="47" xr10:uidLastSave="{00000000-0000-0000-0000-000000000000}"/>
  <bookViews>
    <workbookView visibility="hidden" xWindow="760" yWindow="760" windowWidth="32780" windowHeight="21200" activeTab="8" xr2:uid="{F53C5A8A-5863-CA49-A26A-71321E44290F}"/>
    <workbookView xWindow="3480" yWindow="760" windowWidth="28880" windowHeight="20160" activeTab="2" xr2:uid="{C8DC7964-DBBD-3948-BE63-5C542FBE1DFA}"/>
  </bookViews>
  <sheets>
    <sheet name="Instructions" sheetId="610" r:id="rId1"/>
    <sheet name="LineNo" sheetId="3" r:id="rId2"/>
    <sheet name="POData" sheetId="6" r:id="rId3"/>
    <sheet name="POIndex" sheetId="796" r:id="rId4"/>
    <sheet name="POLog" sheetId="785" r:id="rId5"/>
    <sheet name="TemplatePO" sheetId="4" r:id="rId6"/>
    <sheet name="2499-001" sheetId="843" r:id="rId7"/>
    <sheet name="2499-002" sheetId="844" r:id="rId8"/>
    <sheet name="2499-003" sheetId="845" r:id="rId9"/>
  </sheets>
  <externalReferences>
    <externalReference r:id="rId10"/>
  </externalReferences>
  <definedNames>
    <definedName name="_xleta.CODE" hidden="1" xlm="1">#NAME?</definedName>
    <definedName name="_xleta.DATE"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SBLANK" hidden="1" xlm="1">#NAME?</definedName>
    <definedName name="_xleta.LOG" hidden="1" xlm="1">#NAME?</definedName>
    <definedName name="_xleta.MATCH" hidden="1" xlm="1">#NAME?</definedName>
    <definedName name="_xleta.N" hidden="1" xlm="1">#NAME?</definedName>
    <definedName name="_xleta.OR" hidden="1" xlm="1">#NAME?</definedName>
    <definedName name="_xleta.ROW" hidden="1" xlm="1">#NAME?</definedName>
    <definedName name="_xleta.SEQUENCE" hidden="1" xlm="1">#NAME?</definedName>
    <definedName name="_xleta.SHEET" hidden="1" xlm="1">#NAME?</definedName>
    <definedName name="_xleta.SORT" hidden="1" xlm="1">#NAME?</definedName>
    <definedName name="_xleta.SUM" hidden="1" xlm="1">#NAME?</definedName>
    <definedName name="_xleta.T" hidden="1" xlm="1">#NAME?</definedName>
    <definedName name="_xleta.TRANSPOSE" hidden="1" xlm="1">#NAME?</definedName>
    <definedName name="_xleta.UNIQUE" hidden="1" xlm="1">#NAME?</definedName>
    <definedName name="_xleta.VSTACK" hidden="1" xlm="1">#NAME?</definedName>
    <definedName name="_xleta.WRAPCOLS" hidden="1" xlm="1">#NAME?</definedName>
    <definedName name="_xlpm.a" hidden="1" xlm="1">#NAME?</definedName>
    <definedName name="_xlpm.firstPO" hidden="1" xlm="1">#NAME?</definedName>
    <definedName name="_xlpm.i" hidden="1" xlm="1">#NAME?</definedName>
    <definedName name="_xlpm.poList" hidden="1" xlm="1">#NAME?</definedName>
    <definedName name="_xlpm.poNum" hidden="1" xlm="1">#NAME?</definedName>
    <definedName name="_xlpm.row" hidden="1" xlm="1">#NAME?</definedName>
    <definedName name="_xlpm.rowCounts" hidden="1" xlm="1">#NAME?</definedName>
    <definedName name="count" localSheetId="6">'2499-001'!$AG$51</definedName>
    <definedName name="count" localSheetId="7">'2499-002'!$AG$51</definedName>
    <definedName name="count" localSheetId="8">'2499-003'!$AG$51</definedName>
    <definedName name="count" localSheetId="5">TemplatePO!$AG$51</definedName>
    <definedName name="DateEntry" localSheetId="6">'2499-001'!$E$24:$E$34</definedName>
    <definedName name="DateEntry" localSheetId="7">'2499-002'!$E$24:$E$34</definedName>
    <definedName name="DateEntry" localSheetId="8">'2499-003'!$E$24:$E$34</definedName>
    <definedName name="DateEntry">TemplatePO!$E$24:$E$34</definedName>
    <definedName name="DateEntryOld" localSheetId="6">'2499-001'!$E$24:$E$34</definedName>
    <definedName name="DateEntryOld" localSheetId="7">'2499-002'!$E$24:$E$34</definedName>
    <definedName name="DateEntryOld" localSheetId="8">'2499-003'!$E$24:$E$34</definedName>
    <definedName name="DateEntryOld">TemplatePO!$E$24:$E$34</definedName>
    <definedName name="DateEntryOld3" localSheetId="6">'2499-001'!$E$24:$E$34</definedName>
    <definedName name="DateEntryOld3" localSheetId="7">'2499-002'!$E$24:$E$34</definedName>
    <definedName name="DateEntryOld3" localSheetId="8">'2499-003'!$E$24:$E$34</definedName>
    <definedName name="DateEntryOld3">TemplatePO!$E$24:$E$34</definedName>
    <definedName name="End">POData!$C$18</definedName>
    <definedName name="Job_Name">POData!$D$3</definedName>
    <definedName name="Job_Number">POData!$D$4</definedName>
    <definedName name="Line">LineNo!$A$1:$B$374</definedName>
    <definedName name="LineEntry" localSheetId="6">'2499-001'!$B$24:$B$34</definedName>
    <definedName name="LineEntry" localSheetId="7">'2499-002'!$B$24:$B$34</definedName>
    <definedName name="LineEntry" localSheetId="8">'2499-003'!$B$24:$B$34</definedName>
    <definedName name="LineEntry" localSheetId="5">TemplatePO!$B$24:$B$34</definedName>
    <definedName name="LineEntryOLD" localSheetId="6">'2499-001'!$B$24:$B$34</definedName>
    <definedName name="LineEntryOLD" localSheetId="7">'2499-002'!$B$24:$B$34</definedName>
    <definedName name="LineEntryOLD" localSheetId="8">'2499-003'!$B$24:$B$34</definedName>
    <definedName name="LineEntryOLD">TemplatePO!$B$24:$B$34</definedName>
    <definedName name="LineEntryOLD2" localSheetId="6">'2499-001'!$B$24:$B$34</definedName>
    <definedName name="LineEntryOLD2" localSheetId="7">'2499-002'!$B$24:$B$34</definedName>
    <definedName name="LineEntryOLD2" localSheetId="8">'2499-003'!$B$24:$B$34</definedName>
    <definedName name="LineEntryOLD2">TemplatePO!$B$24:$B$34</definedName>
    <definedName name="LineEntryOld3" localSheetId="6">'2499-001'!$B$24:$B$34</definedName>
    <definedName name="LineEntryOld3" localSheetId="7">'2499-002'!$B$24:$B$34</definedName>
    <definedName name="LineEntryOld3" localSheetId="8">'2499-003'!$B$24:$B$34</definedName>
    <definedName name="LineEntryOld3">TemplatePO!$B$24:$B$34</definedName>
    <definedName name="LINEOld">'[1]Line No'!$A$1:$B$360</definedName>
    <definedName name="OLD" localSheetId="6">'2499-001'!$E$24:$E$34</definedName>
    <definedName name="OLD" localSheetId="7">'2499-002'!$E$24:$E$34</definedName>
    <definedName name="OLD" localSheetId="8">'2499-003'!$E$24:$E$34</definedName>
    <definedName name="OLD">TemplatePO!$E$24:$E$34</definedName>
    <definedName name="PAYEE" localSheetId="6">'2499-001'!$Y$39:$Y$49</definedName>
    <definedName name="PAYEE" localSheetId="7">'2499-002'!$Y$39:$Y$49</definedName>
    <definedName name="PAYEE" localSheetId="8">'2499-003'!$Y$39:$Y$49</definedName>
    <definedName name="PAYEE" localSheetId="5">TemplatePO!$Y$39:$Y$49</definedName>
    <definedName name="PayIDEntry" localSheetId="6">'2499-001'!$F$24:$F$34</definedName>
    <definedName name="PayIDEntry" localSheetId="7">'2499-002'!$F$24:$F$34</definedName>
    <definedName name="PayIDEntry" localSheetId="8">'2499-003'!$F$24:$F$34</definedName>
    <definedName name="PayIDEntry">TemplatePO!$F$24:$F$34</definedName>
    <definedName name="PayIDEntryOLD" localSheetId="6">'2499-001'!$F$24:$F$34</definedName>
    <definedName name="PayIDEntryOLD" localSheetId="7">'2499-002'!$F$24:$F$34</definedName>
    <definedName name="PayIDEntryOLD" localSheetId="8">'2499-003'!$F$24:$F$34</definedName>
    <definedName name="PayIDEntryOLD">TemplatePO!$F$24:$F$34</definedName>
    <definedName name="PayIDEntryOld2" localSheetId="6">'2499-001'!$F$24:$F$34</definedName>
    <definedName name="PayIDEntryOld2" localSheetId="7">'2499-002'!$F$24:$F$34</definedName>
    <definedName name="PayIDEntryOld2" localSheetId="8">'2499-003'!$F$24:$F$34</definedName>
    <definedName name="PayIDEntryOld2">TemplatePO!$F$24:$F$34</definedName>
    <definedName name="PayIDEntryOld3" localSheetId="6">'2499-001'!$F$24:$F$34</definedName>
    <definedName name="PayIDEntryOld3" localSheetId="7">'2499-002'!$F$24:$F$34</definedName>
    <definedName name="PayIDEntryOld3" localSheetId="8">'2499-003'!$F$24:$F$34</definedName>
    <definedName name="PayIDEntryOld3">TemplatePO!$F$24:$F$34</definedName>
    <definedName name="PO_Log" localSheetId="4">POLog!$A$6:INDEX(POLog!$H:$H, COUNTA(POLog!$A:$A) + 4)</definedName>
    <definedName name="PO_range">POData!$F$15:$F$125</definedName>
    <definedName name="PO_total">INDEX(POLog!$G:$G, COUNTA(POLog!$A:$A) + 6)</definedName>
    <definedName name="POtable_header">POData!$F$15</definedName>
    <definedName name="Prefix">POData!$B$16</definedName>
    <definedName name="_xlnm.Print_Area" localSheetId="6">'2499-001'!$B$1:$I$40</definedName>
    <definedName name="_xlnm.Print_Area" localSheetId="7">'2499-002'!$B$1:$I$40</definedName>
    <definedName name="_xlnm.Print_Area" localSheetId="8">'2499-003'!$B$1:$I$40</definedName>
    <definedName name="_xlnm.Print_Area" localSheetId="4">POLog!$B$6:$F$38</definedName>
    <definedName name="_xlnm.Print_Area" localSheetId="5">TemplatePO!$B$1:$I$40</definedName>
    <definedName name="ProductionCompany">POData!$D$2</definedName>
    <definedName name="Sheet_PO" localSheetId="6">'2499-001'!$G$3</definedName>
    <definedName name="Sheet_PO" localSheetId="7">'2499-002'!$G$3</definedName>
    <definedName name="Sheet_PO" localSheetId="8">'2499-003'!$G$3</definedName>
    <definedName name="Sheet_PO">TemplatePO!$G$3</definedName>
    <definedName name="Start">POData!$B$18</definedName>
    <definedName name="Vendor" localSheetId="6">'2499-001'!$C$10</definedName>
    <definedName name="Vendor" localSheetId="7">'2499-002'!$C$10</definedName>
    <definedName name="Vendor" localSheetId="8">'2499-003'!$C$10</definedName>
    <definedName name="Vendor">TemplatePO!$C$10</definedName>
    <definedName name="Z_8CEFEE3B_E906_4903_9850_D32C8D742297_.wvu.PrintArea" localSheetId="6" hidden="1">'2499-001'!$B$1:$I$45</definedName>
    <definedName name="Z_8CEFEE3B_E906_4903_9850_D32C8D742297_.wvu.PrintArea" localSheetId="7" hidden="1">'2499-002'!$B$1:$I$45</definedName>
    <definedName name="Z_8CEFEE3B_E906_4903_9850_D32C8D742297_.wvu.PrintArea" localSheetId="8" hidden="1">'2499-003'!$B$1:$I$45</definedName>
    <definedName name="Z_8CEFEE3B_E906_4903_9850_D32C8D742297_.wvu.PrintArea" localSheetId="5" hidden="1">TemplatePO!$B$1:$I$45</definedName>
    <definedName name="Z_C1355A62_F1E2_4388_B529_AB508DE122C3_.wvu.PrintArea" localSheetId="6" hidden="1">'2499-001'!$B$1:$I$45</definedName>
    <definedName name="Z_C1355A62_F1E2_4388_B529_AB508DE122C3_.wvu.PrintArea" localSheetId="7" hidden="1">'2499-002'!$B$1:$I$45</definedName>
    <definedName name="Z_C1355A62_F1E2_4388_B529_AB508DE122C3_.wvu.PrintArea" localSheetId="8" hidden="1">'2499-003'!$B$1:$I$45</definedName>
    <definedName name="Z_C1355A62_F1E2_4388_B529_AB508DE122C3_.wvu.PrintArea" localSheetId="5" hidden="1">TemplatePO!$B$1:$I$45</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6" l="1" a="1"/>
  <c r="F16" i="6" s="1"/>
  <c r="AO51" i="845" l="1"/>
  <c r="AN51" i="845"/>
  <c r="AM50" i="845"/>
  <c r="AL50" i="845"/>
  <c r="AM48" i="845"/>
  <c r="AL48" i="845"/>
  <c r="AE34" i="845"/>
  <c r="AD34" i="845"/>
  <c r="AC34" i="845"/>
  <c r="AB34" i="845"/>
  <c r="AA34" i="845"/>
  <c r="Z34" i="845"/>
  <c r="Y34" i="845"/>
  <c r="X34" i="845"/>
  <c r="W34" i="845"/>
  <c r="I34" i="845"/>
  <c r="AE33" i="845"/>
  <c r="AD33" i="845"/>
  <c r="AC33" i="845"/>
  <c r="AB33" i="845"/>
  <c r="AA33" i="845"/>
  <c r="Z33" i="845"/>
  <c r="Y33" i="845"/>
  <c r="X33" i="845"/>
  <c r="W33" i="845"/>
  <c r="I33" i="845"/>
  <c r="AE32" i="845"/>
  <c r="AD32" i="845"/>
  <c r="AC32" i="845"/>
  <c r="AB32" i="845"/>
  <c r="AA32" i="845"/>
  <c r="Z32" i="845"/>
  <c r="Y32" i="845"/>
  <c r="X32" i="845"/>
  <c r="W32" i="845"/>
  <c r="I32" i="845"/>
  <c r="AE31" i="845"/>
  <c r="AD31" i="845"/>
  <c r="AC31" i="845"/>
  <c r="AB31" i="845"/>
  <c r="AA31" i="845"/>
  <c r="Z31" i="845"/>
  <c r="Y31" i="845"/>
  <c r="X31" i="845"/>
  <c r="W31" i="845"/>
  <c r="I31" i="845"/>
  <c r="AE30" i="845"/>
  <c r="AD30" i="845"/>
  <c r="AC30" i="845"/>
  <c r="AB30" i="845"/>
  <c r="AA30" i="845"/>
  <c r="Z30" i="845"/>
  <c r="Y30" i="845"/>
  <c r="X30" i="845"/>
  <c r="W30" i="845"/>
  <c r="I30" i="845"/>
  <c r="AE29" i="845"/>
  <c r="AD29" i="845"/>
  <c r="AC29" i="845"/>
  <c r="AB29" i="845"/>
  <c r="AA29" i="845"/>
  <c r="Z29" i="845"/>
  <c r="Y29" i="845"/>
  <c r="X29" i="845"/>
  <c r="W29" i="845"/>
  <c r="I29" i="845"/>
  <c r="AE28" i="845"/>
  <c r="AD28" i="845"/>
  <c r="AC28" i="845"/>
  <c r="AB28" i="845"/>
  <c r="AA28" i="845"/>
  <c r="Z28" i="845"/>
  <c r="Y28" i="845"/>
  <c r="X28" i="845"/>
  <c r="W28" i="845"/>
  <c r="I28" i="845"/>
  <c r="AE27" i="845"/>
  <c r="AD27" i="845"/>
  <c r="AC27" i="845"/>
  <c r="AB27" i="845"/>
  <c r="AA27" i="845"/>
  <c r="Z27" i="845"/>
  <c r="Y27" i="845"/>
  <c r="X27" i="845"/>
  <c r="W27" i="845"/>
  <c r="I27" i="845"/>
  <c r="AE26" i="845"/>
  <c r="AD26" i="845"/>
  <c r="AC26" i="845"/>
  <c r="AB26" i="845"/>
  <c r="AA26" i="845"/>
  <c r="Z26" i="845"/>
  <c r="Y26" i="845"/>
  <c r="X26" i="845"/>
  <c r="W26" i="845"/>
  <c r="I26" i="845"/>
  <c r="AE25" i="845"/>
  <c r="AD25" i="845"/>
  <c r="AC25" i="845"/>
  <c r="AB25" i="845"/>
  <c r="AA25" i="845"/>
  <c r="Z25" i="845"/>
  <c r="Y25" i="845"/>
  <c r="X25" i="845"/>
  <c r="W25" i="845"/>
  <c r="I25" i="845"/>
  <c r="AE24" i="845"/>
  <c r="AH51" i="845" s="1"/>
  <c r="AJ51" i="845" s="1"/>
  <c r="AD24" i="845"/>
  <c r="AH50" i="845" s="1"/>
  <c r="AI50" i="845" s="1"/>
  <c r="AC24" i="845"/>
  <c r="AH49" i="845" s="1"/>
  <c r="AM49" i="845" s="1"/>
  <c r="AB24" i="845"/>
  <c r="AH48" i="845" s="1"/>
  <c r="AJ48" i="845" s="1"/>
  <c r="I24" i="845"/>
  <c r="AA24" i="845" s="1"/>
  <c r="AA35" i="845" s="1"/>
  <c r="L20" i="845" a="1"/>
  <c r="L20" i="845" s="1"/>
  <c r="U20" i="845" s="1" a="1"/>
  <c r="U20" i="845" s="1"/>
  <c r="W20" i="845" s="1" a="1"/>
  <c r="W20" i="845" s="1"/>
  <c r="W24" i="845" s="1"/>
  <c r="F10" i="845"/>
  <c r="F9" i="845"/>
  <c r="B1" i="845"/>
  <c r="AN51" i="844"/>
  <c r="AK51" i="844"/>
  <c r="AE34" i="844"/>
  <c r="AD34" i="844"/>
  <c r="AC34" i="844"/>
  <c r="AB34" i="844"/>
  <c r="AA34" i="844"/>
  <c r="Z34" i="844"/>
  <c r="Y34" i="844"/>
  <c r="X34" i="844"/>
  <c r="W34" i="844"/>
  <c r="I34" i="844"/>
  <c r="AE33" i="844"/>
  <c r="AD33" i="844"/>
  <c r="AC33" i="844"/>
  <c r="AB33" i="844"/>
  <c r="AA33" i="844"/>
  <c r="Z33" i="844"/>
  <c r="Y33" i="844"/>
  <c r="X33" i="844"/>
  <c r="W33" i="844"/>
  <c r="I33" i="844"/>
  <c r="AE32" i="844"/>
  <c r="AD32" i="844"/>
  <c r="AC32" i="844"/>
  <c r="AB32" i="844"/>
  <c r="AA32" i="844"/>
  <c r="Z32" i="844"/>
  <c r="Y32" i="844"/>
  <c r="X32" i="844"/>
  <c r="W32" i="844"/>
  <c r="I32" i="844"/>
  <c r="AE31" i="844"/>
  <c r="AD31" i="844"/>
  <c r="AC31" i="844"/>
  <c r="AB31" i="844"/>
  <c r="AA31" i="844"/>
  <c r="Z31" i="844"/>
  <c r="Y31" i="844"/>
  <c r="X31" i="844"/>
  <c r="W31" i="844"/>
  <c r="I31" i="844"/>
  <c r="AE30" i="844"/>
  <c r="AD30" i="844"/>
  <c r="AC30" i="844"/>
  <c r="AB30" i="844"/>
  <c r="AA30" i="844"/>
  <c r="Z30" i="844"/>
  <c r="Y30" i="844"/>
  <c r="X30" i="844"/>
  <c r="W30" i="844"/>
  <c r="I30" i="844"/>
  <c r="AE29" i="844"/>
  <c r="AD29" i="844"/>
  <c r="AC29" i="844"/>
  <c r="AB29" i="844"/>
  <c r="AA29" i="844"/>
  <c r="Z29" i="844"/>
  <c r="Y29" i="844"/>
  <c r="X29" i="844"/>
  <c r="W29" i="844"/>
  <c r="I29" i="844"/>
  <c r="AE28" i="844"/>
  <c r="AD28" i="844"/>
  <c r="AC28" i="844"/>
  <c r="AB28" i="844"/>
  <c r="AA28" i="844"/>
  <c r="Z28" i="844"/>
  <c r="Y28" i="844"/>
  <c r="X28" i="844"/>
  <c r="W28" i="844"/>
  <c r="I28" i="844"/>
  <c r="AE27" i="844"/>
  <c r="AD27" i="844"/>
  <c r="AC27" i="844"/>
  <c r="AB27" i="844"/>
  <c r="AA27" i="844"/>
  <c r="Z27" i="844"/>
  <c r="Y27" i="844"/>
  <c r="X27" i="844"/>
  <c r="W27" i="844"/>
  <c r="I27" i="844"/>
  <c r="AE26" i="844"/>
  <c r="AD26" i="844"/>
  <c r="AC26" i="844"/>
  <c r="AB26" i="844"/>
  <c r="AA26" i="844"/>
  <c r="Z26" i="844"/>
  <c r="Y26" i="844"/>
  <c r="X26" i="844"/>
  <c r="W26" i="844"/>
  <c r="I26" i="844"/>
  <c r="AE25" i="844"/>
  <c r="AD25" i="844"/>
  <c r="AC25" i="844"/>
  <c r="I25" i="844"/>
  <c r="AB25" i="844" s="1"/>
  <c r="AE24" i="844"/>
  <c r="AH51" i="844" s="1"/>
  <c r="AO51" i="844" s="1"/>
  <c r="AD24" i="844"/>
  <c r="AH50" i="844" s="1"/>
  <c r="AI50" i="844" s="1"/>
  <c r="AC24" i="844"/>
  <c r="AH49" i="844" s="1"/>
  <c r="AM49" i="844" s="1"/>
  <c r="I24" i="844"/>
  <c r="AB24" i="844" s="1"/>
  <c r="AH48" i="844" s="1"/>
  <c r="L20" i="844" a="1"/>
  <c r="L20" i="844" s="1"/>
  <c r="U20" i="844" s="1" a="1"/>
  <c r="U20" i="844" s="1"/>
  <c r="W20" i="844" s="1" a="1"/>
  <c r="W20" i="844" s="1"/>
  <c r="F10" i="844"/>
  <c r="F9" i="844"/>
  <c r="B1" i="844"/>
  <c r="AJ51" i="843"/>
  <c r="AO50" i="843"/>
  <c r="AE34" i="843"/>
  <c r="AD34" i="843"/>
  <c r="AC34" i="843"/>
  <c r="AB34" i="843"/>
  <c r="AA34" i="843"/>
  <c r="Z34" i="843"/>
  <c r="Y34" i="843"/>
  <c r="X34" i="843"/>
  <c r="W34" i="843"/>
  <c r="I34" i="843"/>
  <c r="AE33" i="843"/>
  <c r="AD33" i="843"/>
  <c r="AC33" i="843"/>
  <c r="AB33" i="843"/>
  <c r="AA33" i="843"/>
  <c r="Z33" i="843"/>
  <c r="Y33" i="843"/>
  <c r="X33" i="843"/>
  <c r="W33" i="843"/>
  <c r="I33" i="843"/>
  <c r="AE32" i="843"/>
  <c r="AD32" i="843"/>
  <c r="AC32" i="843"/>
  <c r="AB32" i="843"/>
  <c r="AA32" i="843"/>
  <c r="Z32" i="843"/>
  <c r="Y32" i="843"/>
  <c r="X32" i="843"/>
  <c r="W32" i="843"/>
  <c r="I32" i="843"/>
  <c r="AE31" i="843"/>
  <c r="AD31" i="843"/>
  <c r="AC31" i="843"/>
  <c r="AB31" i="843"/>
  <c r="AA31" i="843"/>
  <c r="Z31" i="843"/>
  <c r="Y31" i="843"/>
  <c r="X31" i="843"/>
  <c r="W31" i="843"/>
  <c r="I31" i="843"/>
  <c r="AE30" i="843"/>
  <c r="AD30" i="843"/>
  <c r="AC30" i="843"/>
  <c r="AB30" i="843"/>
  <c r="AA30" i="843"/>
  <c r="Z30" i="843"/>
  <c r="Y30" i="843"/>
  <c r="X30" i="843"/>
  <c r="W30" i="843"/>
  <c r="I30" i="843"/>
  <c r="AE29" i="843"/>
  <c r="AD29" i="843"/>
  <c r="AC29" i="843"/>
  <c r="AB29" i="843"/>
  <c r="AA29" i="843"/>
  <c r="Z29" i="843"/>
  <c r="Y29" i="843"/>
  <c r="X29" i="843"/>
  <c r="W29" i="843"/>
  <c r="I29" i="843"/>
  <c r="AE28" i="843"/>
  <c r="AD28" i="843"/>
  <c r="AC28" i="843"/>
  <c r="AB28" i="843"/>
  <c r="AA28" i="843"/>
  <c r="Z28" i="843"/>
  <c r="Y28" i="843"/>
  <c r="X28" i="843"/>
  <c r="W28" i="843"/>
  <c r="I28" i="843"/>
  <c r="AE27" i="843"/>
  <c r="AD27" i="843"/>
  <c r="AC27" i="843"/>
  <c r="AB27" i="843"/>
  <c r="AA27" i="843"/>
  <c r="Z27" i="843"/>
  <c r="Y27" i="843"/>
  <c r="X27" i="843"/>
  <c r="W27" i="843"/>
  <c r="I27" i="843"/>
  <c r="AE26" i="843"/>
  <c r="AD26" i="843"/>
  <c r="AC26" i="843"/>
  <c r="AB26" i="843"/>
  <c r="AA26" i="843"/>
  <c r="Z26" i="843"/>
  <c r="Y26" i="843"/>
  <c r="X26" i="843"/>
  <c r="W26" i="843"/>
  <c r="I26" i="843"/>
  <c r="AE25" i="843"/>
  <c r="AD25" i="843"/>
  <c r="AC25" i="843"/>
  <c r="AB25" i="843"/>
  <c r="AA25" i="843"/>
  <c r="I25" i="843"/>
  <c r="Z25" i="843" s="1"/>
  <c r="AE24" i="843"/>
  <c r="AH51" i="843" s="1"/>
  <c r="AO51" i="843" s="1"/>
  <c r="AD24" i="843"/>
  <c r="AH50" i="843" s="1"/>
  <c r="AM50" i="843" s="1"/>
  <c r="AC24" i="843"/>
  <c r="AB24" i="843"/>
  <c r="AH48" i="843" s="1"/>
  <c r="AO48" i="843" s="1"/>
  <c r="AA24" i="843"/>
  <c r="AA35" i="843" s="1"/>
  <c r="I24" i="843"/>
  <c r="I36" i="843" s="1"/>
  <c r="I39" i="843" s="1"/>
  <c r="L20" i="843" a="1"/>
  <c r="L20" i="843" s="1"/>
  <c r="U20" i="843" s="1" a="1"/>
  <c r="U20" i="843" s="1"/>
  <c r="W20" i="843" s="1" a="1"/>
  <c r="W20" i="843" s="1"/>
  <c r="F10" i="843"/>
  <c r="F9" i="843"/>
  <c r="B1" i="843"/>
  <c r="X25" i="844" l="1"/>
  <c r="X24" i="844"/>
  <c r="AK48" i="845"/>
  <c r="AN49" i="845"/>
  <c r="AK51" i="845"/>
  <c r="AO49" i="845"/>
  <c r="AN48" i="845"/>
  <c r="AJ50" i="845"/>
  <c r="AO48" i="845"/>
  <c r="AK50" i="845"/>
  <c r="I36" i="845"/>
  <c r="I39" i="845" s="1"/>
  <c r="AK49" i="845"/>
  <c r="AN50" i="845"/>
  <c r="AI49" i="845"/>
  <c r="X24" i="845"/>
  <c r="AH44" i="845" s="1"/>
  <c r="Z24" i="845"/>
  <c r="AI48" i="845"/>
  <c r="AL49" i="845"/>
  <c r="AO50" i="845"/>
  <c r="AE35" i="845"/>
  <c r="AJ49" i="845"/>
  <c r="Y24" i="845"/>
  <c r="W25" i="844"/>
  <c r="W24" i="844"/>
  <c r="AM48" i="844"/>
  <c r="AJ48" i="844"/>
  <c r="AI48" i="844"/>
  <c r="AK48" i="844"/>
  <c r="AO48" i="844"/>
  <c r="AN48" i="844"/>
  <c r="AL48" i="844"/>
  <c r="AJ50" i="844"/>
  <c r="AN49" i="844"/>
  <c r="AO49" i="844"/>
  <c r="AK50" i="844"/>
  <c r="AI49" i="844"/>
  <c r="AL50" i="844"/>
  <c r="Y24" i="844"/>
  <c r="Y25" i="844"/>
  <c r="AD35" i="844"/>
  <c r="AJ49" i="844"/>
  <c r="AM50" i="844"/>
  <c r="Z24" i="844"/>
  <c r="Z25" i="844"/>
  <c r="I36" i="844"/>
  <c r="I39" i="844" s="1"/>
  <c r="AK49" i="844"/>
  <c r="AN50" i="844"/>
  <c r="AC35" i="844"/>
  <c r="AA24" i="844"/>
  <c r="AA35" i="844" s="1"/>
  <c r="AA25" i="844"/>
  <c r="AL49" i="844"/>
  <c r="AO50" i="844"/>
  <c r="AJ51" i="844"/>
  <c r="W24" i="843"/>
  <c r="W25" i="843"/>
  <c r="AN50" i="843"/>
  <c r="AK48" i="843"/>
  <c r="AK51" i="843"/>
  <c r="AJ48" i="843"/>
  <c r="AL48" i="843"/>
  <c r="AN51" i="843"/>
  <c r="AH49" i="843"/>
  <c r="AM48" i="843"/>
  <c r="AI50" i="843"/>
  <c r="AI48" i="843"/>
  <c r="AC35" i="843"/>
  <c r="AN48" i="843"/>
  <c r="AJ50" i="843"/>
  <c r="X24" i="843"/>
  <c r="AK50" i="843"/>
  <c r="Y25" i="843"/>
  <c r="AE35" i="843"/>
  <c r="AL50" i="843"/>
  <c r="X25" i="843"/>
  <c r="AD35" i="843"/>
  <c r="Y24" i="843"/>
  <c r="Z24" i="843"/>
  <c r="AH43" i="845"/>
  <c r="AJ43" i="845" s="1"/>
  <c r="W35" i="845"/>
  <c r="AB35" i="845"/>
  <c r="AH47" i="845"/>
  <c r="AC35" i="845"/>
  <c r="AD35" i="845"/>
  <c r="AB35" i="844"/>
  <c r="AE35" i="844"/>
  <c r="AB35" i="843"/>
  <c r="AH47" i="843"/>
  <c r="W35" i="843" l="1"/>
  <c r="AH44" i="844"/>
  <c r="AH43" i="844"/>
  <c r="AJ43" i="844" s="1"/>
  <c r="X35" i="844"/>
  <c r="AH43" i="843"/>
  <c r="AI43" i="843" s="1"/>
  <c r="W35" i="844"/>
  <c r="AH45" i="845"/>
  <c r="Y35" i="845"/>
  <c r="X35" i="845"/>
  <c r="AM47" i="845"/>
  <c r="AN47" i="845"/>
  <c r="AO47" i="845"/>
  <c r="AL47" i="845"/>
  <c r="AJ47" i="845"/>
  <c r="AK47" i="845"/>
  <c r="AI47" i="845"/>
  <c r="Z35" i="845"/>
  <c r="AH46" i="845"/>
  <c r="AJ44" i="845"/>
  <c r="AI44" i="845"/>
  <c r="AO44" i="845"/>
  <c r="AN44" i="845"/>
  <c r="AL44" i="845"/>
  <c r="AK44" i="845"/>
  <c r="AM44" i="845"/>
  <c r="Z35" i="844"/>
  <c r="AH46" i="844"/>
  <c r="AH45" i="844"/>
  <c r="Y35" i="844"/>
  <c r="AH47" i="844"/>
  <c r="AN47" i="843"/>
  <c r="AM47" i="843"/>
  <c r="AL47" i="843"/>
  <c r="AK47" i="843"/>
  <c r="AJ47" i="843"/>
  <c r="AI47" i="843"/>
  <c r="AO47" i="843"/>
  <c r="Y35" i="843"/>
  <c r="AH45" i="843"/>
  <c r="Z35" i="843"/>
  <c r="AH46" i="843"/>
  <c r="AJ49" i="843"/>
  <c r="AI49" i="843"/>
  <c r="AO49" i="843"/>
  <c r="AN49" i="843"/>
  <c r="AK49" i="843"/>
  <c r="AM49" i="843"/>
  <c r="AL49" i="843"/>
  <c r="X35" i="843"/>
  <c r="AH44" i="843"/>
  <c r="AK43" i="845"/>
  <c r="AI43" i="845"/>
  <c r="AO43" i="845" s="1"/>
  <c r="AN43" i="845"/>
  <c r="AM43" i="845"/>
  <c r="AG51" i="845" a="1"/>
  <c r="AG51" i="845" s="1"/>
  <c r="AL43" i="845"/>
  <c r="C7" i="796"/>
  <c r="AN43" i="843" l="1"/>
  <c r="AM43" i="843"/>
  <c r="AN44" i="844"/>
  <c r="AO43" i="843"/>
  <c r="AK43" i="843"/>
  <c r="AI44" i="844"/>
  <c r="AO44" i="844" s="1"/>
  <c r="AJ44" i="844"/>
  <c r="AL43" i="843"/>
  <c r="AL44" i="844"/>
  <c r="AM43" i="844"/>
  <c r="AK43" i="844"/>
  <c r="AI43" i="844"/>
  <c r="AO43" i="844" s="1"/>
  <c r="AK44" i="844"/>
  <c r="AG51" i="844" a="1"/>
  <c r="AG51" i="844" s="1"/>
  <c r="AM44" i="844"/>
  <c r="AN43" i="844"/>
  <c r="AJ43" i="843"/>
  <c r="AL43" i="844"/>
  <c r="AN46" i="845"/>
  <c r="AK46" i="845"/>
  <c r="AM46" i="845"/>
  <c r="AL46" i="845"/>
  <c r="AJ46" i="845"/>
  <c r="AI46" i="845"/>
  <c r="AO46" i="845"/>
  <c r="AL45" i="845"/>
  <c r="AJ45" i="845"/>
  <c r="AK45" i="845"/>
  <c r="AI45" i="845"/>
  <c r="AO45" i="845"/>
  <c r="AN45" i="845"/>
  <c r="AN52" i="845" s="1"/>
  <c r="AI39" i="845" s="1"/>
  <c r="AL39" i="845" s="1"/>
  <c r="AM45" i="845"/>
  <c r="AJ47" i="844"/>
  <c r="AM47" i="844"/>
  <c r="AO47" i="844"/>
  <c r="AN47" i="844"/>
  <c r="AL47" i="844"/>
  <c r="AK47" i="844"/>
  <c r="AI47" i="844"/>
  <c r="AO45" i="844"/>
  <c r="AL45" i="844"/>
  <c r="AK45" i="844"/>
  <c r="AJ45" i="844"/>
  <c r="AI45" i="844"/>
  <c r="AN45" i="844"/>
  <c r="AM45" i="844"/>
  <c r="AN46" i="844"/>
  <c r="AM46" i="844"/>
  <c r="AL46" i="844"/>
  <c r="AK46" i="844"/>
  <c r="AJ46" i="844"/>
  <c r="AI46" i="844"/>
  <c r="AO46" i="844"/>
  <c r="AN44" i="843"/>
  <c r="AM44" i="843"/>
  <c r="AL44" i="843"/>
  <c r="AK44" i="843"/>
  <c r="AJ44" i="843"/>
  <c r="AI44" i="843"/>
  <c r="AO44" i="843" s="1"/>
  <c r="AI45" i="843"/>
  <c r="AO45" i="843"/>
  <c r="AL45" i="843"/>
  <c r="AN45" i="843"/>
  <c r="AK45" i="843"/>
  <c r="AM45" i="843"/>
  <c r="AJ45" i="843"/>
  <c r="AG51" i="843" a="1"/>
  <c r="AG51" i="843" s="1"/>
  <c r="AK46" i="843"/>
  <c r="AJ46" i="843"/>
  <c r="AI46" i="843"/>
  <c r="AN46" i="843"/>
  <c r="AM46" i="843"/>
  <c r="AO46" i="843"/>
  <c r="AL46" i="843"/>
  <c r="C6" i="796"/>
  <c r="C5" i="796"/>
  <c r="AN52" i="844" l="1"/>
  <c r="AI39" i="844" s="1"/>
  <c r="AL39" i="844" s="1"/>
  <c r="AN52" i="843"/>
  <c r="AI39" i="843" s="1"/>
  <c r="AL39" i="843" s="1"/>
  <c r="A7" i="785" l="1" a="1"/>
  <c r="A7" i="785" l="1"/>
  <c r="L20" i="4" l="1" a="1"/>
  <c r="L20" i="4" s="1"/>
  <c r="U20" i="4" s="1" a="1"/>
  <c r="U20" i="4" s="1"/>
  <c r="W20" i="4" s="1" a="1"/>
  <c r="W20" i="4" s="1"/>
  <c r="I25" i="4"/>
  <c r="Y27" i="4" l="1"/>
  <c r="Y32" i="4"/>
  <c r="Y33" i="4"/>
  <c r="Y34" i="4"/>
  <c r="AD27" i="4"/>
  <c r="AD32" i="4"/>
  <c r="AD33" i="4"/>
  <c r="AD34" i="4"/>
  <c r="AC27" i="4"/>
  <c r="AC32" i="4"/>
  <c r="AC33" i="4"/>
  <c r="AC34" i="4"/>
  <c r="AB27" i="4"/>
  <c r="AB32" i="4"/>
  <c r="AB33" i="4"/>
  <c r="AB34" i="4"/>
  <c r="AA27" i="4"/>
  <c r="AA32" i="4"/>
  <c r="AA34" i="4"/>
  <c r="Z27" i="4"/>
  <c r="Z32" i="4"/>
  <c r="Z34" i="4"/>
  <c r="X34" i="4"/>
  <c r="X32" i="4"/>
  <c r="X27" i="4"/>
  <c r="W34" i="4"/>
  <c r="W32" i="4"/>
  <c r="W27" i="4"/>
  <c r="B1" i="4" l="1"/>
  <c r="F10" i="4"/>
  <c r="AE34" i="4"/>
  <c r="AE32" i="4"/>
  <c r="AE31" i="4"/>
  <c r="AE30" i="4"/>
  <c r="AE29" i="4"/>
  <c r="AE28" i="4"/>
  <c r="AE26" i="4"/>
  <c r="AE25" i="4"/>
  <c r="W26" i="4" l="1"/>
  <c r="Y28" i="4"/>
  <c r="Y30" i="4"/>
  <c r="Y29" i="4"/>
  <c r="Y31" i="4"/>
  <c r="Y25" i="4"/>
  <c r="Y26" i="4"/>
  <c r="AD30" i="4"/>
  <c r="AC29" i="4"/>
  <c r="AB28" i="4"/>
  <c r="AD31" i="4"/>
  <c r="AC30" i="4"/>
  <c r="AB29" i="4"/>
  <c r="AC31" i="4"/>
  <c r="AB30" i="4"/>
  <c r="AB31" i="4"/>
  <c r="AD25" i="4"/>
  <c r="AD26" i="4"/>
  <c r="AC25" i="4"/>
  <c r="AC26" i="4"/>
  <c r="AB25" i="4"/>
  <c r="AD28" i="4"/>
  <c r="AB26" i="4"/>
  <c r="AD29" i="4"/>
  <c r="AC28" i="4"/>
  <c r="Z33" i="4"/>
  <c r="AA25" i="4"/>
  <c r="AA26" i="4"/>
  <c r="Z25" i="4"/>
  <c r="Z26" i="4"/>
  <c r="AA28" i="4"/>
  <c r="X33" i="4"/>
  <c r="AA29" i="4"/>
  <c r="Z28" i="4"/>
  <c r="AA30" i="4"/>
  <c r="Z29" i="4"/>
  <c r="AA31" i="4"/>
  <c r="Z30" i="4"/>
  <c r="Z31" i="4"/>
  <c r="AA33" i="4"/>
  <c r="I24" i="4" l="1"/>
  <c r="W24" i="4" l="1"/>
  <c r="AE24" i="4"/>
  <c r="AB24" i="4"/>
  <c r="AB35" i="4" s="1"/>
  <c r="Y24" i="4"/>
  <c r="Y35" i="4" s="1"/>
  <c r="AD24" i="4"/>
  <c r="AD35" i="4" s="1"/>
  <c r="AC24" i="4"/>
  <c r="AC35" i="4" s="1"/>
  <c r="X24" i="4"/>
  <c r="AA24" i="4"/>
  <c r="AA35" i="4" s="1"/>
  <c r="Z24" i="4"/>
  <c r="Z35" i="4" s="1"/>
  <c r="I34" i="4" l="1"/>
  <c r="I33" i="4"/>
  <c r="I32" i="4"/>
  <c r="I31" i="4"/>
  <c r="I30" i="4"/>
  <c r="I29" i="4"/>
  <c r="I28" i="4"/>
  <c r="I27" i="4"/>
  <c r="AE27" i="4" s="1"/>
  <c r="I26" i="4"/>
  <c r="C1" i="785" l="1"/>
  <c r="X28" i="4"/>
  <c r="W28" i="4"/>
  <c r="X29" i="4"/>
  <c r="W29" i="4"/>
  <c r="X30" i="4"/>
  <c r="W30" i="4"/>
  <c r="X31" i="4"/>
  <c r="W31" i="4"/>
  <c r="AE33" i="4"/>
  <c r="AE35" i="4" s="1"/>
  <c r="W33" i="4"/>
  <c r="X25" i="4"/>
  <c r="W25" i="4"/>
  <c r="X26" i="4"/>
  <c r="I36" i="4"/>
  <c r="I39" i="4" s="1"/>
  <c r="W35" i="4" l="1"/>
  <c r="X35" i="4"/>
  <c r="AH51" i="4"/>
  <c r="AH49" i="4"/>
  <c r="AH45" i="4"/>
  <c r="AH43" i="4"/>
  <c r="AH44" i="4"/>
  <c r="AH50" i="4"/>
  <c r="AN50" i="4" s="1"/>
  <c r="AH47" i="4"/>
  <c r="AN47" i="4" s="1"/>
  <c r="AH46" i="4"/>
  <c r="AH48" i="4"/>
  <c r="AN48" i="4" s="1"/>
  <c r="AM43" i="4" l="1"/>
  <c r="AG51" i="4" a="1"/>
  <c r="AG51" i="4" s="1"/>
  <c r="AL49" i="4"/>
  <c r="AN49" i="4"/>
  <c r="AO51" i="4"/>
  <c r="AN51" i="4"/>
  <c r="AM50" i="4"/>
  <c r="AK51" i="4"/>
  <c r="AJ51" i="4"/>
  <c r="AL50" i="4"/>
  <c r="AI45" i="4"/>
  <c r="AO45" i="4" s="1"/>
  <c r="AI47" i="4"/>
  <c r="AO47" i="4" s="1"/>
  <c r="AI44" i="4"/>
  <c r="AO44" i="4" s="1"/>
  <c r="AJ43" i="4"/>
  <c r="AI48" i="4"/>
  <c r="AO48" i="4" s="1"/>
  <c r="AI46" i="4"/>
  <c r="AO46" i="4" s="1"/>
  <c r="AI49" i="4"/>
  <c r="AO49" i="4" s="1"/>
  <c r="AJ49" i="4"/>
  <c r="AK49" i="4"/>
  <c r="AM49" i="4"/>
  <c r="AI50" i="4"/>
  <c r="AO50" i="4" s="1"/>
  <c r="AJ50" i="4"/>
  <c r="AK50" i="4"/>
  <c r="AJ48" i="4"/>
  <c r="AJ44" i="4"/>
  <c r="AJ45" i="4"/>
  <c r="AJ47" i="4"/>
  <c r="AJ46" i="4"/>
  <c r="AI43" i="4"/>
  <c r="AO43" i="4" s="1"/>
  <c r="AK43" i="4"/>
  <c r="AM48" i="4"/>
  <c r="AK48" i="4"/>
  <c r="AL48" i="4"/>
  <c r="AL45" i="4"/>
  <c r="AM45" i="4"/>
  <c r="AN45" i="4"/>
  <c r="AK45" i="4"/>
  <c r="AL43" i="4"/>
  <c r="AN43" i="4"/>
  <c r="AL44" i="4"/>
  <c r="AM44" i="4"/>
  <c r="AN44" i="4"/>
  <c r="AK44" i="4"/>
  <c r="AK47" i="4"/>
  <c r="AL47" i="4"/>
  <c r="AM47" i="4"/>
  <c r="AK46" i="4"/>
  <c r="AL46" i="4"/>
  <c r="AM46" i="4"/>
  <c r="AN46" i="4"/>
  <c r="AN52" i="4" l="1"/>
  <c r="AI39" i="4" s="1"/>
  <c r="AL39" i="4" s="1"/>
  <c r="F9" i="4"/>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<sst xmlns="http://schemas.openxmlformats.org/spreadsheetml/2006/main" count="694" uniqueCount="385">
  <si>
    <t>AMOUNT</t>
  </si>
  <si>
    <t>COST</t>
  </si>
  <si>
    <t>QUANTITY</t>
  </si>
  <si>
    <t>DESCRIPTION</t>
  </si>
  <si>
    <t>LINE</t>
  </si>
  <si>
    <t>NOTES:</t>
  </si>
  <si>
    <t>TERMS</t>
  </si>
  <si>
    <t>ADDRESS</t>
  </si>
  <si>
    <t>JOB NAME</t>
  </si>
  <si>
    <t>TO</t>
  </si>
  <si>
    <t>JOB NO.</t>
  </si>
  <si>
    <t>DATE</t>
  </si>
  <si>
    <t>P.O. NO.</t>
  </si>
  <si>
    <t>PURCHASE ORDER / CHECK REQUEST</t>
  </si>
  <si>
    <t>PURCHASE ORDER LOG</t>
  </si>
  <si>
    <t>PAYEE</t>
  </si>
  <si>
    <t>PO</t>
  </si>
  <si>
    <t>PAY ID</t>
  </si>
  <si>
    <t>LINE DESCRIPTION</t>
  </si>
  <si>
    <t>TOTAL</t>
  </si>
  <si>
    <t>A</t>
  </si>
  <si>
    <t>PRE-PRO &amp; WRAP CREW</t>
  </si>
  <si>
    <t>Line Producer</t>
  </si>
  <si>
    <t>Assistant Director</t>
  </si>
  <si>
    <t>Director of Photography</t>
  </si>
  <si>
    <t>2nd Unit DP</t>
  </si>
  <si>
    <t>1st AC</t>
  </si>
  <si>
    <t>2nd AC</t>
  </si>
  <si>
    <t>Phantom Tech</t>
  </si>
  <si>
    <t>DIT</t>
  </si>
  <si>
    <t>Crane Operator</t>
  </si>
  <si>
    <t>Crane Tech</t>
  </si>
  <si>
    <t>Gaffer</t>
  </si>
  <si>
    <t>BB Electric</t>
  </si>
  <si>
    <t>3rd Electric</t>
  </si>
  <si>
    <t>4th Electric/Driver</t>
  </si>
  <si>
    <t>Package Truck Driver</t>
  </si>
  <si>
    <t>Key Grip</t>
  </si>
  <si>
    <t>BB Grip</t>
  </si>
  <si>
    <t>3rd Grip</t>
  </si>
  <si>
    <t>4th Grip/Driver</t>
  </si>
  <si>
    <t>addt'l Grips</t>
  </si>
  <si>
    <t>Sound Mixer</t>
  </si>
  <si>
    <t>Boom Operator</t>
  </si>
  <si>
    <t>Key Makeup</t>
  </si>
  <si>
    <t>Key Hair</t>
  </si>
  <si>
    <t>2nd Makeup/2nd Hair</t>
  </si>
  <si>
    <t>Key Stylist</t>
  </si>
  <si>
    <t>Stylist Assistant</t>
  </si>
  <si>
    <t>Script Supervisor</t>
  </si>
  <si>
    <t>Manicurist</t>
  </si>
  <si>
    <t>Stills Digitech</t>
  </si>
  <si>
    <t>VTR Operator</t>
  </si>
  <si>
    <t>Bolt Tech</t>
  </si>
  <si>
    <t>Bolt Op</t>
  </si>
  <si>
    <t>Cam Car Arm Op + Tech</t>
  </si>
  <si>
    <t>Camera Car Driver</t>
  </si>
  <si>
    <t>ALM</t>
  </si>
  <si>
    <t>Location Manager</t>
  </si>
  <si>
    <t>Production Supervisor</t>
  </si>
  <si>
    <t>Commercial Coordinator</t>
  </si>
  <si>
    <t>Talent Coordinator</t>
  </si>
  <si>
    <t>Medic/First Aid</t>
  </si>
  <si>
    <t>Craft Service</t>
  </si>
  <si>
    <t>Lifeguard</t>
  </si>
  <si>
    <t>Choreographer</t>
  </si>
  <si>
    <t>Drivers</t>
  </si>
  <si>
    <t>Teamsters</t>
  </si>
  <si>
    <t>Production Assistants</t>
  </si>
  <si>
    <t>Steadicam Operator</t>
  </si>
  <si>
    <t>4th Electric</t>
  </si>
  <si>
    <t>4th Grip</t>
  </si>
  <si>
    <t>Generator Operator</t>
  </si>
  <si>
    <t>Key Hair/Makeup</t>
  </si>
  <si>
    <t>Asst Hair/Makeup</t>
  </si>
  <si>
    <t>Stills Asst</t>
  </si>
  <si>
    <t>VTR Asst</t>
  </si>
  <si>
    <t>2nd AD</t>
  </si>
  <si>
    <t>Craft Assistant</t>
  </si>
  <si>
    <t>Police</t>
  </si>
  <si>
    <t>C</t>
  </si>
  <si>
    <t>PRE-PRODUCTION &amp; WRAP EXPENSES</t>
  </si>
  <si>
    <t>Auto Rentals</t>
  </si>
  <si>
    <t>Rehearsal Space</t>
  </si>
  <si>
    <t>Pre Pro Expenses</t>
  </si>
  <si>
    <t>Messengers</t>
  </si>
  <si>
    <t>Trucking</t>
  </si>
  <si>
    <t>Deliveries &amp; Taxis</t>
  </si>
  <si>
    <t>Working Meals</t>
  </si>
  <si>
    <t>Background Casting</t>
  </si>
  <si>
    <t>Casting Director</t>
  </si>
  <si>
    <t>Casting Facilities</t>
  </si>
  <si>
    <t>Pre Pro Meals</t>
  </si>
  <si>
    <t>Location Scouting Expenses</t>
  </si>
  <si>
    <t>D</t>
  </si>
  <si>
    <t>LOCATION EXPENSES</t>
  </si>
  <si>
    <t>Location Fees - House/Grocery Store</t>
  </si>
  <si>
    <t>Permit Fees</t>
  </si>
  <si>
    <t>Basecamp</t>
  </si>
  <si>
    <t>Crew Shuttles</t>
  </si>
  <si>
    <t>Dressing Room Vehicles</t>
  </si>
  <si>
    <t>Honeywagon/Restrooms</t>
  </si>
  <si>
    <t>Parking, Tolls, &amp; Gas</t>
  </si>
  <si>
    <t>Grip &amp; Electric Trucks</t>
  </si>
  <si>
    <t>Camera Truck</t>
  </si>
  <si>
    <t>Production Truck</t>
  </si>
  <si>
    <t>Wardrobe Truck</t>
  </si>
  <si>
    <t>Location Prep</t>
  </si>
  <si>
    <t>Van Rentals</t>
  </si>
  <si>
    <t>Van Rentals - Client/Agency/Chauffers</t>
  </si>
  <si>
    <t>Security</t>
  </si>
  <si>
    <t>Breakfast</t>
  </si>
  <si>
    <t>Lunch</t>
  </si>
  <si>
    <t>Dinner</t>
  </si>
  <si>
    <t>BG Meals</t>
  </si>
  <si>
    <t>Kit Rental</t>
  </si>
  <si>
    <t>BG Holding</t>
  </si>
  <si>
    <t>Preight Craft</t>
  </si>
  <si>
    <t>Prelight Meals</t>
  </si>
  <si>
    <t>E</t>
  </si>
  <si>
    <t>PROPS, WARDROBE &amp; ANIMALS</t>
  </si>
  <si>
    <t>Food Truck Rental</t>
  </si>
  <si>
    <t>Home Ec Supplies</t>
  </si>
  <si>
    <t>Wardrobe Rentals</t>
  </si>
  <si>
    <t>Aniamls &amp; Trainers</t>
  </si>
  <si>
    <t>Humane Rep</t>
  </si>
  <si>
    <t>Transportation</t>
  </si>
  <si>
    <t>Wardrobe Misc. Costs</t>
  </si>
  <si>
    <t>F</t>
  </si>
  <si>
    <t>STUDIO RENTAL &amp; EXPENSES</t>
  </si>
  <si>
    <t xml:space="preserve">Rental For Build Days </t>
  </si>
  <si>
    <t>Build OT Hours</t>
  </si>
  <si>
    <t>Rental for Pre-Lite Days</t>
  </si>
  <si>
    <t>Pre-Lite OT Hours</t>
  </si>
  <si>
    <t>Rental for Shoot Days</t>
  </si>
  <si>
    <t>Shoot OT Hours</t>
  </si>
  <si>
    <t>Rental for Strike Days</t>
  </si>
  <si>
    <t>Strike OT Hours</t>
  </si>
  <si>
    <t>Generator and Operator</t>
  </si>
  <si>
    <t>Air Conditioning</t>
  </si>
  <si>
    <t>Power Charges</t>
  </si>
  <si>
    <t>Misc Studio Charges</t>
  </si>
  <si>
    <t>G</t>
  </si>
  <si>
    <t>SET CONSTRUCTION CREW</t>
  </si>
  <si>
    <t>Production Designer</t>
  </si>
  <si>
    <t>Buyer/Shopper</t>
  </si>
  <si>
    <t>Prop Master</t>
  </si>
  <si>
    <t>Leadman</t>
  </si>
  <si>
    <t>Driver/Set Dresser</t>
  </si>
  <si>
    <t>Set Dresser</t>
  </si>
  <si>
    <t>Prop Assistant</t>
  </si>
  <si>
    <t>Art Dept Coordinator</t>
  </si>
  <si>
    <t>Food Stylist Assistant Prep Day</t>
  </si>
  <si>
    <t>PA</t>
  </si>
  <si>
    <t>Food Stylist Assists</t>
  </si>
  <si>
    <t>SPFX Asst</t>
  </si>
  <si>
    <t>H</t>
  </si>
  <si>
    <t>SET CONSTRUCTION MATERIALS</t>
  </si>
  <si>
    <t>Prop Rentals &amp; Purchsses</t>
  </si>
  <si>
    <t>Set Dressing Rentals &amp; Purchases</t>
  </si>
  <si>
    <t>Custom Props</t>
  </si>
  <si>
    <t>Construction</t>
  </si>
  <si>
    <t>Backdrops</t>
  </si>
  <si>
    <t>Food Truck</t>
  </si>
  <si>
    <t>Food Props</t>
  </si>
  <si>
    <t>Practical Sand and Clean up</t>
  </si>
  <si>
    <t>Food Stylist Ground Transport</t>
  </si>
  <si>
    <t>Art Dept Trucking</t>
  </si>
  <si>
    <t>Parking and fuel</t>
  </si>
  <si>
    <t>Kits and Meals</t>
  </si>
  <si>
    <t>I</t>
  </si>
  <si>
    <t>EQUIPMENT RENTAL</t>
  </si>
  <si>
    <t>Camera Rental</t>
  </si>
  <si>
    <t>Sound Rental</t>
  </si>
  <si>
    <t>Lighting Rental</t>
  </si>
  <si>
    <t>Grip Rental</t>
  </si>
  <si>
    <t>Generator Rental</t>
  </si>
  <si>
    <t>Crane + Remote Head Rental</t>
  </si>
  <si>
    <t>VTR Rental</t>
  </si>
  <si>
    <t>Walkie Talkie Rental</t>
  </si>
  <si>
    <t>Dolly Rental</t>
  </si>
  <si>
    <t>Slider</t>
  </si>
  <si>
    <t>Steadicam</t>
  </si>
  <si>
    <t>Production Supplies</t>
  </si>
  <si>
    <t>Location Supplies</t>
  </si>
  <si>
    <t>Expendables</t>
  </si>
  <si>
    <t>DIT Equipment</t>
  </si>
  <si>
    <t>Stills Equipment</t>
  </si>
  <si>
    <t>Package Truck</t>
  </si>
  <si>
    <t>Phantom Camera Kit</t>
  </si>
  <si>
    <t>J</t>
  </si>
  <si>
    <t>FILMSTOCK, DEVELOP &amp; PRINT</t>
  </si>
  <si>
    <t>Hard Drives</t>
  </si>
  <si>
    <t>Transcodes</t>
  </si>
  <si>
    <t>Slingshot Dailies</t>
  </si>
  <si>
    <t>Film Stock</t>
  </si>
  <si>
    <t>Processing</t>
  </si>
  <si>
    <t>Drives</t>
  </si>
  <si>
    <t>K</t>
  </si>
  <si>
    <t>MISCELLANEOUS COSTS</t>
  </si>
  <si>
    <t>Storage Space</t>
  </si>
  <si>
    <t>Shipping</t>
  </si>
  <si>
    <t>Tax Waivers</t>
  </si>
  <si>
    <t>DGA AD Letter</t>
  </si>
  <si>
    <t>Work Permits / LMIA</t>
  </si>
  <si>
    <t>Portable Wifi</t>
  </si>
  <si>
    <t>Wire Rigging Equipment</t>
  </si>
  <si>
    <t>Photographer Fees</t>
  </si>
  <si>
    <t>Photographer Assist</t>
  </si>
  <si>
    <t>L</t>
  </si>
  <si>
    <t>DIRECTOR/CREATIVE FEES</t>
  </si>
  <si>
    <t>Director Prep</t>
  </si>
  <si>
    <t>Director Shoot</t>
  </si>
  <si>
    <t>Director Follow-up Shoots</t>
  </si>
  <si>
    <t>Creative Director</t>
  </si>
  <si>
    <t>Writers</t>
  </si>
  <si>
    <t>M</t>
  </si>
  <si>
    <t xml:space="preserve">TALENT                                                                                           </t>
  </si>
  <si>
    <t>O/C Principals</t>
  </si>
  <si>
    <t>General Extras</t>
  </si>
  <si>
    <t>Extras Wardrobe Allowance</t>
  </si>
  <si>
    <t>Extras Casting fee</t>
  </si>
  <si>
    <t>Extras Payroll Service</t>
  </si>
  <si>
    <t>Extras Covid Testing</t>
  </si>
  <si>
    <t>Hand Models</t>
  </si>
  <si>
    <t>Voice Over</t>
  </si>
  <si>
    <t>Fitting Fees</t>
  </si>
  <si>
    <t>Audition Fees</t>
  </si>
  <si>
    <t>Talent</t>
  </si>
  <si>
    <t>Talent Payroll Service</t>
  </si>
  <si>
    <t>Talent Wardrobe Allowance</t>
  </si>
  <si>
    <t>N</t>
  </si>
  <si>
    <t>Other</t>
  </si>
  <si>
    <t>Director Flights</t>
  </si>
  <si>
    <t>Per Diems</t>
  </si>
  <si>
    <t>Director Hotels</t>
  </si>
  <si>
    <t>O</t>
  </si>
  <si>
    <t>P</t>
  </si>
  <si>
    <t>Covid Expenses</t>
  </si>
  <si>
    <t>Covid Testing Stipend</t>
  </si>
  <si>
    <t>ACTUAL</t>
  </si>
  <si>
    <t>{{PO_NUMBER}}</t>
  </si>
  <si>
    <t>*Enter Job Name + Number*</t>
  </si>
  <si>
    <t>Job Name:</t>
  </si>
  <si>
    <t>Job Number:</t>
  </si>
  <si>
    <t>*At Start of job define a PO Range*</t>
  </si>
  <si>
    <t>*Start by defining PO Prefix (typically job #)</t>
  </si>
  <si>
    <t>For Example</t>
  </si>
  <si>
    <t>*Then define, range of POs needed. *For example*</t>
  </si>
  <si>
    <t>*Sheet will generate PO Range</t>
  </si>
  <si>
    <t>2403-001</t>
  </si>
  <si>
    <t>2403-050</t>
  </si>
  <si>
    <t>Enter PO Prefix Here</t>
  </si>
  <si>
    <t>Enter PO Range Here</t>
  </si>
  <si>
    <t>Emergency Button Only</t>
  </si>
  <si>
    <t>Production Company</t>
  </si>
  <si>
    <t>Address</t>
  </si>
  <si>
    <t>TAX</t>
  </si>
  <si>
    <t>SUBTOTAL</t>
  </si>
  <si>
    <t>(Enter if needed)</t>
  </si>
  <si>
    <t>Ordered By</t>
  </si>
  <si>
    <t>Authorized By</t>
  </si>
  <si>
    <t>SS or TIN</t>
  </si>
  <si>
    <t>Fluid PO Log PO Genereator</t>
  </si>
  <si>
    <t>⦿</t>
  </si>
  <si>
    <t xml:space="preserve">In the line No Page, copy the line numbers from your job. </t>
  </si>
  <si>
    <t>Be aware there is also a section for CS Sections as well. Should you need to line items to general Cs Section.For example CS17 Travel, etc</t>
  </si>
  <si>
    <t>In the PO Generation tab, you can create as many PO pages as are needed for your job</t>
  </si>
  <si>
    <t>The PO Generation will you use the PO Page from the Template Sheet to do so</t>
  </si>
  <si>
    <t>Please make sure the Template Sheet is up to your standards before generatining. Ie, template page has the company logo, company address, etc. Add currency conversion if needed, etc,.</t>
  </si>
  <si>
    <t>Determine what kind of numeration your company is using for their Pos</t>
  </si>
  <si>
    <t>PO Range</t>
  </si>
  <si>
    <t xml:space="preserve">What is the range of POs you will need for your job. </t>
  </si>
  <si>
    <t>If there is a prefix for the range, enter the prefix in the prefix cell. If the company is using just a linear start number, and end number, leave the prefix cell blank</t>
  </si>
  <si>
    <t>Enter Job No and PO No on the PO Generation Page. This will automatically populate to the Template Sheet, and all proceeding PO pages.</t>
  </si>
  <si>
    <t>Enter range needed. Will immediately display in PO Table. If PO Table displays of PO numeration is correct to yuoe aatisfaction, click Generate Pos</t>
  </si>
  <si>
    <t>In the event you need additional Pos, simply enter the range needed. And subsequently click Generate Pos</t>
  </si>
  <si>
    <t>In the event you need to delete a large amount of Pos, repeat the process, but hit Delete all POs instead</t>
  </si>
  <si>
    <t>Export Pos</t>
  </si>
  <si>
    <t>At the wrap of your job, when POs need to be PDF'd accordingly, the export PO option tries to make this easier.</t>
  </si>
  <si>
    <t>In the Export PO Tab</t>
  </si>
  <si>
    <t>Hit Export</t>
  </si>
  <si>
    <t>The excel, will generate a PDF of every PO page seperatly, output to the folder that the PO Book is currently in.</t>
  </si>
  <si>
    <r>
      <t xml:space="preserve">This is a beta feature. If it doesn't work, you may need to modify the Macro yourself. Under developer tab, macros, </t>
    </r>
    <r>
      <rPr>
        <sz val="12"/>
        <color rgb="FFFF0000"/>
        <rFont val="Aptos Narrow (Body)"/>
      </rPr>
      <t>MACRO NAME</t>
    </r>
  </si>
  <si>
    <t>Each PDF file name will be that of its tab name, ie its PO</t>
  </si>
  <si>
    <t>From here, exported PDF POs can simply be dragged into the proper folders in your Finder window</t>
  </si>
  <si>
    <t>PO Log</t>
  </si>
  <si>
    <t>The true purpose of this workbook is to work in syncronbicity tandem with your PO Log</t>
  </si>
  <si>
    <t>To achieve this the PO Log is locked, and should not be edited.</t>
  </si>
  <si>
    <t>Upon editing each PO page. For every addition, the appropriate additon will be updated in the log.</t>
  </si>
  <si>
    <t>What happens: When a PO page, has multiple items, belonging to the same the Line No. It will be reflected in the log.</t>
  </si>
  <si>
    <t>If these PO Page Entries belong to different dates, or diffferent Pay IDs, the PO log will split them up accordingly</t>
  </si>
  <si>
    <t>Dates should be used for the purpose of tracking costs across statements. Ie check dates, CC dates, etc,.</t>
  </si>
  <si>
    <t>For this purpose you should leave dates on prospective items, quotes, bills, blank, as there is no tracking purpose and they can only create confusion.</t>
  </si>
  <si>
    <t>The PO Log works best as a PO Book reference device, that can be copied in its entirety, and pasted into your budget file</t>
  </si>
  <si>
    <t>The formatting of the PO log allows for highlighting, cell color changes, but not modifications. For PM's that like to note additionals in the line description, you should do this in your True Budget/Hot Budget file.</t>
  </si>
  <si>
    <t>2499-003</t>
  </si>
  <si>
    <t>2499-002</t>
  </si>
  <si>
    <t>2499-001</t>
  </si>
  <si>
    <t>#A</t>
  </si>
  <si>
    <t>#C</t>
  </si>
  <si>
    <t>#D</t>
  </si>
  <si>
    <t>#E</t>
  </si>
  <si>
    <t>#F</t>
  </si>
  <si>
    <t>#B</t>
  </si>
  <si>
    <t>Line</t>
  </si>
  <si>
    <t>Date</t>
  </si>
  <si>
    <t>PayID</t>
  </si>
  <si>
    <t>PO LOG PREVIEW</t>
  </si>
  <si>
    <t>HHEADER</t>
  </si>
  <si>
    <t>RowCount</t>
  </si>
  <si>
    <t>#H</t>
  </si>
  <si>
    <t>#G</t>
  </si>
  <si>
    <t>PC</t>
  </si>
  <si>
    <t>Tech Scout Van/People Mover</t>
  </si>
  <si>
    <t>Client/Agency - Meals/treats</t>
  </si>
  <si>
    <t>Client/Agency - Miscellaneous</t>
  </si>
  <si>
    <t>CS1</t>
  </si>
  <si>
    <t>Pre-Production | Wrap Labor</t>
  </si>
  <si>
    <t>CS2</t>
  </si>
  <si>
    <t>Shooting Labor</t>
  </si>
  <si>
    <t>CS3</t>
  </si>
  <si>
    <t>Pre-production | Wrap Expenses</t>
  </si>
  <si>
    <t>CS4</t>
  </si>
  <si>
    <t>Location And Staging</t>
  </si>
  <si>
    <t>CS5</t>
  </si>
  <si>
    <t>Makeup, Wardrobe, And Animals</t>
  </si>
  <si>
    <t>CS6</t>
  </si>
  <si>
    <t>Studio | Stage Rental / Expenses</t>
  </si>
  <si>
    <t>CS7</t>
  </si>
  <si>
    <t>Art Department Labor</t>
  </si>
  <si>
    <t>CS8</t>
  </si>
  <si>
    <t>Art Department Expenses</t>
  </si>
  <si>
    <t>CS9</t>
  </si>
  <si>
    <t>Equipment Costs</t>
  </si>
  <si>
    <t>CS10</t>
  </si>
  <si>
    <t>Filmstock, Develop And Print</t>
  </si>
  <si>
    <t>CS11</t>
  </si>
  <si>
    <t>Miscellaneous</t>
  </si>
  <si>
    <t>CS12</t>
  </si>
  <si>
    <t>Director | Creative Fees</t>
  </si>
  <si>
    <t>CS13</t>
  </si>
  <si>
    <t>Talent Labor</t>
  </si>
  <si>
    <t>CS14</t>
  </si>
  <si>
    <t>Travel Expenses</t>
  </si>
  <si>
    <t>CS15</t>
  </si>
  <si>
    <t>Covid Labor</t>
  </si>
  <si>
    <t>CS16</t>
  </si>
  <si>
    <t>CS17</t>
  </si>
  <si>
    <t>CS18</t>
  </si>
  <si>
    <t>CS19</t>
  </si>
  <si>
    <t>Travel</t>
  </si>
  <si>
    <t>CS20</t>
  </si>
  <si>
    <t>Production Fee</t>
  </si>
  <si>
    <t>Petty Cash</t>
  </si>
  <si>
    <t>PR</t>
  </si>
  <si>
    <t>Payroll Log</t>
  </si>
  <si>
    <t>Fakington</t>
  </si>
  <si>
    <t>#OTHER</t>
  </si>
  <si>
    <t>LineCount</t>
  </si>
  <si>
    <t>LogTotal</t>
  </si>
  <si>
    <t>Prod Co</t>
  </si>
  <si>
    <t>Sheet Index</t>
  </si>
  <si>
    <r>
      <t xml:space="preserve">Do not modify the {{PO_NUMBER}} cell on the </t>
    </r>
    <r>
      <rPr>
        <sz val="12"/>
        <color rgb="FFFF0000"/>
        <rFont val="Aptos Narrow (Body)"/>
      </rPr>
      <t>TemplatePO</t>
    </r>
  </si>
  <si>
    <t>LP Prep</t>
  </si>
  <si>
    <t>LP Shoot</t>
  </si>
  <si>
    <t>DUE</t>
  </si>
  <si>
    <t>NA</t>
  </si>
  <si>
    <t>PA Days</t>
  </si>
  <si>
    <t>VISA 2459</t>
  </si>
  <si>
    <t>DIT CART</t>
  </si>
  <si>
    <t>PA Dude</t>
  </si>
  <si>
    <t>DIT Girl</t>
  </si>
  <si>
    <t>Test Vendor</t>
  </si>
  <si>
    <t>VISA</t>
  </si>
  <si>
    <t>DO NOT MODIFY</t>
  </si>
  <si>
    <t>PAGES</t>
  </si>
  <si>
    <t>LineNo</t>
  </si>
  <si>
    <t xml:space="preserve">This workbook is designed to work in tandem to with an excel budget file, such as True Budget or Hot Budget. </t>
  </si>
  <si>
    <t>It provides and generates PO Pages, without the need for manual duplication and numeration.</t>
  </si>
  <si>
    <t>Each PO Page is designed to work in synchronicity with the PO Log, without requiring the double entry thereof</t>
  </si>
  <si>
    <t>It exports all pages seperately, with ease, and in batch. With appropriate filing numeration, to make wrap that much easier.</t>
  </si>
  <si>
    <t>This workbook has 3 primary functions.</t>
  </si>
  <si>
    <t>POData</t>
  </si>
  <si>
    <t>PO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</si>
</sst>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164" formatCode="m/d/yy;@"/>
    <numFmt numFmtId="165" formatCode="[&lt;=9999999]###\-####;\(###\)\ ###\-####"/>
    <numFmt numFmtId="166" formatCode="_(#,##0.00_);[Red]\(#,##0.00\)"/>
    <numFmt numFmtId="167" formatCode="000"/>
    <numFmt numFmtId="168" formatCode="0.00;[Red]0.00"/>
  </numFmts>
  <fonts count="77">
    <font>
      <sz val="12"/>
      <color theme="1"/>
      <name val="Aptos Narrow"/>
      <family val="2"/>
      <scheme val="minor"/>
    </font>
    <font>
      <b/>
      <sz val="12"/>
      <color theme="0"/>
      <name val="Aptos Narrow"/>
      <family val="2"/>
      <scheme val="minor"/>
    </font>
    <font>
      <sz val="12"/>
      <color rgb="FFFF0000"/>
      <name val="Aptos Narrow"/>
      <family val="2"/>
      <scheme val="minor"/>
    </font>
    <font>
      <sz val="10"/>
      <name val="Arial"/>
      <family val="2"/>
    </font>
    <font>
      <sz val="10"/>
      <color theme="1" tint="0.249977111117893"/>
      <name val="Aptos Narrow"/>
      <family val="1"/>
      <scheme val="minor"/>
    </font>
    <font>
      <b/>
      <sz val="10"/>
      <color theme="1" tint="0.249977111117893"/>
      <name val="Aptos Narrow"/>
      <family val="1"/>
      <scheme val="minor"/>
    </font>
    <font>
      <i/>
      <sz val="6"/>
      <color theme="1" tint="0.249977111117893"/>
      <name val="Aptos Narrow"/>
      <family val="1"/>
      <scheme val="minor"/>
    </font>
    <font>
      <sz val="10"/>
      <name val="Aptos Narrow"/>
      <family val="1"/>
      <scheme val="minor"/>
    </font>
    <font>
      <b/>
      <sz val="8"/>
      <color theme="1" tint="0.249977111117893"/>
      <name val="Aptos Narrow"/>
      <family val="1"/>
      <scheme val="minor"/>
    </font>
    <font>
      <b/>
      <sz val="12"/>
      <color theme="1" tint="0.249977111117893"/>
      <name val="Aptos Narrow"/>
      <family val="1"/>
      <scheme val="minor"/>
    </font>
    <font>
      <b/>
      <sz val="12"/>
      <color theme="1" tint="0.249977111117893"/>
      <name val="Aptos Display"/>
      <family val="1"/>
      <scheme val="major"/>
    </font>
    <font>
      <sz val="8"/>
      <color theme="1" tint="0.249977111117893"/>
      <name val="Aptos Narrow"/>
      <family val="1"/>
      <scheme val="minor"/>
    </font>
    <font>
      <sz val="12"/>
      <color theme="1" tint="0.249977111117893"/>
      <name val="Aptos Narrow"/>
      <family val="1"/>
      <scheme val="minor"/>
    </font>
    <font>
      <b/>
      <sz val="12"/>
      <color theme="1" tint="0.249977111117893"/>
      <name val="Arial"/>
      <family val="2"/>
    </font>
    <font>
      <b/>
      <sz val="10"/>
      <name val="Aptos Display"/>
      <family val="1"/>
      <scheme val="major"/>
    </font>
    <font>
      <sz val="12"/>
      <color rgb="FF0000FF"/>
      <name val="Aptos Narrow"/>
      <family val="1"/>
      <scheme val="minor"/>
    </font>
    <font>
      <sz val="12"/>
      <name val="Aptos Narrow"/>
      <family val="1"/>
      <scheme val="minor"/>
    </font>
    <font>
      <sz val="11"/>
      <name val="Garamond"/>
      <family val="1"/>
    </font>
    <font>
      <b/>
      <sz val="11"/>
      <name val="Garamond"/>
      <family val="1"/>
    </font>
    <font>
      <sz val="11"/>
      <color theme="1" tint="0.249977111117893"/>
      <name val="Garamond"/>
      <family val="1"/>
    </font>
    <font>
      <sz val="11"/>
      <name val="Aptos Display"/>
      <family val="1"/>
      <scheme val="major"/>
    </font>
    <font>
      <sz val="12"/>
      <name val="Aptos Display"/>
      <family val="1"/>
      <scheme val="major"/>
    </font>
    <font>
      <sz val="8"/>
      <name val="Aptos Narrow"/>
      <family val="1"/>
      <scheme val="minor"/>
    </font>
    <font>
      <b/>
      <sz val="15"/>
      <name val="Aptos Display"/>
      <family val="1"/>
      <scheme val="major"/>
    </font>
    <font>
      <b/>
      <sz val="15"/>
      <color theme="1" tint="0.249977111117893"/>
      <name val="Aptos Narrow"/>
      <family val="1"/>
      <scheme val="minor"/>
    </font>
    <font>
      <b/>
      <sz val="16"/>
      <color theme="1" tint="0.249977111117893"/>
      <name val="Aptos Narrow"/>
      <family val="1"/>
      <scheme val="minor"/>
    </font>
    <font>
      <sz val="11"/>
      <color theme="1" tint="0.249977111117893"/>
      <name val="Aptos Narrow"/>
      <family val="1"/>
      <scheme val="minor"/>
    </font>
    <font>
      <b/>
      <sz val="11"/>
      <color theme="1" tint="0.249977111117893"/>
      <name val="Aptos Narrow"/>
      <family val="1"/>
      <scheme val="minor"/>
    </font>
    <font>
      <b/>
      <sz val="23"/>
      <name val="Aptos Display"/>
      <family val="1"/>
      <scheme val="major"/>
    </font>
    <font>
      <b/>
      <sz val="30"/>
      <color theme="1" tint="0.249977111117893"/>
      <name val="Aptos Display"/>
      <family val="1"/>
      <scheme val="major"/>
    </font>
    <font>
      <sz val="11"/>
      <color theme="1"/>
      <name val="Arial"/>
      <family val="2"/>
    </font>
    <font>
      <b/>
      <sz val="18"/>
      <color theme="1"/>
      <name val="Arial"/>
      <family val="2"/>
    </font>
    <font>
      <sz val="9"/>
      <name val="Helv"/>
      <family val="2"/>
    </font>
    <font>
      <b/>
      <sz val="12"/>
      <color theme="1"/>
      <name val="Aptos Narrow"/>
      <scheme val="minor"/>
    </font>
    <font>
      <i/>
      <sz val="12"/>
      <color theme="1"/>
      <name val="Aptos Narrow"/>
      <scheme val="minor"/>
    </font>
    <font>
      <sz val="12"/>
      <color rgb="FF000000"/>
      <name val="Aptos Narrow"/>
      <family val="2"/>
      <scheme val="minor"/>
    </font>
    <font>
      <b/>
      <sz val="12"/>
      <color theme="1" tint="0.249977111117893"/>
      <name val="Aptos Narrow"/>
      <scheme val="minor"/>
    </font>
    <font>
      <sz val="12"/>
      <color rgb="FF000000"/>
      <name val="Aptos Narrow"/>
    </font>
    <font>
      <sz val="14.3"/>
      <color rgb="FF000000"/>
      <name val="Aptos Narrow"/>
    </font>
    <font>
      <b/>
      <sz val="12"/>
      <color rgb="FFFF0000"/>
      <name val="Aptos Narrow"/>
      <scheme val="minor"/>
    </font>
    <font>
      <b/>
      <sz val="12"/>
      <name val="Aptos Narrow"/>
      <scheme val="minor"/>
    </font>
    <font>
      <u/>
      <sz val="18"/>
      <color theme="1"/>
      <name val="Aptos Display"/>
      <scheme val="major"/>
    </font>
    <font>
      <u/>
      <sz val="16"/>
      <color theme="1"/>
      <name val="Aptos Display"/>
      <scheme val="major"/>
    </font>
    <font>
      <sz val="12"/>
      <color rgb="FFFF0000"/>
      <name val="Aptos Narrow (Body)"/>
    </font>
    <font>
      <sz val="10"/>
      <color theme="1"/>
      <name val="Arial Unicode MS"/>
      <family val="2"/>
    </font>
    <font>
      <sz val="8"/>
      <color theme="1"/>
      <name val="Aptos Narrow"/>
      <family val="1"/>
      <scheme val="minor"/>
    </font>
    <font>
      <sz val="12"/>
      <color theme="1"/>
      <name val="Aptos Narrow"/>
      <family val="1"/>
      <scheme val="minor"/>
    </font>
    <font>
      <b/>
      <sz val="8"/>
      <color theme="1" tint="0.249977111117893"/>
      <name val="Aptos Narrow"/>
      <scheme val="minor"/>
    </font>
    <font>
      <i/>
      <sz val="8"/>
      <color theme="1" tint="0.249977111117893"/>
      <name val="Aptos Narrow"/>
      <scheme val="minor"/>
    </font>
    <font>
      <sz val="9"/>
      <color theme="1" tint="0.249977111117893"/>
      <name val="Aptos Narrow"/>
      <family val="1"/>
      <scheme val="minor"/>
    </font>
    <font>
      <b/>
      <sz val="9"/>
      <name val="Arial"/>
      <family val="2"/>
    </font>
    <font>
      <sz val="9"/>
      <color rgb="FF404040"/>
      <name val="Aptos Narrow"/>
      <family val="1"/>
      <scheme val="minor"/>
    </font>
    <font>
      <sz val="10"/>
      <color rgb="FF404040"/>
      <name val="Aptos Narrow"/>
      <family val="1"/>
      <scheme val="minor"/>
    </font>
    <font>
      <b/>
      <sz val="10"/>
      <color rgb="FF404040"/>
      <name val="Aptos Narrow"/>
      <scheme val="minor"/>
    </font>
    <font>
      <sz val="8"/>
      <color rgb="FF404040"/>
      <name val="Aptos Narrow"/>
      <family val="1"/>
      <scheme val="minor"/>
    </font>
    <font>
      <sz val="12"/>
      <color rgb="FF404040"/>
      <name val="Aptos Narrow"/>
      <family val="1"/>
      <scheme val="minor"/>
    </font>
    <font>
      <sz val="10"/>
      <color rgb="FF000000"/>
      <name val="Arial Unicode MS"/>
      <family val="2"/>
    </font>
    <font>
      <sz val="12"/>
      <color theme="0"/>
      <name val="Aptos Narrow"/>
      <family val="2"/>
      <scheme val="minor"/>
    </font>
    <font>
      <b/>
      <sz val="9"/>
      <color rgb="FF0000D4"/>
      <name val="Helv"/>
    </font>
    <font>
      <sz val="10"/>
      <name val="Verdana"/>
      <family val="2"/>
    </font>
    <font>
      <b/>
      <sz val="9"/>
      <color rgb="FF006411"/>
      <name val="Helv"/>
    </font>
    <font>
      <b/>
      <sz val="9"/>
      <name val="Helv"/>
    </font>
    <font>
      <sz val="16"/>
      <color theme="1"/>
      <name val="Arial"/>
      <family val="2"/>
    </font>
    <font>
      <b/>
      <sz val="18"/>
      <color theme="1"/>
      <name val="Aptos Narrow"/>
      <scheme val="minor"/>
    </font>
    <font>
      <sz val="12"/>
      <color theme="0"/>
      <name val="Arial"/>
      <family val="2"/>
    </font>
    <font>
      <b/>
      <sz val="14"/>
      <color theme="1"/>
      <name val="Aptos Narrow"/>
      <scheme val="minor"/>
    </font>
    <font>
      <b/>
      <sz val="12"/>
      <color theme="1"/>
      <name val="Arial"/>
      <family val="2"/>
    </font>
    <font>
      <b/>
      <sz val="9"/>
      <color theme="1"/>
      <name val="Arial"/>
      <family val="2"/>
    </font>
    <font>
      <b/>
      <sz val="14"/>
      <color rgb="FFFF0000"/>
      <name val="Aptos Narrow"/>
      <scheme val="minor"/>
    </font>
    <font>
      <sz val="14"/>
      <color rgb="FFFF0000"/>
      <name val="Aptos Narrow"/>
      <scheme val="minor"/>
    </font>
    <font>
      <b/>
      <sz val="11"/>
      <color rgb="FFFF0000"/>
      <name val="Arial"/>
      <family val="2"/>
    </font>
    <font>
      <b/>
      <sz val="11"/>
      <color theme="1"/>
      <name val="Arial"/>
      <family val="2"/>
    </font>
    <font>
      <sz val="11"/>
      <color rgb="FF000000"/>
      <name val="Arial"/>
      <family val="2"/>
    </font>
    <font>
      <sz val="11"/>
      <name val="Arial"/>
      <family val="2"/>
    </font>
    <font>
      <sz val="11"/>
      <color theme="1" tint="0.249977111117893"/>
      <name val="Arial"/>
      <family val="2"/>
    </font>
    <font>
      <b/>
      <u/>
      <sz val="12"/>
      <color theme="1"/>
      <name val="Aptos Narrow"/>
      <scheme val="minor"/>
    </font>
    <font>
      <u/>
      <sz val="18"/>
      <color theme="9" tint="-0.249977111117893"/>
      <name val="Aptos Display"/>
      <scheme val="major"/>
    </font>
  </fonts>
  <fills count="10">
    <fill>
      <patternFill patternType="none"/>
    </fill>
    <fill>
      <patternFill patternType="gray125"/>
    </fill>
    <fill>
      <patternFill patternType="solid">
        <fgColor theme="0"/>
        <bgColor indexed="64"/>
      </patternFill>
    </fill>
    <fill>
      <patternFill patternType="solid">
        <fgColor rgb="FFBFBFBF"/>
        <bgColor indexed="64"/>
      </patternFill>
    </fill>
    <fill>
      <patternFill patternType="solid">
        <fgColor theme="4"/>
        <bgColor theme="4"/>
      </patternFill>
    </fill>
    <fill>
      <patternFill patternType="solid">
        <fgColor theme="2" tint="-9.9978637043366805E-2"/>
        <bgColor indexed="64"/>
      </patternFill>
    </fill>
    <fill>
      <patternFill patternType="solid">
        <fgColor theme="0"/>
        <bgColor theme="0" tint="-0.14999847407452621"/>
      </patternFill>
    </fill>
    <fill>
      <patternFill patternType="solid">
        <fgColor theme="2" tint="-0.249977111117893"/>
        <bgColor indexed="64"/>
      </patternFill>
    </fill>
    <fill>
      <patternFill patternType="solid">
        <fgColor theme="0"/>
        <bgColor rgb="FFD9D9D9"/>
      </patternFill>
    </fill>
    <fill>
      <patternFill patternType="solid">
        <fgColor rgb="FFFFFFFF"/>
        <bgColor rgb="FF000000"/>
      </patternFill>
    </fill>
  </fills>
  <borders count="96">
    <border>
      <left/>
      <right/>
      <top/>
      <bottom/>
      <diagonal/>
    </border>
    <border>
      <left/>
      <right/>
      <top/>
      <bottom style="thin">
        <color theme="0" tint="-0.499984740745262"/>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right/>
      <top style="thin">
        <color auto="1"/>
      </top>
      <bottom style="thin">
        <color auto="1"/>
      </bottom>
      <diagonal/>
    </border>
    <border>
      <left/>
      <right/>
      <top/>
      <bottom style="thin">
        <color auto="1"/>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top style="thin">
        <color auto="1"/>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00000"/>
      </left>
      <right style="medium">
        <color rgb="FFC00000"/>
      </right>
      <top style="medium">
        <color rgb="FFC00000"/>
      </top>
      <bottom style="medium">
        <color rgb="FFC00000"/>
      </bottom>
      <diagonal/>
    </border>
    <border>
      <left style="medium">
        <color theme="1"/>
      </left>
      <right style="medium">
        <color theme="1"/>
      </right>
      <top style="medium">
        <color theme="1"/>
      </top>
      <bottom style="medium">
        <color theme="1"/>
      </bottom>
      <diagonal/>
    </border>
    <border>
      <left style="medium">
        <color theme="1"/>
      </left>
      <right style="medium">
        <color theme="1"/>
      </right>
      <top style="dashed">
        <color theme="1"/>
      </top>
      <bottom style="medium">
        <color theme="1"/>
      </bottom>
      <diagonal/>
    </border>
    <border>
      <left/>
      <right/>
      <top style="medium">
        <color indexed="64"/>
      </top>
      <bottom style="medium">
        <color indexed="64"/>
      </bottom>
      <diagonal/>
    </border>
    <border>
      <left/>
      <right/>
      <top style="dashed">
        <color theme="1"/>
      </top>
      <bottom style="dashed">
        <color theme="1"/>
      </bottom>
      <diagonal/>
    </border>
    <border>
      <left/>
      <right style="dashed">
        <color theme="1"/>
      </right>
      <top style="dashed">
        <color theme="1"/>
      </top>
      <bottom style="dashed">
        <color theme="1"/>
      </bottom>
      <diagonal/>
    </border>
    <border>
      <left/>
      <right/>
      <top style="dashed">
        <color theme="1"/>
      </top>
      <bottom/>
      <diagonal/>
    </border>
    <border>
      <left style="dashed">
        <color theme="1"/>
      </left>
      <right/>
      <top style="dashed">
        <color theme="1"/>
      </top>
      <bottom/>
      <diagonal/>
    </border>
    <border>
      <left style="dashed">
        <color theme="1"/>
      </left>
      <right/>
      <top/>
      <bottom style="dashed">
        <color theme="1"/>
      </bottom>
      <diagonal/>
    </border>
    <border>
      <left/>
      <right style="dashed">
        <color theme="1"/>
      </right>
      <top style="dashed">
        <color theme="1"/>
      </top>
      <bottom/>
      <diagonal/>
    </border>
    <border>
      <left style="medium">
        <color theme="1"/>
      </left>
      <right style="medium">
        <color theme="6" tint="-0.499984740745262"/>
      </right>
      <top style="medium">
        <color theme="1"/>
      </top>
      <bottom style="medium">
        <color theme="1"/>
      </bottom>
      <diagonal/>
    </border>
    <border>
      <left style="medium">
        <color theme="6" tint="-0.499984740745262"/>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style="thin">
        <color theme="4" tint="0.39997558519241921"/>
      </top>
      <bottom/>
      <diagonal/>
    </border>
    <border>
      <left style="medium">
        <color theme="1"/>
      </left>
      <right style="medium">
        <color theme="1"/>
      </right>
      <top style="dashed">
        <color theme="1"/>
      </top>
      <bottom/>
      <diagonal/>
    </border>
    <border>
      <left/>
      <right style="thin">
        <color auto="1"/>
      </right>
      <top style="thin">
        <color auto="1"/>
      </top>
      <bottom/>
      <diagonal/>
    </border>
    <border>
      <left/>
      <right/>
      <top style="thin">
        <color auto="1"/>
      </top>
      <bottom/>
      <diagonal/>
    </border>
    <border>
      <left style="thin">
        <color auto="1"/>
      </left>
      <right/>
      <top/>
      <bottom/>
      <diagonal/>
    </border>
    <border>
      <left/>
      <right style="thin">
        <color auto="1"/>
      </right>
      <top/>
      <bottom style="thin">
        <color indexed="64"/>
      </bottom>
      <diagonal/>
    </border>
    <border>
      <left style="thin">
        <color theme="0" tint="-0.14996795556505021"/>
      </left>
      <right/>
      <top style="thin">
        <color indexed="64"/>
      </top>
      <bottom style="thin">
        <color theme="0" tint="-0.14996795556505021"/>
      </bottom>
      <diagonal/>
    </border>
    <border>
      <left/>
      <right style="thin">
        <color theme="0" tint="-0.14996795556505021"/>
      </right>
      <top style="thin">
        <color indexed="64"/>
      </top>
      <bottom style="thin">
        <color theme="0" tint="-0.14996795556505021"/>
      </bottom>
      <diagonal/>
    </border>
    <border>
      <left style="thin">
        <color theme="0" tint="-0.14996795556505021"/>
      </left>
      <right style="thin">
        <color theme="0" tint="-0.14996795556505021"/>
      </right>
      <top style="thin">
        <color indexed="64"/>
      </top>
      <bottom style="thin">
        <color theme="0" tint="-0.14996795556505021"/>
      </bottom>
      <diagonal/>
    </border>
    <border>
      <left style="medium">
        <color indexed="64"/>
      </left>
      <right style="medium">
        <color indexed="64"/>
      </right>
      <top style="medium">
        <color indexed="64"/>
      </top>
      <bottom style="medium">
        <color indexed="64"/>
      </bottom>
      <diagonal/>
    </border>
    <border>
      <left/>
      <right/>
      <top style="medium">
        <color indexed="64"/>
      </top>
      <bottom style="thin">
        <color theme="0" tint="-0.14996795556505021"/>
      </bottom>
      <diagonal/>
    </border>
    <border>
      <left/>
      <right style="medium">
        <color indexed="64"/>
      </right>
      <top style="medium">
        <color indexed="64"/>
      </top>
      <bottom style="thin">
        <color theme="0" tint="-0.14996795556505021"/>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style="thin">
        <color indexed="64"/>
      </bottom>
      <diagonal/>
    </border>
    <border>
      <left/>
      <right style="medium">
        <color indexed="64"/>
      </right>
      <top style="thin">
        <color indexed="64"/>
      </top>
      <bottom style="thin">
        <color indexed="64"/>
      </bottom>
      <diagonal/>
    </border>
    <border>
      <left/>
      <right style="medium">
        <color indexed="64"/>
      </right>
      <top style="thin">
        <color auto="1"/>
      </top>
      <bottom style="dotted">
        <color indexed="64"/>
      </bottom>
      <diagonal/>
    </border>
    <border>
      <left/>
      <right style="medium">
        <color indexed="64"/>
      </right>
      <top style="dotted">
        <color indexed="64"/>
      </top>
      <bottom style="dotted">
        <color indexed="64"/>
      </bottom>
      <diagonal/>
    </border>
    <border>
      <left style="medium">
        <color indexed="64"/>
      </left>
      <right style="thin">
        <color theme="0" tint="-0.14996795556505021"/>
      </right>
      <top style="thin">
        <color indexed="64"/>
      </top>
      <bottom style="thin">
        <color theme="0" tint="-0.14996795556505021"/>
      </bottom>
      <diagonal/>
    </border>
    <border>
      <left style="thin">
        <color theme="0" tint="-0.14996795556505021"/>
      </left>
      <right style="medium">
        <color indexed="64"/>
      </right>
      <top style="thin">
        <color indexed="64"/>
      </top>
      <bottom style="thin">
        <color theme="0" tint="-0.14996795556505021"/>
      </bottom>
      <diagonal/>
    </border>
    <border>
      <left style="medium">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indexed="64"/>
      </right>
      <top style="thin">
        <color theme="0" tint="-0.14996795556505021"/>
      </top>
      <bottom style="thin">
        <color theme="0" tint="-0.1499679555650502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thin">
        <color auto="1"/>
      </bottom>
      <diagonal/>
    </border>
    <border>
      <left style="thin">
        <color indexed="64"/>
      </left>
      <right style="thin">
        <color indexed="64"/>
      </right>
      <top style="medium">
        <color indexed="64"/>
      </top>
      <bottom style="thin">
        <color auto="1"/>
      </bottom>
      <diagonal/>
    </border>
    <border>
      <left style="thin">
        <color indexed="64"/>
      </left>
      <right style="medium">
        <color indexed="64"/>
      </right>
      <top style="medium">
        <color indexed="64"/>
      </top>
      <bottom style="thin">
        <color auto="1"/>
      </bottom>
      <diagonal/>
    </border>
    <border>
      <left style="medium">
        <color indexed="64"/>
      </left>
      <right style="thin">
        <color indexed="64"/>
      </right>
      <top style="thin">
        <color auto="1"/>
      </top>
      <bottom style="medium">
        <color indexed="64"/>
      </bottom>
      <diagonal/>
    </border>
    <border>
      <left style="thin">
        <color indexed="64"/>
      </left>
      <right style="thin">
        <color indexed="64"/>
      </right>
      <top style="thin">
        <color auto="1"/>
      </top>
      <bottom style="medium">
        <color indexed="64"/>
      </bottom>
      <diagonal/>
    </border>
    <border>
      <left style="thin">
        <color indexed="64"/>
      </left>
      <right style="medium">
        <color indexed="64"/>
      </right>
      <top style="thin">
        <color auto="1"/>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rgb="FF000000"/>
      </left>
      <right style="medium">
        <color rgb="FF000000"/>
      </right>
      <top style="dashed">
        <color rgb="FF000000"/>
      </top>
      <bottom/>
      <diagonal/>
    </border>
    <border>
      <left style="medium">
        <color rgb="FF000000"/>
      </left>
      <right style="medium">
        <color rgb="FF000000"/>
      </right>
      <top/>
      <bottom/>
      <diagonal/>
    </border>
    <border>
      <left style="medium">
        <color theme="2" tint="-0.249977111117893"/>
      </left>
      <right/>
      <top style="medium">
        <color theme="2" tint="-0.249977111117893"/>
      </top>
      <bottom/>
      <diagonal/>
    </border>
    <border>
      <left/>
      <right/>
      <top style="medium">
        <color theme="2" tint="-0.249977111117893"/>
      </top>
      <bottom/>
      <diagonal/>
    </border>
    <border>
      <left/>
      <right style="medium">
        <color theme="2" tint="-0.249977111117893"/>
      </right>
      <top style="medium">
        <color theme="2" tint="-0.249977111117893"/>
      </top>
      <bottom/>
      <diagonal/>
    </border>
    <border>
      <left style="medium">
        <color theme="2" tint="-0.249977111117893"/>
      </left>
      <right/>
      <top/>
      <bottom/>
      <diagonal/>
    </border>
    <border>
      <left/>
      <right style="medium">
        <color theme="2" tint="-0.249977111117893"/>
      </right>
      <top/>
      <bottom/>
      <diagonal/>
    </border>
    <border>
      <left style="medium">
        <color theme="2" tint="-0.249977111117893"/>
      </left>
      <right/>
      <top/>
      <bottom style="medium">
        <color theme="2" tint="-0.249977111117893"/>
      </bottom>
      <diagonal/>
    </border>
    <border>
      <left/>
      <right/>
      <top/>
      <bottom style="medium">
        <color theme="2" tint="-0.249977111117893"/>
      </bottom>
      <diagonal/>
    </border>
    <border>
      <left/>
      <right style="medium">
        <color theme="2" tint="-0.249977111117893"/>
      </right>
      <top/>
      <bottom style="medium">
        <color theme="2" tint="-0.249977111117893"/>
      </bottom>
      <diagonal/>
    </border>
    <border>
      <left style="thin">
        <color indexed="64"/>
      </left>
      <right/>
      <top style="thin">
        <color indexed="64"/>
      </top>
      <bottom style="medium">
        <color indexed="64"/>
      </bottom>
      <diagonal/>
    </border>
    <border>
      <left style="medium">
        <color indexed="64"/>
      </left>
      <right/>
      <top style="medium">
        <color indexed="64"/>
      </top>
      <bottom style="thin">
        <color theme="0" tint="-0.14996795556505021"/>
      </bottom>
      <diagonal/>
    </border>
    <border>
      <left style="medium">
        <color indexed="64"/>
      </left>
      <right/>
      <top style="thin">
        <color auto="1"/>
      </top>
      <bottom style="medium">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medium">
        <color indexed="64"/>
      </left>
      <right style="thin">
        <color rgb="FFD9D9D9"/>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style="thin">
        <color rgb="FFD9D9D9"/>
      </bottom>
      <diagonal/>
    </border>
    <border>
      <left style="thin">
        <color rgb="FFD9D9D9"/>
      </left>
      <right/>
      <top style="thin">
        <color theme="0" tint="-0.14996795556505021"/>
      </top>
      <bottom style="thin">
        <color theme="0" tint="-0.14996795556505021"/>
      </bottom>
      <diagonal/>
    </border>
    <border>
      <left/>
      <right style="thin">
        <color rgb="FFD9D9D9"/>
      </right>
      <top style="thin">
        <color theme="0" tint="-0.14996795556505021"/>
      </top>
      <bottom style="thin">
        <color theme="0" tint="-0.14996795556505021"/>
      </bottom>
      <diagonal/>
    </border>
    <border>
      <left style="medium">
        <color indexed="64"/>
      </left>
      <right style="thin">
        <color rgb="FFD9D9D9"/>
      </right>
      <top/>
      <bottom style="thin">
        <color rgb="FFD9D9D9"/>
      </bottom>
      <diagonal/>
    </border>
    <border>
      <left/>
      <right style="thin">
        <color rgb="FFD9D9D9"/>
      </right>
      <top/>
      <bottom style="thin">
        <color rgb="FFD9D9D9"/>
      </bottom>
      <diagonal/>
    </border>
    <border>
      <left/>
      <right/>
      <top/>
      <bottom style="thin">
        <color rgb="FFD9D9D9"/>
      </bottom>
      <diagonal/>
    </border>
    <border>
      <left style="thin">
        <color rgb="FFD9D9D9"/>
      </left>
      <right/>
      <top style="thin">
        <color theme="0" tint="-0.14996795556505021"/>
      </top>
      <bottom style="thin">
        <color rgb="FFD9D9D9"/>
      </bottom>
      <diagonal/>
    </border>
    <border>
      <left/>
      <right style="thin">
        <color rgb="FFD9D9D9"/>
      </right>
      <top style="thin">
        <color theme="0" tint="-0.14996795556505021"/>
      </top>
      <bottom style="thin">
        <color rgb="FFD9D9D9"/>
      </bottom>
      <diagonal/>
    </border>
    <border>
      <left style="thin">
        <color rgb="FFD9D9D9"/>
      </left>
      <right/>
      <top style="thin">
        <color rgb="FFD9D9D9"/>
      </top>
      <bottom style="thin">
        <color theme="0" tint="-0.14996795556505021"/>
      </bottom>
      <diagonal/>
    </border>
    <border>
      <left/>
      <right style="thin">
        <color rgb="FFD9D9D9"/>
      </right>
      <top style="thin">
        <color rgb="FFD9D9D9"/>
      </top>
      <bottom style="thin">
        <color theme="0" tint="-0.14996795556505021"/>
      </bottom>
      <diagonal/>
    </border>
  </borders>
  <cellStyleXfs count="2">
    <xf numFmtId="0" fontId="0" fillId="0" borderId="0"/>
    <xf numFmtId="0" fontId="3" fillId="0" borderId="0"/>
  </cellStyleXfs>
  <cellXfs count="292">
    <xf numFmtId="0" fontId="0" fillId="0" borderId="0" xfId="0"/>
    <xf numFmtId="0" fontId="12" fillId="2" borderId="2" xfId="1" applyFont="1" applyFill="1" applyBorder="1" applyAlignment="1" applyProtection="1">
      <alignment horizontal="center"/>
      <protection locked="0"/>
    </xf>
    <xf numFmtId="0" fontId="12" fillId="2" borderId="3" xfId="1" applyFont="1" applyFill="1" applyBorder="1" applyAlignment="1" applyProtection="1">
      <alignment horizontal="center"/>
      <protection locked="0"/>
    </xf>
    <xf numFmtId="0" fontId="0" fillId="0" borderId="0" xfId="0" applyProtection="1">
      <protection hidden="1"/>
    </xf>
    <xf numFmtId="0" fontId="32" fillId="0" borderId="13" xfId="0" applyFont="1" applyBorder="1" applyProtection="1">
      <protection locked="0"/>
    </xf>
    <xf numFmtId="0" fontId="33" fillId="0" borderId="0" xfId="0" applyFont="1"/>
    <xf numFmtId="0" fontId="0" fillId="0" borderId="16" xfId="0" applyBorder="1"/>
    <xf numFmtId="0" fontId="33" fillId="5" borderId="0" xfId="0" applyFont="1" applyFill="1"/>
    <xf numFmtId="0" fontId="0" fillId="5" borderId="0" xfId="0" applyFill="1"/>
    <xf numFmtId="0" fontId="33" fillId="5" borderId="15" xfId="0" applyFont="1" applyFill="1" applyBorder="1"/>
    <xf numFmtId="0" fontId="34" fillId="5" borderId="0" xfId="0" applyFont="1" applyFill="1"/>
    <xf numFmtId="0" fontId="33" fillId="0" borderId="17" xfId="0" applyFont="1" applyBorder="1"/>
    <xf numFmtId="0" fontId="33" fillId="5" borderId="20" xfId="0" applyFont="1" applyFill="1" applyBorder="1"/>
    <xf numFmtId="0" fontId="34" fillId="0" borderId="0" xfId="0" applyFont="1"/>
    <xf numFmtId="167" fontId="33" fillId="0" borderId="17" xfId="0" applyNumberFormat="1" applyFont="1" applyBorder="1"/>
    <xf numFmtId="167" fontId="33" fillId="5" borderId="0" xfId="0" applyNumberFormat="1" applyFont="1" applyFill="1"/>
    <xf numFmtId="0" fontId="0" fillId="0" borderId="18" xfId="0" applyBorder="1"/>
    <xf numFmtId="167" fontId="0" fillId="0" borderId="27" xfId="0" applyNumberFormat="1" applyBorder="1"/>
    <xf numFmtId="167" fontId="0" fillId="0" borderId="28" xfId="0" applyNumberFormat="1" applyBorder="1"/>
    <xf numFmtId="167" fontId="35" fillId="0" borderId="29" xfId="0" applyNumberFormat="1" applyFont="1" applyBorder="1"/>
    <xf numFmtId="0" fontId="1" fillId="4" borderId="29" xfId="0" applyFont="1" applyFill="1" applyBorder="1"/>
    <xf numFmtId="0" fontId="0" fillId="0" borderId="30" xfId="0" applyBorder="1"/>
    <xf numFmtId="0" fontId="0" fillId="0" borderId="31" xfId="0" applyBorder="1"/>
    <xf numFmtId="0" fontId="0" fillId="0" borderId="19" xfId="0" applyBorder="1"/>
    <xf numFmtId="0" fontId="16" fillId="2" borderId="42" xfId="1" applyFont="1" applyFill="1" applyBorder="1"/>
    <xf numFmtId="0" fontId="12" fillId="2" borderId="42" xfId="1" applyFont="1" applyFill="1" applyBorder="1" applyProtection="1">
      <protection locked="0"/>
    </xf>
    <xf numFmtId="0" fontId="0" fillId="0" borderId="0" xfId="0" applyAlignment="1">
      <alignment horizontal="right"/>
    </xf>
    <xf numFmtId="0" fontId="0" fillId="0" borderId="0" xfId="0" applyAlignment="1">
      <alignment horizontal="left"/>
    </xf>
    <xf numFmtId="0" fontId="41" fillId="0" borderId="0" xfId="0" applyFont="1" applyAlignment="1">
      <alignment horizontal="left"/>
    </xf>
    <xf numFmtId="0" fontId="42" fillId="0" borderId="0" xfId="0" applyFont="1" applyAlignment="1">
      <alignment horizontal="left"/>
    </xf>
    <xf numFmtId="14" fontId="12" fillId="2" borderId="3" xfId="1" applyNumberFormat="1" applyFont="1" applyFill="1" applyBorder="1" applyAlignment="1" applyProtection="1">
      <alignment horizontal="center"/>
      <protection locked="0"/>
    </xf>
    <xf numFmtId="1" fontId="12" fillId="2" borderId="52" xfId="1" applyNumberFormat="1" applyFont="1" applyFill="1" applyBorder="1" applyAlignment="1" applyProtection="1">
      <alignment horizontal="center"/>
      <protection locked="0"/>
    </xf>
    <xf numFmtId="49" fontId="12" fillId="2" borderId="3" xfId="1" applyNumberFormat="1" applyFont="1" applyFill="1" applyBorder="1" applyAlignment="1" applyProtection="1">
      <alignment horizontal="center"/>
      <protection locked="0"/>
    </xf>
    <xf numFmtId="0" fontId="58" fillId="0" borderId="10" xfId="0" applyFont="1" applyBorder="1" applyAlignment="1" applyProtection="1">
      <alignment horizontal="center"/>
      <protection locked="0"/>
    </xf>
    <xf numFmtId="0" fontId="58" fillId="0" borderId="11" xfId="0" applyFont="1" applyBorder="1" applyProtection="1">
      <protection locked="0"/>
    </xf>
    <xf numFmtId="0" fontId="59" fillId="0" borderId="0" xfId="0" applyFont="1"/>
    <xf numFmtId="0" fontId="60" fillId="0" borderId="11" xfId="0" applyFont="1" applyBorder="1" applyAlignment="1" applyProtection="1">
      <alignment horizontal="center"/>
      <protection hidden="1"/>
    </xf>
    <xf numFmtId="0" fontId="32" fillId="0" borderId="11" xfId="0" applyFont="1" applyBorder="1" applyProtection="1">
      <protection locked="0"/>
    </xf>
    <xf numFmtId="0" fontId="58" fillId="0" borderId="11" xfId="0" applyFont="1" applyBorder="1" applyAlignment="1" applyProtection="1">
      <alignment horizontal="center"/>
      <protection hidden="1"/>
    </xf>
    <xf numFmtId="0" fontId="58" fillId="0" borderId="11" xfId="0" applyFont="1" applyBorder="1" applyProtection="1">
      <protection locked="0" hidden="1"/>
    </xf>
    <xf numFmtId="2" fontId="58" fillId="0" borderId="11" xfId="0" applyNumberFormat="1" applyFont="1" applyBorder="1" applyAlignment="1" applyProtection="1">
      <alignment horizontal="center"/>
      <protection hidden="1"/>
    </xf>
    <xf numFmtId="1" fontId="60" fillId="0" borderId="11" xfId="0" applyNumberFormat="1" applyFont="1" applyBorder="1" applyAlignment="1" applyProtection="1">
      <alignment horizontal="center"/>
      <protection hidden="1"/>
    </xf>
    <xf numFmtId="4" fontId="58" fillId="0" borderId="11" xfId="0" applyNumberFormat="1" applyFont="1" applyBorder="1" applyAlignment="1" applyProtection="1">
      <alignment horizontal="center"/>
      <protection hidden="1"/>
    </xf>
    <xf numFmtId="0" fontId="32" fillId="0" borderId="11" xfId="0" applyFont="1" applyBorder="1" applyProtection="1">
      <protection locked="0" hidden="1"/>
    </xf>
    <xf numFmtId="0" fontId="60" fillId="0" borderId="0" xfId="0" applyFont="1" applyAlignment="1" applyProtection="1">
      <alignment horizontal="center"/>
      <protection hidden="1"/>
    </xf>
    <xf numFmtId="4" fontId="61" fillId="0" borderId="11" xfId="0" applyNumberFormat="1" applyFont="1" applyBorder="1" applyAlignment="1" applyProtection="1">
      <alignment horizontal="center"/>
      <protection hidden="1"/>
    </xf>
    <xf numFmtId="0" fontId="61" fillId="0" borderId="11" xfId="0" applyFont="1" applyBorder="1" applyProtection="1">
      <protection locked="0" hidden="1"/>
    </xf>
    <xf numFmtId="0" fontId="60" fillId="0" borderId="12" xfId="0" applyFont="1" applyBorder="1" applyAlignment="1" applyProtection="1">
      <alignment horizontal="center"/>
      <protection hidden="1"/>
    </xf>
    <xf numFmtId="0" fontId="32" fillId="0" borderId="35" xfId="0" applyFont="1" applyBorder="1" applyProtection="1">
      <protection locked="0"/>
    </xf>
    <xf numFmtId="0" fontId="59" fillId="0" borderId="0" xfId="0" applyFont="1" applyProtection="1">
      <protection locked="0"/>
    </xf>
    <xf numFmtId="0" fontId="16" fillId="2" borderId="0" xfId="1" applyFont="1" applyFill="1" applyAlignment="1">
      <alignment horizontal="left"/>
    </xf>
    <xf numFmtId="0" fontId="12" fillId="2" borderId="0" xfId="1" applyFont="1" applyFill="1" applyProtection="1">
      <protection locked="0"/>
    </xf>
    <xf numFmtId="0" fontId="10" fillId="2" borderId="0" xfId="1" applyFont="1" applyFill="1" applyAlignment="1" applyProtection="1">
      <alignment horizontal="right"/>
      <protection locked="0"/>
    </xf>
    <xf numFmtId="0" fontId="33" fillId="0" borderId="24" xfId="0" applyFont="1" applyBorder="1" applyAlignment="1">
      <alignment horizontal="left"/>
    </xf>
    <xf numFmtId="0" fontId="33" fillId="0" borderId="21" xfId="0" applyFont="1" applyBorder="1" applyAlignment="1">
      <alignment horizontal="left"/>
    </xf>
    <xf numFmtId="0" fontId="33" fillId="0" borderId="22" xfId="0" applyFont="1" applyBorder="1" applyAlignment="1">
      <alignment horizontal="left"/>
    </xf>
    <xf numFmtId="0" fontId="33" fillId="0" borderId="25" xfId="0" applyFont="1" applyBorder="1" applyAlignment="1">
      <alignment horizontal="left"/>
    </xf>
    <xf numFmtId="0" fontId="33" fillId="0" borderId="23" xfId="0" applyFont="1" applyBorder="1" applyAlignment="1">
      <alignment horizontal="left"/>
    </xf>
    <xf numFmtId="0" fontId="33" fillId="0" borderId="26" xfId="0" applyFont="1" applyBorder="1" applyAlignment="1">
      <alignment horizontal="left"/>
    </xf>
    <xf numFmtId="0" fontId="12" fillId="2" borderId="2" xfId="1" applyFont="1" applyFill="1" applyBorder="1" applyAlignment="1" applyProtection="1">
      <alignment horizontal="left"/>
      <protection locked="0"/>
    </xf>
    <xf numFmtId="0" fontId="12" fillId="2" borderId="4" xfId="1" applyFont="1" applyFill="1" applyBorder="1" applyAlignment="1" applyProtection="1">
      <alignment horizontal="left"/>
      <protection locked="0"/>
    </xf>
    <xf numFmtId="0" fontId="0" fillId="0" borderId="16" xfId="0" applyBorder="1" applyAlignment="1">
      <alignment horizontal="left"/>
    </xf>
    <xf numFmtId="0" fontId="0" fillId="2" borderId="0" xfId="0" applyFill="1"/>
    <xf numFmtId="168" fontId="62" fillId="2" borderId="0" xfId="0" applyNumberFormat="1" applyFont="1" applyFill="1" applyProtection="1">
      <protection hidden="1"/>
    </xf>
    <xf numFmtId="0" fontId="63" fillId="2" borderId="0" xfId="0" applyFont="1" applyFill="1"/>
    <xf numFmtId="0" fontId="71" fillId="3" borderId="11" xfId="0" applyFont="1" applyFill="1" applyBorder="1" applyAlignment="1" applyProtection="1">
      <alignment horizontal="center"/>
      <protection hidden="1"/>
    </xf>
    <xf numFmtId="0" fontId="72" fillId="0" borderId="11" xfId="0" applyFont="1" applyBorder="1" applyAlignment="1" applyProtection="1">
      <alignment shrinkToFit="1"/>
      <protection hidden="1"/>
    </xf>
    <xf numFmtId="0" fontId="72" fillId="2" borderId="0" xfId="0" applyFont="1" applyFill="1" applyBorder="1" applyAlignment="1">
      <alignment vertical="center" shrinkToFit="1"/>
    </xf>
    <xf numFmtId="0" fontId="30" fillId="2" borderId="0" xfId="0" applyFont="1" applyFill="1" applyBorder="1" applyAlignment="1"/>
    <xf numFmtId="0" fontId="30" fillId="2" borderId="0" xfId="0" applyFont="1" applyFill="1" applyBorder="1" applyAlignment="1" applyProtection="1">
      <protection hidden="1"/>
    </xf>
    <xf numFmtId="0" fontId="30" fillId="2" borderId="0" xfId="0" applyFont="1" applyFill="1" applyBorder="1" applyAlignment="1">
      <alignment horizontal="center"/>
    </xf>
    <xf numFmtId="0" fontId="30" fillId="2" borderId="0" xfId="0" applyFont="1" applyFill="1" applyBorder="1" applyAlignment="1" applyProtection="1">
      <alignment horizontal="center"/>
      <protection hidden="1"/>
    </xf>
    <xf numFmtId="0" fontId="72" fillId="2" borderId="0" xfId="0" applyFont="1" applyFill="1" applyBorder="1" applyAlignment="1">
      <alignment horizontal="center" vertical="center" shrinkToFit="1"/>
    </xf>
    <xf numFmtId="164" fontId="30" fillId="2" borderId="0" xfId="0" applyNumberFormat="1" applyFont="1" applyFill="1" applyBorder="1" applyAlignment="1" applyProtection="1">
      <alignment horizontal="center"/>
      <protection hidden="1"/>
    </xf>
    <xf numFmtId="0" fontId="72" fillId="2" borderId="11" xfId="0" applyFont="1" applyFill="1" applyBorder="1" applyAlignment="1">
      <alignment vertical="center" shrinkToFit="1"/>
    </xf>
    <xf numFmtId="0" fontId="72" fillId="2" borderId="11" xfId="0" applyFont="1" applyFill="1" applyBorder="1" applyAlignment="1">
      <alignment horizontal="center" vertical="center" shrinkToFit="1"/>
    </xf>
    <xf numFmtId="0" fontId="63" fillId="2" borderId="11" xfId="0" applyFont="1" applyFill="1" applyBorder="1"/>
    <xf numFmtId="0" fontId="30" fillId="7" borderId="0" xfId="0" applyFont="1" applyFill="1" applyBorder="1" applyAlignment="1" applyProtection="1">
      <protection hidden="1"/>
    </xf>
    <xf numFmtId="0" fontId="30" fillId="7" borderId="0" xfId="0" applyFont="1" applyFill="1" applyBorder="1" applyAlignment="1" applyProtection="1">
      <alignment horizontal="center"/>
      <protection hidden="1"/>
    </xf>
    <xf numFmtId="0" fontId="73" fillId="6" borderId="80" xfId="0" applyFont="1" applyFill="1" applyBorder="1" applyAlignment="1">
      <alignment horizontal="left" vertical="center" shrinkToFit="1"/>
    </xf>
    <xf numFmtId="0" fontId="73" fillId="8" borderId="78" xfId="0" applyFont="1" applyFill="1" applyBorder="1" applyAlignment="1">
      <alignment horizontal="left" vertical="center" shrinkToFit="1"/>
    </xf>
    <xf numFmtId="0" fontId="73" fillId="6" borderId="78" xfId="0" applyFont="1" applyFill="1" applyBorder="1" applyAlignment="1">
      <alignment horizontal="left" vertical="center" shrinkToFit="1"/>
    </xf>
    <xf numFmtId="14" fontId="74" fillId="6" borderId="78" xfId="1" applyNumberFormat="1" applyFont="1" applyFill="1" applyBorder="1" applyAlignment="1">
      <alignment horizontal="left"/>
    </xf>
    <xf numFmtId="0" fontId="74" fillId="6" borderId="78" xfId="1" applyNumberFormat="1" applyFont="1" applyFill="1" applyBorder="1"/>
    <xf numFmtId="166" fontId="73" fillId="6" borderId="78" xfId="0" applyNumberFormat="1" applyFont="1" applyFill="1" applyBorder="1" applyAlignment="1">
      <alignment horizontal="left" vertical="center" shrinkToFit="1"/>
    </xf>
    <xf numFmtId="0" fontId="70" fillId="6" borderId="65" xfId="0" applyFont="1" applyFill="1" applyBorder="1" applyAlignment="1">
      <alignment horizontal="left" vertical="center" shrinkToFit="1"/>
    </xf>
    <xf numFmtId="164" fontId="72" fillId="2" borderId="11" xfId="0" applyNumberFormat="1" applyFont="1" applyFill="1" applyBorder="1" applyAlignment="1">
      <alignment horizontal="center" vertical="center" shrinkToFit="1"/>
    </xf>
    <xf numFmtId="164" fontId="72" fillId="2" borderId="0" xfId="0" applyNumberFormat="1" applyFont="1" applyFill="1" applyBorder="1" applyAlignment="1">
      <alignment horizontal="center" vertical="center" shrinkToFit="1"/>
    </xf>
    <xf numFmtId="164" fontId="30" fillId="2" borderId="0" xfId="0" applyNumberFormat="1" applyFont="1" applyFill="1" applyBorder="1" applyAlignment="1">
      <alignment horizontal="center"/>
    </xf>
    <xf numFmtId="164" fontId="30" fillId="7" borderId="0" xfId="0" applyNumberFormat="1" applyFont="1" applyFill="1" applyBorder="1" applyAlignment="1" applyProtection="1">
      <alignment horizontal="center"/>
      <protection hidden="1"/>
    </xf>
    <xf numFmtId="166" fontId="72" fillId="2" borderId="0" xfId="0" applyNumberFormat="1" applyFont="1" applyFill="1" applyBorder="1" applyAlignment="1">
      <alignment horizontal="right" vertical="center" shrinkToFit="1"/>
    </xf>
    <xf numFmtId="166" fontId="30" fillId="2" borderId="0" xfId="0" applyNumberFormat="1" applyFont="1" applyFill="1" applyBorder="1" applyAlignment="1">
      <alignment horizontal="right"/>
    </xf>
    <xf numFmtId="166" fontId="30" fillId="7" borderId="0" xfId="0" applyNumberFormat="1" applyFont="1" applyFill="1" applyBorder="1" applyAlignment="1" applyProtection="1">
      <alignment horizontal="right"/>
      <protection hidden="1"/>
    </xf>
    <xf numFmtId="166" fontId="30" fillId="2" borderId="0" xfId="0" applyNumberFormat="1" applyFont="1" applyFill="1" applyBorder="1" applyAlignment="1" applyProtection="1">
      <alignment horizontal="right"/>
      <protection hidden="1"/>
    </xf>
    <xf numFmtId="0" fontId="4" fillId="2" borderId="14" xfId="1" applyFont="1" applyFill="1" applyBorder="1"/>
    <xf numFmtId="0" fontId="29" fillId="2" borderId="79" xfId="1" applyFont="1" applyFill="1" applyBorder="1"/>
    <xf numFmtId="0" fontId="29" fillId="2" borderId="40" xfId="1" applyFont="1" applyFill="1" applyBorder="1"/>
    <xf numFmtId="0" fontId="4" fillId="2" borderId="58" xfId="1" applyFont="1" applyFill="1" applyBorder="1"/>
    <xf numFmtId="0" fontId="28" fillId="2" borderId="40" xfId="1" applyFont="1" applyFill="1" applyBorder="1" applyAlignment="1">
      <alignment horizontal="center"/>
    </xf>
    <xf numFmtId="0" fontId="28" fillId="2" borderId="41" xfId="1" applyFont="1" applyFill="1" applyBorder="1" applyAlignment="1">
      <alignment horizontal="center"/>
    </xf>
    <xf numFmtId="0" fontId="52" fillId="2" borderId="0" xfId="0" applyFont="1" applyFill="1"/>
    <xf numFmtId="0" fontId="53" fillId="2" borderId="0" xfId="0" applyFont="1" applyFill="1"/>
    <xf numFmtId="0" fontId="4" fillId="2" borderId="0" xfId="1" applyFont="1" applyFill="1"/>
    <xf numFmtId="0" fontId="4" fillId="2" borderId="34" xfId="1" applyFont="1" applyFill="1" applyBorder="1"/>
    <xf numFmtId="0" fontId="27" fillId="2" borderId="42" xfId="1" applyFont="1" applyFill="1" applyBorder="1"/>
    <xf numFmtId="0" fontId="26" fillId="2" borderId="0" xfId="1" applyFont="1" applyFill="1"/>
    <xf numFmtId="0" fontId="4" fillId="2" borderId="0" xfId="1" applyFont="1" applyFill="1"/>
    <xf numFmtId="0" fontId="4" fillId="2" borderId="43" xfId="1" applyFont="1" applyFill="1" applyBorder="1"/>
    <xf numFmtId="0" fontId="25" fillId="2" borderId="42" xfId="1" applyFont="1" applyFill="1" applyBorder="1" applyAlignment="1">
      <alignment horizontal="left"/>
    </xf>
    <xf numFmtId="0" fontId="24" fillId="2" borderId="0" xfId="1" applyFont="1" applyFill="1" applyAlignment="1">
      <alignment horizontal="left"/>
    </xf>
    <xf numFmtId="0" fontId="4" fillId="2" borderId="0" xfId="1" applyFont="1" applyFill="1" applyAlignment="1">
      <alignment horizontal="left"/>
    </xf>
    <xf numFmtId="0" fontId="7" fillId="2" borderId="0" xfId="1" applyFont="1" applyFill="1" applyAlignment="1">
      <alignment horizontal="right"/>
    </xf>
    <xf numFmtId="0" fontId="23" fillId="2" borderId="6" xfId="1" applyFont="1" applyFill="1" applyBorder="1" applyAlignment="1">
      <alignment horizontal="center"/>
    </xf>
    <xf numFmtId="0" fontId="23" fillId="2" borderId="44" xfId="1" applyFont="1" applyFill="1" applyBorder="1" applyAlignment="1">
      <alignment horizontal="center"/>
    </xf>
    <xf numFmtId="0" fontId="22" fillId="2" borderId="42" xfId="0" applyFont="1" applyFill="1" applyBorder="1"/>
    <xf numFmtId="0" fontId="22" fillId="2" borderId="0" xfId="0" applyFont="1" applyFill="1"/>
    <xf numFmtId="0" fontId="36" fillId="2" borderId="0" xfId="1" applyFont="1" applyFill="1"/>
    <xf numFmtId="0" fontId="39" fillId="2" borderId="0" xfId="1" applyFont="1" applyFill="1"/>
    <xf numFmtId="0" fontId="11" fillId="2" borderId="34" xfId="1" applyFont="1" applyFill="1" applyBorder="1"/>
    <xf numFmtId="0" fontId="11" fillId="2" borderId="42" xfId="1" applyFont="1" applyFill="1" applyBorder="1" applyAlignment="1">
      <alignment horizontal="left"/>
    </xf>
    <xf numFmtId="0" fontId="11" fillId="2" borderId="0" xfId="1" applyFont="1" applyFill="1" applyAlignment="1">
      <alignment horizontal="left"/>
    </xf>
    <xf numFmtId="0" fontId="11" fillId="2" borderId="0" xfId="1" applyFont="1" applyFill="1" applyAlignment="1">
      <alignment horizontal="left"/>
    </xf>
    <xf numFmtId="0" fontId="11" fillId="2" borderId="43" xfId="1" applyFont="1" applyFill="1" applyBorder="1" applyAlignment="1">
      <alignment horizontal="left"/>
    </xf>
    <xf numFmtId="0" fontId="54" fillId="2" borderId="0" xfId="0" applyFont="1" applyFill="1"/>
    <xf numFmtId="0" fontId="12" fillId="2" borderId="0" xfId="1" applyFont="1" applyFill="1"/>
    <xf numFmtId="0" fontId="11" fillId="2" borderId="0" xfId="1" applyFont="1" applyFill="1"/>
    <xf numFmtId="0" fontId="45" fillId="2" borderId="0" xfId="1" applyFont="1" applyFill="1"/>
    <xf numFmtId="14" fontId="45" fillId="2" borderId="0" xfId="1" applyNumberFormat="1" applyFont="1" applyFill="1"/>
    <xf numFmtId="0" fontId="11" fillId="2" borderId="0" xfId="1" applyFont="1" applyFill="1" applyAlignment="1">
      <alignment wrapText="1"/>
    </xf>
    <xf numFmtId="0" fontId="12" fillId="2" borderId="34" xfId="1" applyFont="1" applyFill="1" applyBorder="1"/>
    <xf numFmtId="0" fontId="40" fillId="2" borderId="45" xfId="1" applyFont="1" applyFill="1" applyBorder="1"/>
    <xf numFmtId="0" fontId="16" fillId="2" borderId="33" xfId="1" applyFont="1" applyFill="1" applyBorder="1" applyAlignment="1">
      <alignment horizontal="center"/>
    </xf>
    <xf numFmtId="0" fontId="16" fillId="2" borderId="32" xfId="1" applyFont="1" applyFill="1" applyBorder="1" applyAlignment="1">
      <alignment horizontal="center"/>
    </xf>
    <xf numFmtId="0" fontId="21" fillId="2" borderId="0" xfId="1" applyFont="1" applyFill="1" applyAlignment="1">
      <alignment horizontal="left" vertical="top" wrapText="1"/>
    </xf>
    <xf numFmtId="0" fontId="21" fillId="2" borderId="43" xfId="1" applyFont="1" applyFill="1" applyBorder="1" applyAlignment="1">
      <alignment horizontal="center"/>
    </xf>
    <xf numFmtId="0" fontId="55" fillId="2" borderId="0" xfId="0" applyFont="1" applyFill="1"/>
    <xf numFmtId="0" fontId="46" fillId="2" borderId="0" xfId="1" applyFont="1" applyFill="1"/>
    <xf numFmtId="14" fontId="46" fillId="2" borderId="0" xfId="1" applyNumberFormat="1" applyFont="1" applyFill="1"/>
    <xf numFmtId="0" fontId="40" fillId="2" borderId="46" xfId="1" applyFont="1" applyFill="1" applyBorder="1"/>
    <xf numFmtId="0" fontId="16" fillId="2" borderId="6" xfId="1" applyFont="1" applyFill="1" applyBorder="1" applyAlignment="1">
      <alignment horizontal="center"/>
    </xf>
    <xf numFmtId="0" fontId="16" fillId="2" borderId="35" xfId="1" applyFont="1" applyFill="1" applyBorder="1" applyAlignment="1">
      <alignment horizontal="center"/>
    </xf>
    <xf numFmtId="0" fontId="20" fillId="2" borderId="43" xfId="1" applyFont="1" applyFill="1" applyBorder="1" applyAlignment="1">
      <alignment horizontal="center"/>
    </xf>
    <xf numFmtId="0" fontId="16" fillId="2" borderId="42" xfId="1" applyFont="1" applyFill="1" applyBorder="1" applyAlignment="1">
      <alignment horizontal="left" indent="1"/>
    </xf>
    <xf numFmtId="0" fontId="16" fillId="2" borderId="0" xfId="1" applyFont="1" applyFill="1" applyAlignment="1">
      <alignment horizontal="left" indent="1"/>
    </xf>
    <xf numFmtId="0" fontId="16" fillId="2" borderId="0" xfId="1" applyFont="1" applyFill="1"/>
    <xf numFmtId="0" fontId="16" fillId="2" borderId="0" xfId="1" applyFont="1" applyFill="1" applyAlignment="1">
      <alignment horizontal="right"/>
    </xf>
    <xf numFmtId="0" fontId="16" fillId="2" borderId="43" xfId="1" applyFont="1" applyFill="1" applyBorder="1" applyAlignment="1">
      <alignment horizontal="right"/>
    </xf>
    <xf numFmtId="0" fontId="16" fillId="2" borderId="42" xfId="1" applyFont="1" applyFill="1" applyBorder="1" applyAlignment="1">
      <alignment horizontal="left" indent="1"/>
    </xf>
    <xf numFmtId="0" fontId="16" fillId="2" borderId="0" xfId="1" applyFont="1" applyFill="1" applyAlignment="1">
      <alignment horizontal="left" indent="1"/>
    </xf>
    <xf numFmtId="0" fontId="16" fillId="2" borderId="0" xfId="1" applyFont="1" applyFill="1"/>
    <xf numFmtId="0" fontId="18" fillId="2" borderId="42" xfId="1" applyFont="1" applyFill="1" applyBorder="1" applyAlignment="1">
      <alignment horizontal="right" wrapText="1"/>
    </xf>
    <xf numFmtId="164" fontId="16" fillId="2" borderId="6" xfId="1" applyNumberFormat="1" applyFont="1" applyFill="1" applyBorder="1" applyAlignment="1" applyProtection="1">
      <alignment horizontal="center"/>
      <protection locked="0"/>
    </xf>
    <xf numFmtId="0" fontId="18" fillId="2" borderId="0" xfId="1" applyFont="1" applyFill="1" applyAlignment="1">
      <alignment horizontal="right" wrapText="1"/>
    </xf>
    <xf numFmtId="0" fontId="16" fillId="2" borderId="44" xfId="1" applyFont="1" applyFill="1" applyBorder="1" applyAlignment="1">
      <alignment horizontal="center"/>
    </xf>
    <xf numFmtId="0" fontId="16" fillId="2" borderId="5" xfId="1" applyFont="1" applyFill="1" applyBorder="1" applyAlignment="1" applyProtection="1">
      <alignment horizontal="center"/>
      <protection locked="0"/>
    </xf>
    <xf numFmtId="0" fontId="16" fillId="2" borderId="5" xfId="1" applyFont="1" applyFill="1" applyBorder="1" applyAlignment="1">
      <alignment horizontal="center"/>
    </xf>
    <xf numFmtId="0" fontId="16" fillId="2" borderId="47" xfId="1" applyFont="1" applyFill="1" applyBorder="1" applyAlignment="1">
      <alignment horizontal="center"/>
    </xf>
    <xf numFmtId="0" fontId="18" fillId="2" borderId="42" xfId="1" applyFont="1" applyFill="1" applyBorder="1" applyAlignment="1">
      <alignment horizontal="right"/>
    </xf>
    <xf numFmtId="0" fontId="19" fillId="2" borderId="0" xfId="1" applyFont="1" applyFill="1"/>
    <xf numFmtId="0" fontId="12" fillId="2" borderId="43" xfId="1" applyFont="1" applyFill="1" applyBorder="1"/>
    <xf numFmtId="0" fontId="44" fillId="2" borderId="0" xfId="0" applyFont="1" applyFill="1"/>
    <xf numFmtId="0" fontId="16" fillId="2" borderId="9" xfId="1" applyFont="1" applyFill="1" applyBorder="1" applyProtection="1">
      <protection locked="0"/>
    </xf>
    <xf numFmtId="0" fontId="16" fillId="2" borderId="48" xfId="1" applyFont="1" applyFill="1" applyBorder="1" applyProtection="1">
      <protection locked="0"/>
    </xf>
    <xf numFmtId="0" fontId="17" fillId="2" borderId="42" xfId="1" applyFont="1" applyFill="1" applyBorder="1"/>
    <xf numFmtId="0" fontId="16" fillId="2" borderId="8" xfId="1" applyFont="1" applyFill="1" applyBorder="1" applyAlignment="1" applyProtection="1">
      <alignment horizontal="center"/>
      <protection locked="0"/>
    </xf>
    <xf numFmtId="0" fontId="16" fillId="2" borderId="7" xfId="1" applyFont="1" applyFill="1" applyBorder="1" applyAlignment="1" applyProtection="1">
      <alignment horizontal="center"/>
      <protection locked="0"/>
    </xf>
    <xf numFmtId="0" fontId="16" fillId="2" borderId="49" xfId="1" applyFont="1" applyFill="1" applyBorder="1" applyAlignment="1" applyProtection="1">
      <alignment horizontal="center"/>
      <protection locked="0"/>
    </xf>
    <xf numFmtId="165" fontId="16" fillId="2" borderId="5" xfId="1" applyNumberFormat="1" applyFont="1" applyFill="1" applyBorder="1" applyAlignment="1" applyProtection="1">
      <alignment horizontal="center"/>
      <protection locked="0"/>
    </xf>
    <xf numFmtId="0" fontId="14" fillId="2" borderId="42" xfId="1" applyFont="1" applyFill="1" applyBorder="1" applyAlignment="1">
      <alignment horizontal="right" wrapText="1" indent="1"/>
    </xf>
    <xf numFmtId="0" fontId="15" fillId="2" borderId="0" xfId="1" applyFont="1" applyFill="1" applyAlignment="1" applyProtection="1">
      <alignment horizontal="center"/>
      <protection locked="0"/>
    </xf>
    <xf numFmtId="0" fontId="15" fillId="2" borderId="6" xfId="1" applyFont="1" applyFill="1" applyBorder="1" applyAlignment="1" applyProtection="1">
      <alignment horizontal="center"/>
      <protection locked="0"/>
    </xf>
    <xf numFmtId="0" fontId="15" fillId="2" borderId="44" xfId="1" applyFont="1" applyFill="1" applyBorder="1" applyAlignment="1" applyProtection="1">
      <alignment horizontal="center"/>
      <protection locked="0"/>
    </xf>
    <xf numFmtId="0" fontId="16" fillId="2" borderId="5" xfId="1" applyFont="1" applyFill="1" applyBorder="1" applyAlignment="1">
      <alignment horizontal="left"/>
    </xf>
    <xf numFmtId="0" fontId="15" fillId="2" borderId="5" xfId="1" applyFont="1" applyFill="1" applyBorder="1" applyAlignment="1" applyProtection="1">
      <alignment horizontal="center"/>
      <protection locked="0"/>
    </xf>
    <xf numFmtId="0" fontId="56" fillId="2" borderId="0" xfId="0" applyFont="1" applyFill="1" applyAlignment="1">
      <alignment vertical="center"/>
    </xf>
    <xf numFmtId="0" fontId="2" fillId="2" borderId="5" xfId="1" applyFont="1" applyFill="1" applyBorder="1" applyAlignment="1" applyProtection="1">
      <alignment horizontal="center"/>
      <protection locked="0"/>
    </xf>
    <xf numFmtId="0" fontId="2" fillId="2" borderId="47" xfId="1" applyFont="1" applyFill="1" applyBorder="1" applyAlignment="1" applyProtection="1">
      <alignment horizontal="center"/>
      <protection locked="0"/>
    </xf>
    <xf numFmtId="0" fontId="2" fillId="2" borderId="0" xfId="1" applyFont="1" applyFill="1" applyAlignment="1" applyProtection="1">
      <alignment horizontal="center"/>
      <protection locked="0"/>
    </xf>
    <xf numFmtId="0" fontId="2" fillId="2" borderId="43" xfId="1" applyFont="1" applyFill="1" applyBorder="1" applyAlignment="1" applyProtection="1">
      <alignment horizontal="center"/>
      <protection locked="0"/>
    </xf>
    <xf numFmtId="0" fontId="48" fillId="2" borderId="0" xfId="1" applyFont="1" applyFill="1" applyAlignment="1">
      <alignment horizontal="center"/>
    </xf>
    <xf numFmtId="0" fontId="11" fillId="2" borderId="0" xfId="1" applyFont="1" applyFill="1" applyAlignment="1">
      <alignment horizontal="center"/>
    </xf>
    <xf numFmtId="164" fontId="11" fillId="2" borderId="42" xfId="1" applyNumberFormat="1" applyFont="1" applyFill="1" applyBorder="1"/>
    <xf numFmtId="164" fontId="11" fillId="2" borderId="0" xfId="1" applyNumberFormat="1" applyFont="1" applyFill="1"/>
    <xf numFmtId="0" fontId="11" fillId="2" borderId="0" xfId="1" applyFont="1" applyFill="1"/>
    <xf numFmtId="0" fontId="11" fillId="2" borderId="43" xfId="1" applyFont="1" applyFill="1" applyBorder="1"/>
    <xf numFmtId="14" fontId="4" fillId="2" borderId="0" xfId="1" applyNumberFormat="1" applyFont="1" applyFill="1"/>
    <xf numFmtId="164" fontId="13" fillId="2" borderId="50" xfId="1" applyNumberFormat="1" applyFont="1" applyFill="1" applyBorder="1" applyAlignment="1">
      <alignment horizontal="center" vertical="center"/>
    </xf>
    <xf numFmtId="164" fontId="13" fillId="2" borderId="36" xfId="1" applyNumberFormat="1" applyFont="1" applyFill="1" applyBorder="1" applyAlignment="1">
      <alignment horizontal="center" vertical="center"/>
    </xf>
    <xf numFmtId="164" fontId="13" fillId="2" borderId="37" xfId="1" applyNumberFormat="1" applyFont="1" applyFill="1" applyBorder="1" applyAlignment="1">
      <alignment horizontal="center" vertical="center"/>
    </xf>
    <xf numFmtId="0" fontId="13" fillId="2" borderId="38" xfId="1" applyFont="1" applyFill="1" applyBorder="1" applyAlignment="1">
      <alignment horizontal="center" vertical="center"/>
    </xf>
    <xf numFmtId="0" fontId="13" fillId="2" borderId="51" xfId="1" applyFont="1" applyFill="1" applyBorder="1" applyAlignment="1">
      <alignment horizontal="center" vertical="center"/>
    </xf>
    <xf numFmtId="44" fontId="12" fillId="2" borderId="43" xfId="1" applyNumberFormat="1" applyFont="1" applyFill="1" applyBorder="1" applyAlignment="1" applyProtection="1">
      <alignment horizontal="center"/>
      <protection locked="0"/>
    </xf>
    <xf numFmtId="0" fontId="4" fillId="2" borderId="42" xfId="1" applyFont="1" applyFill="1" applyBorder="1"/>
    <xf numFmtId="44" fontId="8" fillId="2" borderId="1" xfId="1" applyNumberFormat="1" applyFont="1" applyFill="1" applyBorder="1" applyAlignment="1" applyProtection="1">
      <alignment horizontal="center"/>
      <protection locked="0"/>
    </xf>
    <xf numFmtId="0" fontId="10" fillId="2" borderId="57" xfId="1" applyFont="1" applyFill="1" applyBorder="1" applyAlignment="1" applyProtection="1">
      <alignment horizontal="right"/>
      <protection locked="0"/>
    </xf>
    <xf numFmtId="0" fontId="10" fillId="2" borderId="58" xfId="1" applyFont="1" applyFill="1" applyBorder="1" applyAlignment="1" applyProtection="1">
      <alignment horizontal="right"/>
      <protection locked="0"/>
    </xf>
    <xf numFmtId="0" fontId="10" fillId="2" borderId="42" xfId="1" applyFont="1" applyFill="1" applyBorder="1" applyAlignment="1" applyProtection="1">
      <alignment horizontal="right"/>
      <protection locked="0"/>
    </xf>
    <xf numFmtId="0" fontId="10" fillId="2" borderId="0" xfId="1" applyFont="1" applyFill="1" applyBorder="1" applyAlignment="1" applyProtection="1">
      <alignment horizontal="right"/>
      <protection locked="0"/>
    </xf>
    <xf numFmtId="0" fontId="10" fillId="2" borderId="43" xfId="1" applyFont="1" applyFill="1" applyBorder="1" applyAlignment="1" applyProtection="1">
      <alignment horizontal="center"/>
      <protection locked="0"/>
    </xf>
    <xf numFmtId="0" fontId="4" fillId="2" borderId="0" xfId="1" applyFont="1" applyFill="1" applyBorder="1"/>
    <xf numFmtId="44" fontId="8" fillId="2" borderId="0" xfId="1" applyNumberFormat="1" applyFont="1" applyFill="1" applyBorder="1"/>
    <xf numFmtId="44" fontId="9" fillId="2" borderId="43" xfId="1" applyNumberFormat="1" applyFont="1" applyFill="1" applyBorder="1" applyAlignment="1" applyProtection="1">
      <alignment horizontal="center"/>
      <protection locked="0"/>
    </xf>
    <xf numFmtId="44" fontId="5" fillId="2" borderId="43" xfId="1" applyNumberFormat="1" applyFont="1" applyFill="1" applyBorder="1"/>
    <xf numFmtId="0" fontId="69" fillId="2" borderId="0" xfId="1" applyFont="1" applyFill="1" applyAlignment="1"/>
    <xf numFmtId="0" fontId="4" fillId="2" borderId="54" xfId="1" applyFont="1" applyFill="1" applyBorder="1"/>
    <xf numFmtId="0" fontId="4" fillId="2" borderId="55" xfId="1" applyFont="1" applyFill="1" applyBorder="1"/>
    <xf numFmtId="0" fontId="4" fillId="2" borderId="56" xfId="1" applyFont="1" applyFill="1" applyBorder="1"/>
    <xf numFmtId="0" fontId="36" fillId="2" borderId="82" xfId="1" applyFont="1" applyFill="1" applyBorder="1" applyAlignment="1">
      <alignment horizontal="center"/>
    </xf>
    <xf numFmtId="0" fontId="36" fillId="2" borderId="81" xfId="1" applyFont="1" applyFill="1" applyBorder="1" applyAlignment="1">
      <alignment horizontal="center"/>
    </xf>
    <xf numFmtId="0" fontId="36" fillId="2" borderId="83" xfId="1" applyFont="1" applyFill="1" applyBorder="1" applyAlignment="1">
      <alignment horizontal="center"/>
    </xf>
    <xf numFmtId="44" fontId="8" fillId="2" borderId="0" xfId="1" applyNumberFormat="1" applyFont="1" applyFill="1"/>
    <xf numFmtId="0" fontId="71" fillId="2" borderId="12" xfId="0" applyFont="1" applyFill="1" applyBorder="1" applyAlignment="1" applyProtection="1">
      <alignment horizontal="center"/>
      <protection hidden="1"/>
    </xf>
    <xf numFmtId="44" fontId="47" fillId="2" borderId="0" xfId="1" applyNumberFormat="1" applyFont="1" applyFill="1"/>
    <xf numFmtId="0" fontId="72" fillId="2" borderId="11" xfId="0" applyFont="1" applyFill="1" applyBorder="1" applyAlignment="1" applyProtection="1">
      <alignment shrinkToFit="1"/>
      <protection hidden="1"/>
    </xf>
    <xf numFmtId="0" fontId="7" fillId="2" borderId="0" xfId="1" applyFont="1" applyFill="1"/>
    <xf numFmtId="44" fontId="6" fillId="2" borderId="0" xfId="1" applyNumberFormat="1" applyFont="1" applyFill="1" applyAlignment="1">
      <alignment vertical="center"/>
    </xf>
    <xf numFmtId="44" fontId="6" fillId="2" borderId="0" xfId="1" applyNumberFormat="1" applyFont="1" applyFill="1" applyAlignment="1">
      <alignment horizontal="left" vertical="center"/>
    </xf>
    <xf numFmtId="0" fontId="49" fillId="2" borderId="0" xfId="1" applyFont="1" applyFill="1"/>
    <xf numFmtId="0" fontId="51" fillId="2" borderId="0" xfId="0" applyFont="1" applyFill="1"/>
    <xf numFmtId="166" fontId="49" fillId="2" borderId="0" xfId="1" applyNumberFormat="1" applyFont="1" applyFill="1"/>
    <xf numFmtId="166" fontId="62" fillId="2" borderId="11" xfId="0" applyNumberFormat="1" applyFont="1" applyFill="1" applyBorder="1" applyProtection="1">
      <protection hidden="1"/>
    </xf>
    <xf numFmtId="166" fontId="31" fillId="2" borderId="0" xfId="0" applyNumberFormat="1" applyFont="1" applyFill="1" applyBorder="1" applyAlignment="1" applyProtection="1">
      <alignment horizontal="left"/>
      <protection hidden="1"/>
    </xf>
    <xf numFmtId="44" fontId="12" fillId="2" borderId="59" xfId="1" applyNumberFormat="1" applyFont="1" applyFill="1" applyBorder="1" applyAlignment="1" applyProtection="1">
      <alignment horizontal="center"/>
    </xf>
    <xf numFmtId="0" fontId="72" fillId="2" borderId="11" xfId="0" applyFont="1" applyFill="1" applyBorder="1" applyAlignment="1" applyProtection="1">
      <alignment shrinkToFit="1"/>
    </xf>
    <xf numFmtId="0" fontId="72" fillId="2" borderId="11" xfId="0" applyFont="1" applyFill="1" applyBorder="1" applyAlignment="1" applyProtection="1">
      <alignment horizontal="center" shrinkToFit="1"/>
    </xf>
    <xf numFmtId="14" fontId="72" fillId="2" borderId="11" xfId="0" applyNumberFormat="1" applyFont="1" applyFill="1" applyBorder="1" applyAlignment="1" applyProtection="1">
      <alignment horizontal="center" shrinkToFit="1"/>
    </xf>
    <xf numFmtId="166" fontId="72" fillId="2" borderId="11" xfId="0" applyNumberFormat="1" applyFont="1" applyFill="1" applyBorder="1" applyAlignment="1" applyProtection="1">
      <alignment shrinkToFit="1"/>
    </xf>
    <xf numFmtId="44" fontId="12" fillId="2" borderId="53" xfId="1" applyNumberFormat="1" applyFont="1" applyFill="1" applyBorder="1" applyAlignment="1" applyProtection="1">
      <alignment horizontal="center"/>
    </xf>
    <xf numFmtId="0" fontId="11" fillId="2" borderId="70" xfId="1" applyFont="1" applyFill="1" applyBorder="1" applyProtection="1">
      <protection hidden="1"/>
    </xf>
    <xf numFmtId="0" fontId="11" fillId="2" borderId="71" xfId="1" applyFont="1" applyFill="1" applyBorder="1" applyProtection="1">
      <protection hidden="1"/>
    </xf>
    <xf numFmtId="0" fontId="11" fillId="2" borderId="72" xfId="1" applyFont="1" applyFill="1" applyBorder="1" applyProtection="1">
      <protection hidden="1"/>
    </xf>
    <xf numFmtId="0" fontId="11" fillId="2" borderId="0" xfId="1" applyFont="1" applyFill="1" applyProtection="1">
      <protection hidden="1"/>
    </xf>
    <xf numFmtId="0" fontId="48" fillId="2" borderId="0" xfId="1" applyFont="1" applyFill="1" applyAlignment="1" applyProtection="1">
      <alignment horizontal="center"/>
      <protection hidden="1"/>
    </xf>
    <xf numFmtId="0" fontId="11" fillId="2" borderId="66" xfId="1" applyFont="1" applyFill="1" applyBorder="1" applyAlignment="1" applyProtection="1">
      <alignment horizontal="center"/>
      <protection hidden="1"/>
    </xf>
    <xf numFmtId="14" fontId="11" fillId="2" borderId="73" xfId="1" applyNumberFormat="1" applyFont="1" applyFill="1" applyBorder="1" applyProtection="1">
      <protection hidden="1"/>
    </xf>
    <xf numFmtId="14" fontId="11" fillId="2" borderId="0" xfId="1" applyNumberFormat="1" applyFont="1" applyFill="1" applyProtection="1">
      <protection hidden="1"/>
    </xf>
    <xf numFmtId="14" fontId="11" fillId="2" borderId="74" xfId="1" applyNumberFormat="1" applyFont="1" applyFill="1" applyBorder="1" applyProtection="1">
      <protection hidden="1"/>
    </xf>
    <xf numFmtId="14" fontId="11" fillId="2" borderId="67" xfId="1" applyNumberFormat="1" applyFont="1" applyFill="1" applyBorder="1" applyAlignment="1" applyProtection="1">
      <alignment horizontal="center"/>
      <protection hidden="1"/>
    </xf>
    <xf numFmtId="0" fontId="11" fillId="2" borderId="75" xfId="1" applyFont="1" applyFill="1" applyBorder="1" applyProtection="1">
      <protection hidden="1"/>
    </xf>
    <xf numFmtId="0" fontId="11" fillId="2" borderId="76" xfId="1" applyFont="1" applyFill="1" applyBorder="1" applyProtection="1">
      <protection hidden="1"/>
    </xf>
    <xf numFmtId="0" fontId="11" fillId="2" borderId="77" xfId="1" applyFont="1" applyFill="1" applyBorder="1" applyProtection="1">
      <protection hidden="1"/>
    </xf>
    <xf numFmtId="0" fontId="4" fillId="2" borderId="0" xfId="1" applyFont="1" applyFill="1" applyProtection="1">
      <protection hidden="1"/>
    </xf>
    <xf numFmtId="0" fontId="11" fillId="2" borderId="67" xfId="1" applyFont="1" applyFill="1" applyBorder="1" applyAlignment="1" applyProtection="1">
      <alignment horizontal="center"/>
      <protection hidden="1"/>
    </xf>
    <xf numFmtId="0" fontId="4" fillId="2" borderId="67" xfId="1" applyFont="1" applyFill="1" applyBorder="1" applyAlignment="1" applyProtection="1">
      <alignment horizontal="center"/>
      <protection hidden="1"/>
    </xf>
    <xf numFmtId="0" fontId="12" fillId="2" borderId="0" xfId="1" applyFont="1" applyFill="1" applyProtection="1">
      <protection hidden="1"/>
    </xf>
    <xf numFmtId="0" fontId="36" fillId="2" borderId="39" xfId="1" applyFont="1" applyFill="1" applyBorder="1" applyProtection="1">
      <protection hidden="1"/>
    </xf>
    <xf numFmtId="2" fontId="12" fillId="2" borderId="0" xfId="1" applyNumberFormat="1" applyFont="1" applyFill="1" applyProtection="1">
      <protection hidden="1"/>
    </xf>
    <xf numFmtId="2" fontId="12" fillId="2" borderId="57" xfId="1" applyNumberFormat="1" applyFont="1" applyFill="1" applyBorder="1" applyProtection="1">
      <protection hidden="1"/>
    </xf>
    <xf numFmtId="2" fontId="12" fillId="2" borderId="60" xfId="1" applyNumberFormat="1" applyFont="1" applyFill="1" applyBorder="1" applyProtection="1">
      <protection hidden="1"/>
    </xf>
    <xf numFmtId="2" fontId="12" fillId="2" borderId="61" xfId="1" applyNumberFormat="1" applyFont="1" applyFill="1" applyBorder="1" applyProtection="1">
      <protection hidden="1"/>
    </xf>
    <xf numFmtId="2" fontId="12" fillId="2" borderId="62" xfId="1" applyNumberFormat="1" applyFont="1" applyFill="1" applyBorder="1" applyProtection="1">
      <protection hidden="1"/>
    </xf>
    <xf numFmtId="0" fontId="36" fillId="2" borderId="15" xfId="1" applyFont="1" applyFill="1" applyBorder="1" applyProtection="1">
      <protection hidden="1"/>
    </xf>
    <xf numFmtId="0" fontId="36" fillId="2" borderId="63" xfId="1" applyFont="1" applyFill="1" applyBorder="1" applyProtection="1">
      <protection hidden="1"/>
    </xf>
    <xf numFmtId="0" fontId="36" fillId="2" borderId="64" xfId="1" applyFont="1" applyFill="1" applyBorder="1" applyProtection="1">
      <protection hidden="1"/>
    </xf>
    <xf numFmtId="0" fontId="36" fillId="2" borderId="65" xfId="1" applyFont="1" applyFill="1" applyBorder="1" applyProtection="1">
      <protection hidden="1"/>
    </xf>
    <xf numFmtId="0" fontId="65" fillId="2" borderId="0" xfId="1" applyFont="1" applyFill="1" applyProtection="1">
      <protection hidden="1"/>
    </xf>
    <xf numFmtId="0" fontId="66" fillId="2" borderId="0" xfId="0" applyFont="1" applyFill="1" applyAlignment="1" applyProtection="1">
      <alignment horizontal="center"/>
      <protection hidden="1"/>
    </xf>
    <xf numFmtId="0" fontId="33" fillId="6" borderId="0" xfId="1" applyFont="1" applyFill="1" applyProtection="1">
      <protection hidden="1"/>
    </xf>
    <xf numFmtId="0" fontId="67" fillId="2" borderId="0" xfId="0" applyFont="1" applyFill="1" applyAlignment="1" applyProtection="1">
      <alignment horizontal="left" vertical="center" shrinkToFit="1"/>
      <protection hidden="1"/>
    </xf>
    <xf numFmtId="0" fontId="67" fillId="6" borderId="0" xfId="0" applyFont="1" applyFill="1" applyAlignment="1" applyProtection="1">
      <alignment horizontal="left" vertical="center" shrinkToFit="1"/>
      <protection hidden="1"/>
    </xf>
    <xf numFmtId="0" fontId="50" fillId="6" borderId="54" xfId="0" applyFont="1" applyFill="1" applyBorder="1" applyAlignment="1" applyProtection="1">
      <alignment horizontal="left" vertical="center" shrinkToFit="1"/>
      <protection hidden="1"/>
    </xf>
    <xf numFmtId="166" fontId="4" fillId="2" borderId="0" xfId="1" applyNumberFormat="1" applyFont="1" applyFill="1" applyProtection="1">
      <protection hidden="1"/>
    </xf>
    <xf numFmtId="0" fontId="69" fillId="2" borderId="0" xfId="1" applyFont="1" applyFill="1" applyAlignment="1" applyProtection="1">
      <protection hidden="1"/>
    </xf>
    <xf numFmtId="0" fontId="68" fillId="2" borderId="0" xfId="1" applyFont="1" applyFill="1" applyAlignment="1" applyProtection="1">
      <protection hidden="1"/>
    </xf>
    <xf numFmtId="0" fontId="57" fillId="2" borderId="0" xfId="0" applyFont="1" applyFill="1" applyProtection="1">
      <protection hidden="1"/>
    </xf>
    <xf numFmtId="0" fontId="64" fillId="2" borderId="14" xfId="0" applyFont="1" applyFill="1" applyBorder="1" applyAlignment="1" applyProtection="1">
      <alignment horizontal="left" vertical="center" shrinkToFit="1"/>
      <protection hidden="1"/>
    </xf>
    <xf numFmtId="167" fontId="0" fillId="0" borderId="0" xfId="0" applyNumberFormat="1"/>
    <xf numFmtId="166" fontId="72" fillId="2" borderId="11" xfId="0" applyNumberFormat="1" applyFont="1" applyFill="1" applyBorder="1" applyAlignment="1">
      <alignment horizontal="right" vertical="center" shrinkToFit="1"/>
    </xf>
    <xf numFmtId="0" fontId="33" fillId="5" borderId="0" xfId="0" applyFont="1" applyFill="1" applyProtection="1">
      <protection hidden="1"/>
    </xf>
    <xf numFmtId="0" fontId="35" fillId="0" borderId="68" xfId="0" applyFont="1" applyBorder="1" applyProtection="1">
      <protection hidden="1"/>
    </xf>
    <xf numFmtId="167" fontId="35" fillId="0" borderId="69" xfId="0" applyNumberFormat="1" applyFont="1" applyBorder="1" applyProtection="1">
      <protection hidden="1"/>
    </xf>
    <xf numFmtId="1" fontId="55" fillId="9" borderId="84" xfId="0" applyNumberFormat="1" applyFont="1" applyFill="1" applyBorder="1" applyAlignment="1" applyProtection="1">
      <alignment horizontal="center"/>
      <protection locked="0"/>
    </xf>
    <xf numFmtId="14" fontId="55" fillId="9" borderId="85" xfId="0" applyNumberFormat="1" applyFont="1" applyFill="1" applyBorder="1" applyAlignment="1" applyProtection="1">
      <alignment horizontal="center"/>
      <protection locked="0"/>
    </xf>
    <xf numFmtId="49" fontId="55" fillId="9" borderId="85" xfId="0" applyNumberFormat="1" applyFont="1" applyFill="1" applyBorder="1" applyAlignment="1" applyProtection="1">
      <alignment horizontal="center"/>
      <protection locked="0"/>
    </xf>
    <xf numFmtId="0" fontId="55" fillId="9" borderId="85" xfId="0" applyFont="1" applyFill="1" applyBorder="1" applyAlignment="1" applyProtection="1">
      <alignment horizontal="center"/>
      <protection locked="0"/>
    </xf>
    <xf numFmtId="0" fontId="55" fillId="9" borderId="86" xfId="0" applyFont="1" applyFill="1" applyBorder="1" applyAlignment="1" applyProtection="1">
      <alignment horizontal="center"/>
      <protection locked="0"/>
    </xf>
    <xf numFmtId="0" fontId="55" fillId="9" borderId="87" xfId="0" applyFont="1" applyFill="1" applyBorder="1" applyAlignment="1" applyProtection="1">
      <alignment horizontal="left"/>
      <protection locked="0"/>
    </xf>
    <xf numFmtId="0" fontId="55" fillId="9" borderId="88" xfId="0" applyFont="1" applyFill="1" applyBorder="1" applyAlignment="1" applyProtection="1">
      <alignment horizontal="left"/>
      <protection locked="0"/>
    </xf>
    <xf numFmtId="1" fontId="55" fillId="9" borderId="89" xfId="0" applyNumberFormat="1" applyFont="1" applyFill="1" applyBorder="1" applyAlignment="1" applyProtection="1">
      <alignment horizontal="center"/>
      <protection locked="0"/>
    </xf>
    <xf numFmtId="14" fontId="55" fillId="9" borderId="90" xfId="0" applyNumberFormat="1" applyFont="1" applyFill="1" applyBorder="1" applyAlignment="1" applyProtection="1">
      <alignment horizontal="center"/>
      <protection locked="0"/>
    </xf>
    <xf numFmtId="49" fontId="55" fillId="9" borderId="90" xfId="0" applyNumberFormat="1" applyFont="1" applyFill="1" applyBorder="1" applyAlignment="1" applyProtection="1">
      <alignment horizontal="center"/>
      <protection locked="0"/>
    </xf>
    <xf numFmtId="0" fontId="55" fillId="9" borderId="90" xfId="0" applyFont="1" applyFill="1" applyBorder="1" applyAlignment="1" applyProtection="1">
      <alignment horizontal="center"/>
      <protection locked="0"/>
    </xf>
    <xf numFmtId="0" fontId="55" fillId="9" borderId="91" xfId="0" applyFont="1" applyFill="1" applyBorder="1" applyAlignment="1" applyProtection="1">
      <alignment horizontal="center"/>
      <protection locked="0"/>
    </xf>
    <xf numFmtId="0" fontId="55" fillId="9" borderId="92" xfId="0" applyFont="1" applyFill="1" applyBorder="1" applyAlignment="1" applyProtection="1">
      <alignment horizontal="left"/>
      <protection locked="0"/>
    </xf>
    <xf numFmtId="0" fontId="55" fillId="9" borderId="93" xfId="0" applyFont="1" applyFill="1" applyBorder="1" applyAlignment="1" applyProtection="1">
      <alignment horizontal="left"/>
      <protection locked="0"/>
    </xf>
    <xf numFmtId="0" fontId="55" fillId="9" borderId="94" xfId="0" applyFont="1" applyFill="1" applyBorder="1" applyAlignment="1" applyProtection="1">
      <alignment horizontal="left"/>
      <protection locked="0"/>
    </xf>
    <xf numFmtId="0" fontId="55" fillId="9" borderId="95" xfId="0" applyFont="1" applyFill="1" applyBorder="1" applyAlignment="1" applyProtection="1">
      <alignment horizontal="left"/>
      <protection locked="0"/>
    </xf>
    <xf numFmtId="0" fontId="0" fillId="5" borderId="0" xfId="0" applyFill="1" applyProtection="1">
      <protection hidden="1"/>
    </xf>
    <xf numFmtId="0" fontId="75" fillId="5" borderId="0" xfId="0" applyFont="1" applyFill="1" applyProtection="1">
      <protection hidden="1"/>
    </xf>
    <xf numFmtId="0" fontId="76" fillId="0" borderId="0" xfId="0" applyFont="1" applyAlignment="1">
      <alignment horizontal="left"/>
    </xf>
    <xf numFmtId="0" fontId="0" fillId="0" borderId="0" xfId="0" applyFill="1"/>
    <xf numFmtId="0" fontId="0" fillId="0" borderId="0" xfId="0" applyFill="1" applyProtection="1">
      <protection hidden="1"/>
    </xf>
  </cellXfs>
  <cellStyles count="2">
    <cellStyle name="Normal" xfId="0" builtinId="0"/>
    <cellStyle name="Normal 2" xfId="1" xr:uid="{F1FDC4A7-59B1-674E-9761-EE3200EEA20F}"/>
  </cellStyles>
  <dxfs count="60">
    <dxf>
      <numFmt numFmtId="169" formatCode=";;;"/>
    </dxf>
    <dxf>
      <numFmt numFmtId="169" formatCode=";;;"/>
    </dxf>
    <dxf>
      <numFmt numFmtId="169" formatCode=";;;"/>
    </dxf>
    <dxf>
      <numFmt numFmtId="169" formatCode=";;;"/>
    </dxf>
    <dxf>
      <numFmt numFmtId="169" formatCode=";;;"/>
    </dxf>
    <dxf>
      <numFmt numFmtId="169" formatCode=";;;"/>
    </dxf>
    <dxf>
      <numFmt numFmtId="169" formatCode=";;;"/>
    </dxf>
    <dxf>
      <numFmt numFmtId="169" formatCode=";;;"/>
    </dxf>
    <dxf>
      <border>
        <left style="thin">
          <color auto="1"/>
        </left>
        <right style="thin">
          <color auto="1"/>
        </right>
        <top style="thin">
          <color auto="1"/>
        </top>
        <bottom style="thin">
          <color auto="1"/>
        </bottom>
        <vertical/>
        <horizontal/>
      </border>
    </dxf>
    <dxf>
      <numFmt numFmtId="169" formatCode=";;;"/>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border outline="0">
        <left style="medium">
          <color rgb="FF000000"/>
        </left>
        <right style="medium">
          <color rgb="FF000000"/>
        </right>
        <top style="medium">
          <color rgb="FF000000"/>
        </top>
        <bottom style="thin">
          <color auto="1"/>
        </bottom>
      </border>
    </dxf>
    <dxf>
      <fill>
        <patternFill>
          <bgColor rgb="FFFFFFFF"/>
        </patternFill>
      </fill>
    </dxf>
    <dxf>
      <fill>
        <patternFill>
          <bgColor theme="0"/>
        </patternFill>
      </fill>
    </dxf>
    <dxf>
      <font>
        <b val="0"/>
        <i val="0"/>
        <strike val="0"/>
        <condense val="0"/>
        <extend val="0"/>
        <outline val="0"/>
        <shadow val="0"/>
        <u val="none"/>
        <vertAlign val="baseline"/>
        <sz val="12"/>
        <color rgb="FF000000"/>
        <name val="Aptos Narrow"/>
        <family val="2"/>
        <scheme val="minor"/>
      </font>
      <protection locked="1" hidden="1"/>
    </dxf>
    <dxf>
      <protection locked="1" hidden="1"/>
    </dxf>
    <dxf>
      <font>
        <b val="0"/>
        <i val="0"/>
        <strike val="0"/>
        <condense val="0"/>
        <extend val="0"/>
        <outline val="0"/>
        <shadow val="0"/>
        <u val="none"/>
        <vertAlign val="baseline"/>
        <sz val="12"/>
        <color rgb="FF000000"/>
        <name val="Aptos Narrow"/>
        <family val="2"/>
        <scheme val="minor"/>
      </font>
      <numFmt numFmtId="167" formatCode="000"/>
      <border diagonalUp="0" diagonalDown="0">
        <left style="medium">
          <color rgb="FF000000"/>
        </left>
        <right style="medium">
          <color rgb="FF000000"/>
        </right>
        <top/>
        <bottom/>
        <vertical/>
        <horizontal/>
      </border>
      <protection locked="1" hidden="1"/>
    </dxf>
    <dxf>
      <font>
        <b val="0"/>
        <i val="0"/>
        <strike val="0"/>
        <condense val="0"/>
        <extend val="0"/>
        <outline val="0"/>
        <shadow val="0"/>
        <u val="none"/>
        <vertAlign val="baseline"/>
        <sz val="12"/>
        <color rgb="FF000000"/>
        <name val="Aptos Narrow"/>
        <family val="2"/>
        <scheme val="minor"/>
      </font>
      <border diagonalUp="0" diagonalDown="0">
        <left style="medium">
          <color rgb="FF000000"/>
        </left>
        <right style="medium">
          <color rgb="FF000000"/>
        </right>
        <top style="dashed">
          <color rgb="FF000000"/>
        </top>
        <bottom/>
        <vertical/>
        <horizontal/>
      </border>
      <protection locked="1" hidden="1"/>
    </dxf>
    <dxf>
      <font>
        <b/>
        <i val="0"/>
        <strike val="0"/>
        <condense val="0"/>
        <extend val="0"/>
        <outline val="0"/>
        <shadow val="0"/>
        <u val="none"/>
        <vertAlign val="baseline"/>
        <sz val="9"/>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left/>
        <right/>
        <top style="thin">
          <color auto="1"/>
        </top>
        <bottom/>
      </border>
      <protection locked="1" hidden="1"/>
    </dxf>
    <dxf>
      <fill>
        <patternFill>
          <bgColor theme="0"/>
        </patternFill>
      </fill>
    </dxf>
    <dxf>
      <fill>
        <patternFill>
          <bgColor theme="0"/>
        </patternFill>
      </fill>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numFmt numFmtId="166" formatCode="_(#,##0.00_);[Red]\(#,##0.00\)"/>
      <fill>
        <patternFill patternType="solid">
          <fgColor theme="0" tint="-0.14999847407452621"/>
          <bgColor theme="0"/>
        </patternFill>
      </fill>
      <alignment horizontal="left" vertical="center" textRotation="0" wrapText="0" indent="0" justifyLastLine="0" shrinkToFit="1" readingOrder="0"/>
      <border diagonalUp="0" diagonalDown="0" outline="0">
        <left/>
        <right/>
        <top style="thin">
          <color indexed="64"/>
        </top>
        <bottom/>
      </border>
    </dxf>
    <dxf>
      <font>
        <strike val="0"/>
        <outline val="0"/>
        <shadow val="0"/>
        <u val="none"/>
        <vertAlign val="baseline"/>
        <sz val="11"/>
        <name val="Arial"/>
        <family val="2"/>
        <scheme val="none"/>
      </font>
      <numFmt numFmtId="0" formatCode="General"/>
      <fill>
        <patternFill>
          <bgColor theme="0"/>
        </patternFill>
      </fill>
    </dxf>
    <dxf>
      <font>
        <strike val="0"/>
        <outline val="0"/>
        <shadow val="0"/>
        <u val="none"/>
        <vertAlign val="baseline"/>
        <sz val="11"/>
        <name val="Arial"/>
        <family val="2"/>
        <scheme val="none"/>
      </font>
      <fill>
        <patternFill>
          <bgColor theme="0"/>
        </patternFill>
      </fill>
      <alignment horizontal="left" textRotation="0" wrapText="0" indent="0" justifyLastLine="0" readingOrder="0"/>
      <border diagonalUp="0" diagonalDown="0" outline="0">
        <right style="thin">
          <color indexed="64"/>
        </right>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rgb="FFD9D9D9"/>
          <bgColor theme="0"/>
        </patternFill>
      </fill>
      <alignment horizontal="left" vertical="center" textRotation="0" wrapText="0" indent="0" justifyLastLine="0" shrinkToFit="1" readingOrder="0"/>
      <border diagonalUp="0" diagonalDown="0" outline="0">
        <left style="thin">
          <color indexed="64"/>
        </left>
        <right/>
        <top style="thin">
          <color indexed="64"/>
        </top>
        <bottom/>
      </border>
    </dxf>
    <dxf>
      <font>
        <b val="0"/>
        <i val="0"/>
        <strike val="0"/>
        <condense val="0"/>
        <extend val="0"/>
        <outline val="0"/>
        <shadow val="0"/>
        <u val="none"/>
        <vertAlign val="baseline"/>
        <sz val="11"/>
        <color auto="1"/>
        <name val="Arial"/>
        <family val="2"/>
        <scheme val="none"/>
      </font>
      <fill>
        <patternFill patternType="solid">
          <fgColor theme="0" tint="-0.14999847407452621"/>
          <bgColor theme="0"/>
        </patternFill>
      </fill>
      <alignment horizontal="left" vertical="center" textRotation="0" wrapText="0" indent="0" justifyLastLine="0" shrinkToFit="1" readingOrder="0"/>
      <border diagonalUp="0" diagonalDown="0" outline="0">
        <left style="medium">
          <color indexed="64"/>
        </left>
        <right/>
        <top style="thin">
          <color indexed="64"/>
        </top>
        <bottom/>
      </border>
    </dxf>
    <dxf>
      <font>
        <b/>
        <i val="0"/>
        <color theme="1"/>
      </font>
      <fill>
        <patternFill>
          <fgColor theme="2" tint="-9.9948118533890809E-2"/>
        </patternFill>
      </fill>
    </dxf>
    <dxf>
      <font>
        <b val="0"/>
        <i val="0"/>
      </font>
    </dxf>
    <dxf>
      <border outline="0">
        <left style="medium">
          <color indexed="64"/>
        </left>
        <right style="medium">
          <color indexed="64"/>
        </right>
        <top style="medium">
          <color indexed="64"/>
        </top>
        <bottom style="thin">
          <color auto="1"/>
        </bottom>
      </border>
    </dxf>
  </dxfs>
  <tableStyles count="1" defaultTableStyle="TableStyleMedium2" defaultPivotStyle="PivotStyleLight16">
    <tableStyle name="HB Style" pivot="0" count="2" xr9:uid="{E0E2B172-8F50-1549-BF1F-5DAC7BCCAB10}">
      <tableStyleElement type="wholeTable" dxfId="58"/>
      <tableStyleElement type="headerRow" dxfId="57"/>
    </tableStyle>
  </tableStyles>
  <colors>
    <mruColors>
      <color rgb="FFD2B188"/>
      <color rgb="FFFFF3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14</xdr:row>
          <xdr:rowOff>114300</xdr:rowOff>
        </xdr:from>
        <xdr:to>
          <xdr:col>9</xdr:col>
          <xdr:colOff>254000</xdr:colOff>
          <xdr:row>16</xdr:row>
          <xdr:rowOff>63500</xdr:rowOff>
        </xdr:to>
        <xdr:sp macro="" textlink="">
          <xdr:nvSpPr>
            <xdr:cNvPr id="5122" name="Button 2" descr="Generate POs&#10;"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Generate POs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635000</xdr:colOff>
          <xdr:row>21</xdr:row>
          <xdr:rowOff>165100</xdr:rowOff>
        </xdr:from>
        <xdr:to>
          <xdr:col>9</xdr:col>
          <xdr:colOff>508000</xdr:colOff>
          <xdr:row>23</xdr:row>
          <xdr:rowOff>139700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30" b="0" i="0" u="none" strike="noStrike" baseline="0">
                  <a:solidFill>
                    <a:srgbClr val="000000"/>
                  </a:solidFill>
                  <a:latin typeface="Aptos Narrow" charset="0"/>
                </a:rPr>
                <a:t>Delete all POs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joshparkhill/Projects/filmshit/app/static/files/working/PO_generation_book_log_v1.93b.xlsm" TargetMode="External"/><Relationship Id="rId1" Type="http://schemas.openxmlformats.org/officeDocument/2006/relationships/externalLinkPath" Target="PO_generation_book_log_v1.93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Line No"/>
      <sheetName val="PO DATA"/>
      <sheetName val="PO Log"/>
      <sheetName val="TEMPLATE-SHEET"/>
      <sheetName val="Sheet_Index"/>
      <sheetName val="2499-001"/>
      <sheetName val="2499-002"/>
      <sheetName val="2499-003"/>
      <sheetName val="2499-004"/>
      <sheetName val="2499-005"/>
    </sheetNames>
    <sheetDataSet>
      <sheetData sheetId="0"/>
      <sheetData sheetId="1">
        <row r="1">
          <cell r="A1" t="str">
            <v>A</v>
          </cell>
          <cell r="B1" t="str">
            <v>PRE-PRO &amp; WRAP CREW</v>
          </cell>
        </row>
        <row r="2">
          <cell r="A2">
            <v>1</v>
          </cell>
          <cell r="B2" t="str">
            <v>Line Producer</v>
          </cell>
        </row>
        <row r="3">
          <cell r="A3">
            <v>2</v>
          </cell>
          <cell r="B3" t="str">
            <v>Assistant Director</v>
          </cell>
        </row>
        <row r="4">
          <cell r="A4">
            <v>3</v>
          </cell>
          <cell r="B4" t="str">
            <v>Director of Photography</v>
          </cell>
        </row>
        <row r="5">
          <cell r="A5">
            <v>4</v>
          </cell>
          <cell r="B5" t="str">
            <v>2nd Unit DP</v>
          </cell>
        </row>
        <row r="6">
          <cell r="A6">
            <v>5</v>
          </cell>
          <cell r="B6" t="str">
            <v>1st AC</v>
          </cell>
        </row>
        <row r="7">
          <cell r="A7">
            <v>6</v>
          </cell>
          <cell r="B7" t="str">
            <v>2nd AC</v>
          </cell>
        </row>
        <row r="8">
          <cell r="A8">
            <v>7</v>
          </cell>
          <cell r="B8" t="str">
            <v>Phantom Tech</v>
          </cell>
        </row>
        <row r="9">
          <cell r="A9">
            <v>8</v>
          </cell>
          <cell r="B9" t="str">
            <v>DIT</v>
          </cell>
        </row>
        <row r="10">
          <cell r="A10">
            <v>9</v>
          </cell>
          <cell r="B10" t="str">
            <v>Crane Operator</v>
          </cell>
        </row>
        <row r="11">
          <cell r="A11">
            <v>10</v>
          </cell>
          <cell r="B11" t="str">
            <v>Crane Tech</v>
          </cell>
        </row>
        <row r="12">
          <cell r="A12">
            <v>11</v>
          </cell>
          <cell r="B12" t="str">
            <v>Gaffer</v>
          </cell>
        </row>
        <row r="13">
          <cell r="A13">
            <v>12</v>
          </cell>
          <cell r="B13" t="str">
            <v>BB Electric</v>
          </cell>
        </row>
        <row r="14">
          <cell r="A14">
            <v>13</v>
          </cell>
          <cell r="B14" t="str">
            <v>3rd Electric</v>
          </cell>
        </row>
        <row r="15">
          <cell r="A15">
            <v>14</v>
          </cell>
          <cell r="B15" t="str">
            <v>4th Electric/Driver</v>
          </cell>
        </row>
        <row r="16">
          <cell r="A16">
            <v>15</v>
          </cell>
          <cell r="B16" t="str">
            <v>Package Truck Driver</v>
          </cell>
        </row>
        <row r="17">
          <cell r="A17">
            <v>16</v>
          </cell>
          <cell r="B17" t="str">
            <v>Key Grip</v>
          </cell>
        </row>
        <row r="18">
          <cell r="A18">
            <v>17</v>
          </cell>
          <cell r="B18" t="str">
            <v>BB Grip</v>
          </cell>
        </row>
        <row r="19">
          <cell r="A19">
            <v>18</v>
          </cell>
          <cell r="B19" t="str">
            <v>3rd Grip</v>
          </cell>
        </row>
        <row r="20">
          <cell r="A20">
            <v>19</v>
          </cell>
          <cell r="B20" t="str">
            <v>4th Grip/Driver</v>
          </cell>
        </row>
        <row r="21">
          <cell r="A21">
            <v>20</v>
          </cell>
          <cell r="B21" t="str">
            <v>addt'l Grips</v>
          </cell>
        </row>
        <row r="22">
          <cell r="A22">
            <v>21</v>
          </cell>
          <cell r="B22" t="str">
            <v>Sound Mixer</v>
          </cell>
        </row>
        <row r="23">
          <cell r="A23">
            <v>22</v>
          </cell>
          <cell r="B23" t="str">
            <v>Boom Operator</v>
          </cell>
        </row>
        <row r="24">
          <cell r="A24">
            <v>23</v>
          </cell>
          <cell r="B24" t="str">
            <v>Key Makeup</v>
          </cell>
        </row>
        <row r="25">
          <cell r="A25">
            <v>24</v>
          </cell>
          <cell r="B25" t="str">
            <v>Key Hair</v>
          </cell>
        </row>
        <row r="26">
          <cell r="A26">
            <v>25</v>
          </cell>
          <cell r="B26" t="str">
            <v>2nd Makeup/2nd Hair</v>
          </cell>
        </row>
        <row r="27">
          <cell r="A27">
            <v>26</v>
          </cell>
          <cell r="B27" t="str">
            <v>Key Stylist</v>
          </cell>
        </row>
        <row r="28">
          <cell r="A28">
            <v>27</v>
          </cell>
          <cell r="B28" t="str">
            <v>Stylist Assistant</v>
          </cell>
        </row>
        <row r="29">
          <cell r="A29">
            <v>28</v>
          </cell>
          <cell r="B29" t="str">
            <v>Script Supervisor</v>
          </cell>
        </row>
        <row r="30">
          <cell r="A30">
            <v>29</v>
          </cell>
          <cell r="B30" t="str">
            <v>Manicurist</v>
          </cell>
        </row>
        <row r="31">
          <cell r="A31">
            <v>30</v>
          </cell>
          <cell r="B31" t="str">
            <v>Stills Digitech</v>
          </cell>
        </row>
        <row r="32">
          <cell r="A32">
            <v>31</v>
          </cell>
          <cell r="B32" t="str">
            <v>VTR Operator</v>
          </cell>
        </row>
        <row r="33">
          <cell r="A33">
            <v>32</v>
          </cell>
          <cell r="B33" t="str">
            <v>Bolt Tech</v>
          </cell>
        </row>
        <row r="34">
          <cell r="A34">
            <v>33</v>
          </cell>
          <cell r="B34" t="str">
            <v>Bolt Op</v>
          </cell>
        </row>
        <row r="35">
          <cell r="A35">
            <v>34</v>
          </cell>
          <cell r="B35" t="str">
            <v>Cam Car Arm Op + Tech</v>
          </cell>
        </row>
        <row r="36">
          <cell r="A36">
            <v>35</v>
          </cell>
          <cell r="B36" t="str">
            <v>Camera Car Driver</v>
          </cell>
        </row>
        <row r="37">
          <cell r="A37">
            <v>36</v>
          </cell>
          <cell r="B37" t="str">
            <v>ALM</v>
          </cell>
        </row>
        <row r="38">
          <cell r="A38">
            <v>37</v>
          </cell>
          <cell r="B38" t="str">
            <v>Location Manager</v>
          </cell>
        </row>
        <row r="39">
          <cell r="A39">
            <v>38</v>
          </cell>
          <cell r="B39" t="str">
            <v>Production Supervisor</v>
          </cell>
        </row>
        <row r="40">
          <cell r="A40">
            <v>39</v>
          </cell>
          <cell r="B40" t="str">
            <v>Commercial Coordinator</v>
          </cell>
        </row>
        <row r="41">
          <cell r="A41">
            <v>40</v>
          </cell>
          <cell r="B41" t="str">
            <v>Talent Coordinator</v>
          </cell>
        </row>
        <row r="42">
          <cell r="A42">
            <v>41</v>
          </cell>
          <cell r="B42" t="str">
            <v>Medic/First Aid</v>
          </cell>
        </row>
        <row r="43">
          <cell r="A43">
            <v>42</v>
          </cell>
          <cell r="B43" t="str">
            <v>Craft Service</v>
          </cell>
        </row>
        <row r="44">
          <cell r="A44">
            <v>43</v>
          </cell>
          <cell r="B44" t="str">
            <v>Lifeguard</v>
          </cell>
        </row>
        <row r="45">
          <cell r="A45">
            <v>44</v>
          </cell>
          <cell r="B45" t="str">
            <v>Choreographer</v>
          </cell>
        </row>
        <row r="46">
          <cell r="A46">
            <v>45</v>
          </cell>
          <cell r="B46" t="str">
            <v>Drivers</v>
          </cell>
        </row>
        <row r="47">
          <cell r="A47">
            <v>46</v>
          </cell>
          <cell r="B47" t="str">
            <v>Drivers</v>
          </cell>
        </row>
        <row r="48">
          <cell r="A48">
            <v>47</v>
          </cell>
          <cell r="B48" t="str">
            <v>Teamsters</v>
          </cell>
        </row>
        <row r="49">
          <cell r="A49">
            <v>48</v>
          </cell>
          <cell r="B49" t="str">
            <v>Production Assistants</v>
          </cell>
        </row>
        <row r="50">
          <cell r="A50">
            <v>49</v>
          </cell>
          <cell r="B50" t="str">
            <v>Production Assistants</v>
          </cell>
        </row>
        <row r="51">
          <cell r="A51">
            <v>50</v>
          </cell>
          <cell r="B51"/>
        </row>
        <row r="52">
          <cell r="A52">
            <v>51</v>
          </cell>
          <cell r="B52" t="str">
            <v>Line Producer</v>
          </cell>
        </row>
        <row r="53">
          <cell r="A53">
            <v>52</v>
          </cell>
          <cell r="B53" t="str">
            <v>Assistant Director</v>
          </cell>
        </row>
        <row r="54">
          <cell r="A54">
            <v>53</v>
          </cell>
          <cell r="B54" t="str">
            <v>Director of Photography</v>
          </cell>
        </row>
        <row r="55">
          <cell r="A55">
            <v>54</v>
          </cell>
          <cell r="B55" t="str">
            <v>2nd Unit DP</v>
          </cell>
        </row>
        <row r="56">
          <cell r="A56">
            <v>55</v>
          </cell>
          <cell r="B56" t="str">
            <v>1st AC</v>
          </cell>
        </row>
        <row r="57">
          <cell r="A57">
            <v>56</v>
          </cell>
          <cell r="B57" t="str">
            <v>2nd AC</v>
          </cell>
        </row>
        <row r="58">
          <cell r="A58">
            <v>57</v>
          </cell>
          <cell r="B58" t="str">
            <v>Phantom Tech</v>
          </cell>
        </row>
        <row r="59">
          <cell r="A59">
            <v>58</v>
          </cell>
          <cell r="B59" t="str">
            <v>DIT</v>
          </cell>
        </row>
        <row r="60">
          <cell r="A60">
            <v>59</v>
          </cell>
          <cell r="B60" t="str">
            <v>Steadicam Operator</v>
          </cell>
        </row>
        <row r="61">
          <cell r="A61">
            <v>60</v>
          </cell>
          <cell r="B61" t="str">
            <v>Crane Tech</v>
          </cell>
        </row>
        <row r="62">
          <cell r="A62">
            <v>61</v>
          </cell>
          <cell r="B62" t="str">
            <v>Gaffer</v>
          </cell>
        </row>
        <row r="63">
          <cell r="A63">
            <v>62</v>
          </cell>
          <cell r="B63" t="str">
            <v>BB Electric</v>
          </cell>
        </row>
        <row r="64">
          <cell r="A64">
            <v>63</v>
          </cell>
          <cell r="B64" t="str">
            <v>3rd Electric</v>
          </cell>
        </row>
        <row r="65">
          <cell r="A65">
            <v>64</v>
          </cell>
          <cell r="B65" t="str">
            <v>4th Electric</v>
          </cell>
        </row>
        <row r="66">
          <cell r="A66">
            <v>65</v>
          </cell>
          <cell r="B66" t="str">
            <v>Package Truck Driver</v>
          </cell>
        </row>
        <row r="67">
          <cell r="A67">
            <v>66</v>
          </cell>
          <cell r="B67" t="str">
            <v>Key Grip</v>
          </cell>
        </row>
        <row r="68">
          <cell r="A68">
            <v>67</v>
          </cell>
          <cell r="B68" t="str">
            <v>BB Grip</v>
          </cell>
        </row>
        <row r="69">
          <cell r="A69">
            <v>68</v>
          </cell>
          <cell r="B69" t="str">
            <v>3rd Grip</v>
          </cell>
        </row>
        <row r="70">
          <cell r="A70">
            <v>69</v>
          </cell>
          <cell r="B70" t="str">
            <v>4th Grip</v>
          </cell>
        </row>
        <row r="71">
          <cell r="A71">
            <v>70</v>
          </cell>
          <cell r="B71" t="str">
            <v>Generator Operator</v>
          </cell>
        </row>
        <row r="72">
          <cell r="A72">
            <v>71</v>
          </cell>
          <cell r="B72" t="str">
            <v>Sound Mixer</v>
          </cell>
        </row>
        <row r="73">
          <cell r="A73">
            <v>72</v>
          </cell>
          <cell r="B73" t="str">
            <v>Boom Operator</v>
          </cell>
        </row>
        <row r="74">
          <cell r="A74">
            <v>73</v>
          </cell>
          <cell r="B74" t="str">
            <v>Key Hair/Makeup</v>
          </cell>
        </row>
        <row r="75">
          <cell r="A75">
            <v>74</v>
          </cell>
          <cell r="B75" t="str">
            <v>Asst Hair/Makeup</v>
          </cell>
        </row>
        <row r="76">
          <cell r="A76">
            <v>75</v>
          </cell>
          <cell r="B76" t="str">
            <v>2nd Makeup/2nd Hair</v>
          </cell>
        </row>
        <row r="77">
          <cell r="A77">
            <v>76</v>
          </cell>
          <cell r="B77" t="str">
            <v>Key Stylist</v>
          </cell>
        </row>
        <row r="78">
          <cell r="A78">
            <v>77</v>
          </cell>
          <cell r="B78" t="str">
            <v>Stylist Assistant</v>
          </cell>
        </row>
        <row r="79">
          <cell r="A79">
            <v>78</v>
          </cell>
          <cell r="B79" t="str">
            <v>Script Supervisor</v>
          </cell>
        </row>
        <row r="80">
          <cell r="A80">
            <v>79</v>
          </cell>
          <cell r="B80" t="str">
            <v>Stills Asst</v>
          </cell>
        </row>
        <row r="81">
          <cell r="A81">
            <v>80</v>
          </cell>
          <cell r="B81" t="str">
            <v>Stills Digitech</v>
          </cell>
        </row>
        <row r="82">
          <cell r="A82">
            <v>81</v>
          </cell>
          <cell r="B82" t="str">
            <v>VTR Operator</v>
          </cell>
        </row>
        <row r="83">
          <cell r="A83">
            <v>82</v>
          </cell>
          <cell r="B83" t="str">
            <v>VTR Asst</v>
          </cell>
        </row>
        <row r="84">
          <cell r="A84">
            <v>83</v>
          </cell>
          <cell r="B84" t="str">
            <v>Bolt Op</v>
          </cell>
        </row>
        <row r="85">
          <cell r="A85">
            <v>84</v>
          </cell>
          <cell r="B85" t="str">
            <v>Manicurist</v>
          </cell>
        </row>
        <row r="86">
          <cell r="A86">
            <v>85</v>
          </cell>
          <cell r="B86" t="str">
            <v>Camera Car Driver</v>
          </cell>
        </row>
        <row r="87">
          <cell r="A87">
            <v>86</v>
          </cell>
          <cell r="B87" t="str">
            <v>ALM</v>
          </cell>
        </row>
        <row r="88">
          <cell r="A88">
            <v>87</v>
          </cell>
          <cell r="B88" t="str">
            <v>Location Manager</v>
          </cell>
        </row>
        <row r="89">
          <cell r="A89">
            <v>88</v>
          </cell>
          <cell r="B89" t="str">
            <v>Production Supervisor</v>
          </cell>
        </row>
        <row r="90">
          <cell r="A90">
            <v>89</v>
          </cell>
          <cell r="B90" t="str">
            <v>Commercial Coordinator</v>
          </cell>
        </row>
        <row r="91">
          <cell r="A91">
            <v>90</v>
          </cell>
          <cell r="B91" t="str">
            <v>Talent Coordinator</v>
          </cell>
        </row>
        <row r="92">
          <cell r="A92">
            <v>91</v>
          </cell>
          <cell r="B92" t="str">
            <v>2nd AD</v>
          </cell>
        </row>
        <row r="93">
          <cell r="A93">
            <v>92</v>
          </cell>
          <cell r="B93" t="str">
            <v>Medic/First Aid</v>
          </cell>
        </row>
        <row r="94">
          <cell r="A94">
            <v>93</v>
          </cell>
          <cell r="B94" t="str">
            <v>Craft Service</v>
          </cell>
        </row>
        <row r="95">
          <cell r="A95">
            <v>94</v>
          </cell>
          <cell r="B95" t="str">
            <v>Craft Assistant</v>
          </cell>
        </row>
        <row r="96">
          <cell r="A96">
            <v>95</v>
          </cell>
          <cell r="B96" t="str">
            <v>Drivers</v>
          </cell>
        </row>
        <row r="97">
          <cell r="A97">
            <v>96</v>
          </cell>
          <cell r="B97" t="str">
            <v>Drivers</v>
          </cell>
        </row>
        <row r="98">
          <cell r="A98">
            <v>97</v>
          </cell>
          <cell r="B98" t="str">
            <v>Teamsters</v>
          </cell>
        </row>
        <row r="99">
          <cell r="A99">
            <v>98</v>
          </cell>
          <cell r="B99" t="str">
            <v>Production Assistants</v>
          </cell>
        </row>
        <row r="100">
          <cell r="A100">
            <v>99</v>
          </cell>
          <cell r="B100" t="str">
            <v>Production Assistants</v>
          </cell>
        </row>
        <row r="101">
          <cell r="A101">
            <v>100</v>
          </cell>
          <cell r="B101" t="str">
            <v>Police</v>
          </cell>
        </row>
        <row r="102">
          <cell r="A102" t="str">
            <v>C</v>
          </cell>
          <cell r="B102" t="str">
            <v>PRE-PRODUCTION &amp; WRAP EXPENSES</v>
          </cell>
        </row>
        <row r="103">
          <cell r="A103">
            <v>101</v>
          </cell>
          <cell r="B103" t="str">
            <v>Auto Rentals</v>
          </cell>
        </row>
        <row r="104">
          <cell r="A104">
            <v>102</v>
          </cell>
          <cell r="B104" t="str">
            <v>Client Agency - Giftbags, Dinner, Gifts</v>
          </cell>
        </row>
        <row r="105">
          <cell r="A105">
            <v>103</v>
          </cell>
          <cell r="B105" t="str">
            <v>Rehearsal Space</v>
          </cell>
        </row>
        <row r="106">
          <cell r="A106">
            <v>104</v>
          </cell>
          <cell r="B106" t="str">
            <v>Pre Pro Expenses</v>
          </cell>
        </row>
        <row r="107">
          <cell r="A107">
            <v>105</v>
          </cell>
          <cell r="B107" t="str">
            <v>Messengers</v>
          </cell>
        </row>
        <row r="108">
          <cell r="A108">
            <v>106</v>
          </cell>
          <cell r="B108" t="str">
            <v>Trucking</v>
          </cell>
        </row>
        <row r="109">
          <cell r="A109">
            <v>107</v>
          </cell>
          <cell r="B109" t="str">
            <v>Deliveries &amp; Taxis</v>
          </cell>
        </row>
        <row r="110">
          <cell r="A110">
            <v>108</v>
          </cell>
          <cell r="B110" t="str">
            <v>Working Meals</v>
          </cell>
        </row>
        <row r="111">
          <cell r="A111">
            <v>109</v>
          </cell>
          <cell r="B111" t="str">
            <v>Background Casting</v>
          </cell>
        </row>
        <row r="112">
          <cell r="A112">
            <v>110</v>
          </cell>
          <cell r="B112" t="str">
            <v>Casting Director</v>
          </cell>
        </row>
        <row r="113">
          <cell r="A113">
            <v>111</v>
          </cell>
          <cell r="B113" t="str">
            <v>Casting Facilities</v>
          </cell>
        </row>
        <row r="114">
          <cell r="A114">
            <v>112</v>
          </cell>
          <cell r="B114" t="str">
            <v>Pre Pro Meals</v>
          </cell>
        </row>
        <row r="115">
          <cell r="A115">
            <v>113</v>
          </cell>
          <cell r="B115" t="str">
            <v>Location Scouting Expenses</v>
          </cell>
        </row>
        <row r="116">
          <cell r="A116" t="str">
            <v>D</v>
          </cell>
          <cell r="B116" t="str">
            <v>LOCATION EXPENSES</v>
          </cell>
        </row>
        <row r="117">
          <cell r="A117">
            <v>114</v>
          </cell>
          <cell r="B117" t="str">
            <v>Location Fees - House/Grocery Store</v>
          </cell>
        </row>
        <row r="118">
          <cell r="A118">
            <v>115</v>
          </cell>
          <cell r="B118" t="str">
            <v>Permit Fees</v>
          </cell>
        </row>
        <row r="119">
          <cell r="A119">
            <v>116</v>
          </cell>
          <cell r="B119" t="str">
            <v>Basecamp</v>
          </cell>
        </row>
        <row r="120">
          <cell r="A120">
            <v>117</v>
          </cell>
          <cell r="B120" t="str">
            <v>Crew Shuttles</v>
          </cell>
        </row>
        <row r="121">
          <cell r="A121">
            <v>118</v>
          </cell>
          <cell r="B121" t="str">
            <v>Dressing Room Vehicles</v>
          </cell>
        </row>
        <row r="122">
          <cell r="A122">
            <v>119</v>
          </cell>
          <cell r="B122" t="str">
            <v>Honeywagon/Restrooms</v>
          </cell>
        </row>
        <row r="123">
          <cell r="A123">
            <v>120</v>
          </cell>
          <cell r="B123" t="str">
            <v>Parking, Tolls, &amp; Gas</v>
          </cell>
        </row>
        <row r="124">
          <cell r="A124">
            <v>121</v>
          </cell>
          <cell r="B124" t="str">
            <v>Grip &amp; Electric Trucks</v>
          </cell>
        </row>
        <row r="125">
          <cell r="A125">
            <v>122</v>
          </cell>
          <cell r="B125" t="str">
            <v>Camera Truck</v>
          </cell>
        </row>
        <row r="126">
          <cell r="A126">
            <v>123</v>
          </cell>
          <cell r="B126" t="str">
            <v>Production Truck</v>
          </cell>
        </row>
        <row r="127">
          <cell r="A127">
            <v>124</v>
          </cell>
          <cell r="B127" t="str">
            <v>Wardrobe Truck</v>
          </cell>
        </row>
        <row r="128">
          <cell r="A128">
            <v>125</v>
          </cell>
          <cell r="B128" t="str">
            <v>Location Prep</v>
          </cell>
        </row>
        <row r="129">
          <cell r="A129">
            <v>126</v>
          </cell>
          <cell r="B129" t="str">
            <v>Van Rentals</v>
          </cell>
        </row>
        <row r="130">
          <cell r="A130">
            <v>127</v>
          </cell>
          <cell r="B130" t="str">
            <v>Van Rentals - Client/Agency/Chauffers</v>
          </cell>
        </row>
        <row r="131">
          <cell r="A131">
            <v>128</v>
          </cell>
          <cell r="B131" t="str">
            <v>Client/Agency - Craft Service</v>
          </cell>
        </row>
        <row r="132">
          <cell r="A132">
            <v>129</v>
          </cell>
          <cell r="B132" t="str">
            <v>Security</v>
          </cell>
        </row>
        <row r="133">
          <cell r="A133">
            <v>130</v>
          </cell>
          <cell r="B133" t="str">
            <v>Breakfast</v>
          </cell>
        </row>
        <row r="134">
          <cell r="A134">
            <v>131</v>
          </cell>
          <cell r="B134" t="str">
            <v>Lunch</v>
          </cell>
        </row>
        <row r="135">
          <cell r="A135">
            <v>132</v>
          </cell>
          <cell r="B135" t="str">
            <v>Dinner</v>
          </cell>
        </row>
        <row r="136">
          <cell r="A136">
            <v>133</v>
          </cell>
          <cell r="B136" t="str">
            <v>Client/Agency - Supplies</v>
          </cell>
        </row>
        <row r="137">
          <cell r="A137">
            <v>134</v>
          </cell>
          <cell r="B137" t="str">
            <v>BG Meals</v>
          </cell>
        </row>
        <row r="138">
          <cell r="A138">
            <v>135</v>
          </cell>
          <cell r="B138" t="str">
            <v>Kit Rental</v>
          </cell>
        </row>
        <row r="139">
          <cell r="A139">
            <v>136</v>
          </cell>
          <cell r="B139" t="str">
            <v>BG Holding</v>
          </cell>
        </row>
        <row r="140">
          <cell r="A140">
            <v>137</v>
          </cell>
          <cell r="B140" t="str">
            <v>Preight Craft</v>
          </cell>
        </row>
        <row r="141">
          <cell r="A141">
            <v>138</v>
          </cell>
          <cell r="B141" t="str">
            <v>Prelight Meals</v>
          </cell>
        </row>
        <row r="142">
          <cell r="A142">
            <v>139</v>
          </cell>
          <cell r="B142" t="str">
            <v>Craft Service</v>
          </cell>
        </row>
        <row r="143">
          <cell r="A143" t="str">
            <v>E</v>
          </cell>
          <cell r="B143" t="str">
            <v>PROPS, WARDROBE &amp; ANIMALS</v>
          </cell>
        </row>
        <row r="144">
          <cell r="A144">
            <v>140</v>
          </cell>
          <cell r="B144" t="str">
            <v>Food Truck Rental</v>
          </cell>
        </row>
        <row r="145">
          <cell r="A145">
            <v>141</v>
          </cell>
          <cell r="B145" t="str">
            <v>Home Ec Supplies</v>
          </cell>
        </row>
        <row r="146">
          <cell r="A146">
            <v>142</v>
          </cell>
          <cell r="B146" t="str">
            <v>Wardrobe Rentals</v>
          </cell>
        </row>
        <row r="147">
          <cell r="A147">
            <v>143</v>
          </cell>
          <cell r="B147" t="str">
            <v>Wardrobe Rentals</v>
          </cell>
        </row>
        <row r="148">
          <cell r="A148">
            <v>144</v>
          </cell>
          <cell r="B148" t="str">
            <v>Wardrobe Rentals</v>
          </cell>
        </row>
        <row r="149">
          <cell r="A149">
            <v>145</v>
          </cell>
          <cell r="B149" t="str">
            <v>Aniamls &amp; Trainers</v>
          </cell>
        </row>
        <row r="150">
          <cell r="A150">
            <v>146</v>
          </cell>
          <cell r="B150" t="str">
            <v>Aniamls &amp; Trainers</v>
          </cell>
        </row>
        <row r="151">
          <cell r="A151">
            <v>147</v>
          </cell>
          <cell r="B151" t="str">
            <v>Humane Rep</v>
          </cell>
        </row>
        <row r="152">
          <cell r="A152">
            <v>148</v>
          </cell>
          <cell r="B152" t="str">
            <v>Transportation</v>
          </cell>
        </row>
        <row r="153">
          <cell r="A153">
            <v>149</v>
          </cell>
          <cell r="B153" t="str">
            <v>Wardrobe Misc. Costs</v>
          </cell>
        </row>
        <row r="154">
          <cell r="A154">
            <v>150</v>
          </cell>
          <cell r="B154"/>
        </row>
        <row r="155">
          <cell r="A155" t="str">
            <v>F</v>
          </cell>
          <cell r="B155" t="str">
            <v>STUDIO RENTAL &amp; EXPENSES</v>
          </cell>
        </row>
        <row r="156">
          <cell r="A156">
            <v>151</v>
          </cell>
          <cell r="B156" t="str">
            <v xml:space="preserve">Rental For Build Days </v>
          </cell>
        </row>
        <row r="157">
          <cell r="A157">
            <v>152</v>
          </cell>
          <cell r="B157" t="str">
            <v>Build OT Hours</v>
          </cell>
        </row>
        <row r="158">
          <cell r="A158">
            <v>153</v>
          </cell>
          <cell r="B158" t="str">
            <v>Rental for Pre-Lite Days</v>
          </cell>
        </row>
        <row r="159">
          <cell r="A159">
            <v>154</v>
          </cell>
          <cell r="B159" t="str">
            <v>Pre-Lite OT Hours</v>
          </cell>
        </row>
        <row r="160">
          <cell r="A160">
            <v>155</v>
          </cell>
          <cell r="B160" t="str">
            <v>Rental for Shoot Days</v>
          </cell>
        </row>
        <row r="161">
          <cell r="A161">
            <v>156</v>
          </cell>
          <cell r="B161" t="str">
            <v>Shoot OT Hours</v>
          </cell>
        </row>
        <row r="162">
          <cell r="A162">
            <v>157</v>
          </cell>
          <cell r="B162" t="str">
            <v>Rental for Strike Days</v>
          </cell>
        </row>
        <row r="163">
          <cell r="A163">
            <v>158</v>
          </cell>
          <cell r="B163" t="str">
            <v>Strike OT Hours</v>
          </cell>
        </row>
        <row r="164">
          <cell r="A164">
            <v>159</v>
          </cell>
          <cell r="B164" t="str">
            <v>Generator and Operator</v>
          </cell>
        </row>
        <row r="165">
          <cell r="A165">
            <v>160</v>
          </cell>
          <cell r="B165" t="str">
            <v>Air Conditioning</v>
          </cell>
        </row>
        <row r="166">
          <cell r="A166">
            <v>161</v>
          </cell>
          <cell r="B166" t="str">
            <v>Power Charges</v>
          </cell>
        </row>
        <row r="167">
          <cell r="A167">
            <v>162</v>
          </cell>
          <cell r="B167" t="str">
            <v>Misc Studio Charges</v>
          </cell>
        </row>
        <row r="168">
          <cell r="A168">
            <v>163</v>
          </cell>
          <cell r="B168"/>
        </row>
        <row r="169">
          <cell r="A169">
            <v>164</v>
          </cell>
          <cell r="B169"/>
        </row>
        <row r="170">
          <cell r="A170">
            <v>165</v>
          </cell>
          <cell r="B170"/>
        </row>
        <row r="171">
          <cell r="A171">
            <v>166</v>
          </cell>
          <cell r="B171"/>
        </row>
        <row r="172">
          <cell r="A172">
            <v>167</v>
          </cell>
          <cell r="B172"/>
        </row>
        <row r="173">
          <cell r="A173" t="str">
            <v>G</v>
          </cell>
          <cell r="B173" t="str">
            <v>SET CONSTRUCTION CREW</v>
          </cell>
        </row>
        <row r="174">
          <cell r="A174">
            <v>168</v>
          </cell>
          <cell r="B174" t="str">
            <v>Production Designer</v>
          </cell>
        </row>
        <row r="175">
          <cell r="A175">
            <v>169</v>
          </cell>
          <cell r="B175" t="str">
            <v>Buyer/Shopper</v>
          </cell>
        </row>
        <row r="176">
          <cell r="A176">
            <v>170</v>
          </cell>
          <cell r="B176" t="str">
            <v>Prop Master</v>
          </cell>
        </row>
        <row r="177">
          <cell r="A177">
            <v>171</v>
          </cell>
          <cell r="B177" t="str">
            <v>Leadman</v>
          </cell>
        </row>
        <row r="178">
          <cell r="A178">
            <v>172</v>
          </cell>
          <cell r="B178" t="str">
            <v>Driver/Set Dresser</v>
          </cell>
        </row>
        <row r="179">
          <cell r="A179">
            <v>173</v>
          </cell>
          <cell r="B179" t="str">
            <v>Set Dresser</v>
          </cell>
        </row>
        <row r="180">
          <cell r="A180">
            <v>174</v>
          </cell>
          <cell r="B180" t="str">
            <v>Set Dresser</v>
          </cell>
        </row>
        <row r="181">
          <cell r="A181">
            <v>175</v>
          </cell>
          <cell r="B181" t="str">
            <v>Prop Assistant</v>
          </cell>
        </row>
        <row r="182">
          <cell r="A182">
            <v>176</v>
          </cell>
          <cell r="B182" t="str">
            <v>Art Dept Coordinator</v>
          </cell>
        </row>
        <row r="183">
          <cell r="A183">
            <v>177</v>
          </cell>
          <cell r="B183" t="str">
            <v>Food Stylist Assistant Prep Day</v>
          </cell>
        </row>
        <row r="184">
          <cell r="A184">
            <v>178</v>
          </cell>
          <cell r="B184" t="str">
            <v>PA</v>
          </cell>
        </row>
        <row r="185">
          <cell r="A185">
            <v>179</v>
          </cell>
          <cell r="B185" t="str">
            <v>Food Stylist Assists</v>
          </cell>
        </row>
        <row r="186">
          <cell r="A186">
            <v>180</v>
          </cell>
          <cell r="B186" t="str">
            <v>SPFX Asst</v>
          </cell>
        </row>
        <row r="187">
          <cell r="A187" t="str">
            <v>H</v>
          </cell>
          <cell r="B187" t="str">
            <v>SET CONSTRUCTION MATERIALS</v>
          </cell>
        </row>
        <row r="188">
          <cell r="A188">
            <v>181</v>
          </cell>
          <cell r="B188" t="str">
            <v>Prop Rentals &amp; Purchsses</v>
          </cell>
        </row>
        <row r="189">
          <cell r="A189">
            <v>182</v>
          </cell>
          <cell r="B189" t="str">
            <v>Set Dressing Rentals &amp; Purchases</v>
          </cell>
        </row>
        <row r="190">
          <cell r="A190">
            <v>183</v>
          </cell>
          <cell r="B190" t="str">
            <v>Custom Props</v>
          </cell>
        </row>
        <row r="191">
          <cell r="A191">
            <v>184</v>
          </cell>
          <cell r="B191" t="str">
            <v>Construction</v>
          </cell>
        </row>
        <row r="192">
          <cell r="A192">
            <v>185</v>
          </cell>
          <cell r="B192" t="str">
            <v>Backdrops</v>
          </cell>
        </row>
        <row r="193">
          <cell r="A193">
            <v>186</v>
          </cell>
          <cell r="B193" t="str">
            <v>Food Truck</v>
          </cell>
        </row>
        <row r="194">
          <cell r="A194">
            <v>187</v>
          </cell>
          <cell r="B194" t="str">
            <v>Food Props</v>
          </cell>
        </row>
        <row r="195">
          <cell r="A195">
            <v>188</v>
          </cell>
          <cell r="B195" t="str">
            <v>Practical Sand and Clean up</v>
          </cell>
        </row>
        <row r="196">
          <cell r="A196">
            <v>189</v>
          </cell>
          <cell r="B196" t="str">
            <v>Food Stylist Ground Transport</v>
          </cell>
        </row>
        <row r="197">
          <cell r="A197">
            <v>190</v>
          </cell>
          <cell r="B197" t="str">
            <v>Art Dept Trucking</v>
          </cell>
        </row>
        <row r="198">
          <cell r="A198">
            <v>191</v>
          </cell>
          <cell r="B198" t="str">
            <v>Parking and fuel</v>
          </cell>
        </row>
        <row r="199">
          <cell r="A199">
            <v>192</v>
          </cell>
          <cell r="B199" t="str">
            <v>Kits and Meals</v>
          </cell>
        </row>
        <row r="200">
          <cell r="A200" t="str">
            <v>I</v>
          </cell>
          <cell r="B200" t="str">
            <v>EQUIPMENT RENTAL</v>
          </cell>
        </row>
        <row r="201">
          <cell r="A201">
            <v>193</v>
          </cell>
          <cell r="B201" t="str">
            <v>Camera Rental</v>
          </cell>
        </row>
        <row r="202">
          <cell r="A202">
            <v>194</v>
          </cell>
          <cell r="B202" t="str">
            <v>Sound Rental</v>
          </cell>
        </row>
        <row r="203">
          <cell r="A203">
            <v>195</v>
          </cell>
          <cell r="B203" t="str">
            <v>Lighting Rental</v>
          </cell>
        </row>
        <row r="204">
          <cell r="A204">
            <v>196</v>
          </cell>
          <cell r="B204" t="str">
            <v>Grip Rental</v>
          </cell>
        </row>
        <row r="205">
          <cell r="A205">
            <v>197</v>
          </cell>
          <cell r="B205" t="str">
            <v>Generator Rental</v>
          </cell>
        </row>
        <row r="206">
          <cell r="A206">
            <v>198</v>
          </cell>
          <cell r="B206" t="str">
            <v>Crane + Remote Head Rental</v>
          </cell>
        </row>
        <row r="207">
          <cell r="A207">
            <v>199</v>
          </cell>
          <cell r="B207" t="str">
            <v>VTR Rental</v>
          </cell>
        </row>
        <row r="208">
          <cell r="A208">
            <v>200</v>
          </cell>
          <cell r="B208" t="str">
            <v>Walkie Talkie Rental</v>
          </cell>
        </row>
        <row r="209">
          <cell r="A209">
            <v>201</v>
          </cell>
          <cell r="B209" t="str">
            <v>Dolly Rental</v>
          </cell>
        </row>
        <row r="210">
          <cell r="A210">
            <v>202</v>
          </cell>
          <cell r="B210" t="str">
            <v>Slider</v>
          </cell>
        </row>
        <row r="211">
          <cell r="A211">
            <v>203</v>
          </cell>
          <cell r="B211" t="str">
            <v>Steadicam</v>
          </cell>
        </row>
        <row r="212">
          <cell r="A212">
            <v>204</v>
          </cell>
          <cell r="B212" t="str">
            <v>Production Supplies</v>
          </cell>
        </row>
        <row r="213">
          <cell r="A213">
            <v>205</v>
          </cell>
          <cell r="B213" t="str">
            <v>Location Supplies</v>
          </cell>
        </row>
        <row r="214">
          <cell r="A214">
            <v>206</v>
          </cell>
          <cell r="B214" t="str">
            <v>Expendables</v>
          </cell>
        </row>
        <row r="215">
          <cell r="A215">
            <v>207</v>
          </cell>
          <cell r="B215" t="str">
            <v>DIT Equipment</v>
          </cell>
        </row>
        <row r="216">
          <cell r="A216">
            <v>208</v>
          </cell>
          <cell r="B216" t="str">
            <v>Stills Equipment</v>
          </cell>
        </row>
        <row r="217">
          <cell r="A217">
            <v>209</v>
          </cell>
          <cell r="B217" t="str">
            <v>Package Truck</v>
          </cell>
        </row>
        <row r="218">
          <cell r="A218">
            <v>210</v>
          </cell>
          <cell r="B218" t="str">
            <v>Phantom Camera Kit</v>
          </cell>
        </row>
        <row r="219">
          <cell r="A219" t="str">
            <v>J</v>
          </cell>
          <cell r="B219" t="str">
            <v>FILMSTOCK, DEVELOP &amp; PRINT</v>
          </cell>
        </row>
        <row r="220">
          <cell r="A220">
            <v>211</v>
          </cell>
          <cell r="B220" t="str">
            <v>Hard Drives</v>
          </cell>
        </row>
        <row r="221">
          <cell r="A221">
            <v>212</v>
          </cell>
          <cell r="B221" t="str">
            <v>Transcodes</v>
          </cell>
        </row>
        <row r="222">
          <cell r="A222">
            <v>213</v>
          </cell>
          <cell r="B222" t="str">
            <v>Slingshot Dailies</v>
          </cell>
        </row>
        <row r="223">
          <cell r="A223">
            <v>214</v>
          </cell>
          <cell r="B223" t="str">
            <v>Film Stock</v>
          </cell>
        </row>
        <row r="224">
          <cell r="A224">
            <v>215</v>
          </cell>
          <cell r="B224" t="str">
            <v>Processing</v>
          </cell>
        </row>
        <row r="225">
          <cell r="A225">
            <v>216</v>
          </cell>
          <cell r="B225" t="str">
            <v>Drives</v>
          </cell>
        </row>
        <row r="226">
          <cell r="A226" t="str">
            <v>K</v>
          </cell>
          <cell r="B226" t="str">
            <v>MISCELLANEOUS COSTS</v>
          </cell>
        </row>
        <row r="227">
          <cell r="A227">
            <v>217</v>
          </cell>
          <cell r="B227" t="str">
            <v>Storage Space</v>
          </cell>
        </row>
        <row r="228">
          <cell r="A228">
            <v>218</v>
          </cell>
          <cell r="B228" t="str">
            <v>Shipping</v>
          </cell>
        </row>
        <row r="229">
          <cell r="A229">
            <v>219</v>
          </cell>
          <cell r="B229" t="str">
            <v>Tax Waivers</v>
          </cell>
        </row>
        <row r="230">
          <cell r="A230">
            <v>220</v>
          </cell>
          <cell r="B230" t="str">
            <v>DGA AD Letter</v>
          </cell>
        </row>
        <row r="231">
          <cell r="A231">
            <v>221</v>
          </cell>
          <cell r="B231" t="str">
            <v>Work Permits / LMIA</v>
          </cell>
        </row>
        <row r="232">
          <cell r="A232">
            <v>222</v>
          </cell>
          <cell r="B232" t="str">
            <v>Portable Wifi</v>
          </cell>
        </row>
        <row r="233">
          <cell r="A233">
            <v>223</v>
          </cell>
          <cell r="B233" t="str">
            <v>Wire Rigging Equipment</v>
          </cell>
        </row>
        <row r="234">
          <cell r="A234">
            <v>224</v>
          </cell>
          <cell r="B234" t="str">
            <v>Photographer Fees</v>
          </cell>
        </row>
        <row r="235">
          <cell r="A235">
            <v>225</v>
          </cell>
          <cell r="B235" t="str">
            <v>Photographer Assist</v>
          </cell>
        </row>
        <row r="236">
          <cell r="A236">
            <v>226</v>
          </cell>
          <cell r="B236"/>
        </row>
        <row r="237">
          <cell r="A237" t="str">
            <v>L</v>
          </cell>
          <cell r="B237" t="str">
            <v>DIRECTOR/CREATIVE FEES</v>
          </cell>
        </row>
        <row r="238">
          <cell r="A238">
            <v>227</v>
          </cell>
          <cell r="B238" t="str">
            <v>Director Prep</v>
          </cell>
        </row>
        <row r="239">
          <cell r="A239">
            <v>228</v>
          </cell>
          <cell r="B239" t="str">
            <v>Director Shoot</v>
          </cell>
        </row>
        <row r="240">
          <cell r="A240">
            <v>229</v>
          </cell>
          <cell r="B240" t="str">
            <v>Director Follow-up Shoots</v>
          </cell>
        </row>
        <row r="241">
          <cell r="A241">
            <v>230</v>
          </cell>
          <cell r="B241" t="str">
            <v>Creative Director</v>
          </cell>
        </row>
        <row r="242">
          <cell r="A242">
            <v>231</v>
          </cell>
          <cell r="B242" t="str">
            <v>Writers</v>
          </cell>
        </row>
        <row r="243">
          <cell r="A243">
            <v>232</v>
          </cell>
          <cell r="B243" t="str">
            <v>Choreographer</v>
          </cell>
        </row>
        <row r="244">
          <cell r="A244">
            <v>233</v>
          </cell>
          <cell r="B244"/>
        </row>
        <row r="245">
          <cell r="A245" t="str">
            <v>M</v>
          </cell>
          <cell r="B245" t="str">
            <v xml:space="preserve">TALENT                                                                                           </v>
          </cell>
        </row>
        <row r="246">
          <cell r="A246">
            <v>236</v>
          </cell>
          <cell r="B246" t="str">
            <v>O/C Principals</v>
          </cell>
        </row>
        <row r="247">
          <cell r="A247">
            <v>237</v>
          </cell>
          <cell r="B247" t="str">
            <v>O/C Principals</v>
          </cell>
        </row>
        <row r="248">
          <cell r="A248">
            <v>238</v>
          </cell>
          <cell r="B248" t="str">
            <v>O/C Principals</v>
          </cell>
        </row>
        <row r="249">
          <cell r="A249">
            <v>239</v>
          </cell>
          <cell r="B249" t="str">
            <v>O/C Principals</v>
          </cell>
        </row>
        <row r="250">
          <cell r="A250">
            <v>240</v>
          </cell>
          <cell r="B250" t="str">
            <v>O/C Principals</v>
          </cell>
        </row>
        <row r="251">
          <cell r="A251">
            <v>241</v>
          </cell>
          <cell r="B251" t="str">
            <v>O/C Principals</v>
          </cell>
        </row>
        <row r="252">
          <cell r="A252">
            <v>242</v>
          </cell>
          <cell r="B252" t="str">
            <v>O/C Principals</v>
          </cell>
        </row>
        <row r="253">
          <cell r="A253">
            <v>243</v>
          </cell>
          <cell r="B253" t="str">
            <v>O/C Principals</v>
          </cell>
        </row>
        <row r="254">
          <cell r="A254">
            <v>244</v>
          </cell>
          <cell r="B254" t="str">
            <v>O/C Principals</v>
          </cell>
        </row>
        <row r="255">
          <cell r="A255">
            <v>245</v>
          </cell>
          <cell r="B255" t="str">
            <v>O/C Principals</v>
          </cell>
        </row>
        <row r="256">
          <cell r="A256">
            <v>246</v>
          </cell>
          <cell r="B256"/>
        </row>
        <row r="257">
          <cell r="A257">
            <v>247</v>
          </cell>
          <cell r="B257"/>
        </row>
        <row r="258">
          <cell r="A258">
            <v>248</v>
          </cell>
          <cell r="B258"/>
        </row>
        <row r="259">
          <cell r="A259">
            <v>249</v>
          </cell>
          <cell r="B259" t="str">
            <v>General Extras</v>
          </cell>
        </row>
        <row r="260">
          <cell r="A260">
            <v>250</v>
          </cell>
          <cell r="B260" t="str">
            <v>Extras Wardrobe Allowance</v>
          </cell>
        </row>
        <row r="261">
          <cell r="A261">
            <v>251</v>
          </cell>
          <cell r="B261" t="str">
            <v>Extras Casting fee</v>
          </cell>
        </row>
        <row r="262">
          <cell r="A262">
            <v>252</v>
          </cell>
          <cell r="B262" t="str">
            <v>Extras Payroll Service</v>
          </cell>
        </row>
        <row r="263">
          <cell r="A263">
            <v>253</v>
          </cell>
          <cell r="B263" t="str">
            <v>Extras Covid Testing</v>
          </cell>
        </row>
        <row r="264">
          <cell r="A264">
            <v>254</v>
          </cell>
          <cell r="B264" t="str">
            <v>General Extras</v>
          </cell>
        </row>
        <row r="265">
          <cell r="A265">
            <v>255</v>
          </cell>
          <cell r="B265"/>
        </row>
        <row r="266">
          <cell r="A266">
            <v>256</v>
          </cell>
          <cell r="B266"/>
        </row>
        <row r="267">
          <cell r="A267">
            <v>257</v>
          </cell>
          <cell r="B267"/>
        </row>
        <row r="268">
          <cell r="A268">
            <v>258</v>
          </cell>
          <cell r="B268" t="str">
            <v>Hand Models</v>
          </cell>
        </row>
        <row r="269">
          <cell r="A269">
            <v>259</v>
          </cell>
          <cell r="B269"/>
        </row>
        <row r="270">
          <cell r="A270">
            <v>260</v>
          </cell>
          <cell r="B270"/>
        </row>
        <row r="271">
          <cell r="A271">
            <v>261</v>
          </cell>
          <cell r="B271" t="str">
            <v>Voice Over</v>
          </cell>
        </row>
        <row r="272">
          <cell r="A272">
            <v>262</v>
          </cell>
          <cell r="B272" t="str">
            <v>Fitting Fees</v>
          </cell>
        </row>
        <row r="273">
          <cell r="A273">
            <v>263</v>
          </cell>
          <cell r="B273" t="str">
            <v>Fitting Fees</v>
          </cell>
        </row>
        <row r="274">
          <cell r="A274">
            <v>264</v>
          </cell>
          <cell r="B274"/>
        </row>
        <row r="275">
          <cell r="A275">
            <v>265</v>
          </cell>
          <cell r="B275" t="str">
            <v>Audition Fees</v>
          </cell>
        </row>
        <row r="276">
          <cell r="A276">
            <v>266</v>
          </cell>
          <cell r="B276" t="str">
            <v>Audition Fees</v>
          </cell>
        </row>
        <row r="277">
          <cell r="A277">
            <v>267</v>
          </cell>
          <cell r="B277"/>
        </row>
        <row r="278">
          <cell r="A278">
            <v>268</v>
          </cell>
          <cell r="B278" t="str">
            <v>Talent</v>
          </cell>
        </row>
        <row r="279">
          <cell r="A279">
            <v>269</v>
          </cell>
          <cell r="B279" t="str">
            <v>Talent Payroll Service</v>
          </cell>
        </row>
        <row r="280">
          <cell r="A280">
            <v>270</v>
          </cell>
          <cell r="B280" t="str">
            <v>Talent Wardrobe Allowance</v>
          </cell>
        </row>
        <row r="281">
          <cell r="A281" t="str">
            <v>N</v>
          </cell>
          <cell r="B281" t="str">
            <v>Other</v>
          </cell>
        </row>
        <row r="282">
          <cell r="A282">
            <v>271</v>
          </cell>
          <cell r="B282" t="str">
            <v>Director Flights</v>
          </cell>
        </row>
        <row r="283">
          <cell r="A283">
            <v>272</v>
          </cell>
          <cell r="B283" t="str">
            <v>Per Diems</v>
          </cell>
        </row>
        <row r="284">
          <cell r="A284">
            <v>273</v>
          </cell>
          <cell r="B284" t="str">
            <v>Director Hotels</v>
          </cell>
        </row>
        <row r="285">
          <cell r="A285">
            <v>274</v>
          </cell>
          <cell r="B285" t="str">
            <v>Other</v>
          </cell>
        </row>
        <row r="286">
          <cell r="A286">
            <v>275</v>
          </cell>
          <cell r="B286" t="str">
            <v>Other</v>
          </cell>
        </row>
        <row r="287">
          <cell r="A287">
            <v>276</v>
          </cell>
          <cell r="B287"/>
        </row>
        <row r="288">
          <cell r="A288" t="str">
            <v>O</v>
          </cell>
          <cell r="B288"/>
        </row>
        <row r="289">
          <cell r="A289">
            <v>277</v>
          </cell>
          <cell r="B289"/>
        </row>
        <row r="290">
          <cell r="A290">
            <v>278</v>
          </cell>
          <cell r="B290"/>
        </row>
        <row r="291">
          <cell r="A291">
            <v>279</v>
          </cell>
          <cell r="B291"/>
        </row>
        <row r="292">
          <cell r="A292">
            <v>280</v>
          </cell>
          <cell r="B292"/>
        </row>
        <row r="293">
          <cell r="A293">
            <v>281</v>
          </cell>
          <cell r="B293"/>
        </row>
        <row r="294">
          <cell r="A294" t="str">
            <v>P</v>
          </cell>
          <cell r="B294"/>
        </row>
        <row r="295">
          <cell r="A295">
            <v>282</v>
          </cell>
          <cell r="B295"/>
        </row>
        <row r="296">
          <cell r="A296">
            <v>283</v>
          </cell>
          <cell r="B296"/>
        </row>
        <row r="297">
          <cell r="A297">
            <v>284</v>
          </cell>
          <cell r="B297"/>
        </row>
        <row r="298">
          <cell r="A298">
            <v>285</v>
          </cell>
          <cell r="B298"/>
        </row>
        <row r="299">
          <cell r="A299">
            <v>286</v>
          </cell>
          <cell r="B299"/>
        </row>
        <row r="300">
          <cell r="A300">
            <v>287</v>
          </cell>
          <cell r="B300"/>
        </row>
        <row r="301">
          <cell r="A301">
            <v>288</v>
          </cell>
          <cell r="B301"/>
        </row>
        <row r="302">
          <cell r="A302">
            <v>289</v>
          </cell>
          <cell r="B302"/>
        </row>
        <row r="303">
          <cell r="A303">
            <v>290</v>
          </cell>
          <cell r="B303"/>
        </row>
        <row r="304">
          <cell r="A304">
            <v>291</v>
          </cell>
          <cell r="B304"/>
        </row>
        <row r="305">
          <cell r="A305">
            <v>292</v>
          </cell>
          <cell r="B305"/>
        </row>
        <row r="306">
          <cell r="A306">
            <v>293</v>
          </cell>
          <cell r="B306"/>
        </row>
        <row r="307">
          <cell r="A307">
            <v>294</v>
          </cell>
          <cell r="B307"/>
        </row>
        <row r="308">
          <cell r="A308">
            <v>295</v>
          </cell>
          <cell r="B308"/>
        </row>
        <row r="309">
          <cell r="A309">
            <v>296</v>
          </cell>
          <cell r="B309"/>
        </row>
        <row r="310">
          <cell r="A310">
            <v>297</v>
          </cell>
          <cell r="B310"/>
        </row>
        <row r="311">
          <cell r="A311">
            <v>298</v>
          </cell>
          <cell r="B311"/>
        </row>
        <row r="312">
          <cell r="A312">
            <v>299</v>
          </cell>
          <cell r="B312"/>
        </row>
        <row r="313">
          <cell r="A313">
            <v>300</v>
          </cell>
          <cell r="B313"/>
        </row>
        <row r="314">
          <cell r="A314">
            <v>301</v>
          </cell>
          <cell r="B314"/>
        </row>
        <row r="315">
          <cell r="A315">
            <v>302</v>
          </cell>
          <cell r="B315"/>
        </row>
        <row r="316">
          <cell r="A316">
            <v>303</v>
          </cell>
          <cell r="B316"/>
        </row>
        <row r="317">
          <cell r="A317">
            <v>304</v>
          </cell>
          <cell r="B317"/>
        </row>
        <row r="318">
          <cell r="A318">
            <v>305</v>
          </cell>
          <cell r="B318"/>
        </row>
        <row r="319">
          <cell r="A319">
            <v>306</v>
          </cell>
          <cell r="B319"/>
        </row>
        <row r="320">
          <cell r="A320">
            <v>307</v>
          </cell>
          <cell r="B320"/>
        </row>
        <row r="321">
          <cell r="A321">
            <v>308</v>
          </cell>
          <cell r="B321"/>
        </row>
        <row r="322">
          <cell r="A322">
            <v>309</v>
          </cell>
          <cell r="B322"/>
        </row>
        <row r="323">
          <cell r="A323">
            <v>310</v>
          </cell>
          <cell r="B323" t="str">
            <v>Covid Expenses</v>
          </cell>
        </row>
        <row r="324">
          <cell r="A324">
            <v>311</v>
          </cell>
          <cell r="B324"/>
        </row>
        <row r="325">
          <cell r="A325">
            <v>312</v>
          </cell>
          <cell r="B325"/>
        </row>
        <row r="326">
          <cell r="A326">
            <v>313</v>
          </cell>
          <cell r="B326"/>
        </row>
        <row r="327">
          <cell r="A327">
            <v>314</v>
          </cell>
          <cell r="B327"/>
        </row>
        <row r="328">
          <cell r="A328">
            <v>315</v>
          </cell>
          <cell r="B328"/>
        </row>
        <row r="329">
          <cell r="A329">
            <v>316</v>
          </cell>
          <cell r="B329"/>
        </row>
        <row r="330">
          <cell r="A330">
            <v>317</v>
          </cell>
          <cell r="B330"/>
        </row>
        <row r="331">
          <cell r="A331">
            <v>318</v>
          </cell>
          <cell r="B331" t="str">
            <v>Covid Testing Stipend</v>
          </cell>
        </row>
        <row r="332">
          <cell r="A332">
            <v>319</v>
          </cell>
          <cell r="B332"/>
        </row>
        <row r="333">
          <cell r="A333">
            <v>320</v>
          </cell>
          <cell r="B333"/>
        </row>
        <row r="334">
          <cell r="A334">
            <v>321</v>
          </cell>
          <cell r="B334"/>
        </row>
        <row r="335">
          <cell r="A335">
            <v>322</v>
          </cell>
          <cell r="B335"/>
        </row>
        <row r="336">
          <cell r="A336">
            <v>323</v>
          </cell>
          <cell r="B336"/>
        </row>
        <row r="337">
          <cell r="A337">
            <v>324</v>
          </cell>
          <cell r="B337"/>
        </row>
        <row r="338">
          <cell r="A338">
            <v>325</v>
          </cell>
          <cell r="B338"/>
        </row>
        <row r="339">
          <cell r="A339">
            <v>326</v>
          </cell>
          <cell r="B339"/>
        </row>
        <row r="340">
          <cell r="A340">
            <v>327</v>
          </cell>
          <cell r="B340"/>
        </row>
        <row r="341">
          <cell r="A341">
            <v>328</v>
          </cell>
          <cell r="B341"/>
        </row>
        <row r="342">
          <cell r="A342">
            <v>329</v>
          </cell>
          <cell r="B342"/>
        </row>
      </sheetData>
      <sheetData sheetId="2"/>
      <sheetData sheetId="3"/>
      <sheetData sheetId="4"/>
      <sheetData sheetId="5"/>
      <sheetData sheetId="6"/>
      <sheetData sheetId="7"/>
      <sheetData sheetId="8"/>
      <sheetData sheetId="9"/>
      <sheetData sheetId="10"/>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F457DCB-8490-FD46-ADA1-9529D7839E04}" name="PO_Index" displayName="PO_Index" ref="B4:C7" totalsRowShown="0" headerRowDxfId="44" dataDxfId="43">
  <autoFilter ref="B4:C7" xr:uid="{EF457DCB-8490-FD46-ADA1-9529D7839E04}"/>
  <tableColumns count="2">
    <tableColumn id="1" xr3:uid="{0EAF6A37-D265-C145-9E97-323F27DEB41B}" name="PO" dataDxfId="46"/>
    <tableColumn id="2" xr3:uid="{8BBB3114-E2A5-5A4E-8176-6B40DF66B0A7}" name="RowCount" dataDxfId="45">
      <calculatedColumnFormula>MAX(1, INDIRECT("'" &amp; PO_Index[[#This Row],[PO]] &amp; "'!count"))</calculatedColumnFormula>
    </tableColumn>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D6D6425-C385-6E43-AE33-4189C7CA529D}" name="Template_table" displayName="Template_table" ref="AH42:AO51" totalsRowShown="0" headerRowDxfId="49" dataDxfId="48" tableBorderDxfId="59">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C2ADD1E-C256-024C-9733-C704D834A26C}" name="HHEADER" dataDxfId="47"/>
    <tableColumn id="2" xr3:uid="{192B304B-F713-8949-BB64-E457E96C367A}" name="LINE" dataDxfId="56"/>
    <tableColumn id="3" xr3:uid="{0255337F-F403-5247-99EF-BA78C2ADE147}" name="PAYEE" dataDxfId="55"/>
    <tableColumn id="4" xr3:uid="{5A53409B-B76D-F54F-847E-045DA41D5593}" name="PO" dataDxfId="54"/>
    <tableColumn id="5" xr3:uid="{1AF16A3B-6C13-5B47-9FE6-437F5BFF9145}" name="DATE" dataDxfId="53"/>
    <tableColumn id="6" xr3:uid="{03D58825-9679-EF4B-A299-BB735896609E}" name="PAY ID" dataDxfId="52"/>
    <tableColumn id="7" xr3:uid="{5523D66A-7B72-BC46-B4E7-107048CF5B70}" name="ACTUAL" dataDxfId="51"/>
    <tableColumn id="8" xr3:uid="{65621292-A5A4-E64F-ADC8-B5483F6779D4}" name="LINE DESCRIPTION" dataDxfId="5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7AA2188C-D416-D145-83ED-252EDBE106C9}" name="2499-001_table" displayName="_2499_001_table" ref="AH42:AO51" totalsRowShown="0" headerRowDxfId="42" dataDxfId="41" tableBorderDxfId="40">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56704C85-12A1-3A46-AEFE-529E8D38C260}" name="HHEADER" dataDxfId="39"/>
    <tableColumn id="2" xr3:uid="{E1615B9E-9B41-4043-B8EC-F928F3D20F5F}" name="LINE" dataDxfId="38"/>
    <tableColumn id="3" xr3:uid="{17747586-79D3-B04B-A83A-41CB9210155E}" name="PAYEE" dataDxfId="37"/>
    <tableColumn id="4" xr3:uid="{CC521AF5-A02D-A249-A383-550001DE3E56}" name="PO" dataDxfId="36"/>
    <tableColumn id="5" xr3:uid="{0FC68D8E-D834-1540-8C13-83D631C40C7B}" name="DATE" dataDxfId="35"/>
    <tableColumn id="6" xr3:uid="{C61B2E01-BEE4-674B-8969-09768A476FF4}" name="PAY ID" dataDxfId="34"/>
    <tableColumn id="7" xr3:uid="{D0EB82B9-6D7A-8F4D-A279-A0CBBD72A0D5}" name="ACTUAL" dataDxfId="33"/>
    <tableColumn id="8" xr3:uid="{26D03B06-BCEC-0C46-82DE-83707E071EC8}" name="LINE DESCRIPTION" dataDxfId="3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29ACEBB2-1C6E-254D-9899-498E53960092}" name="2499-002_table" displayName="_2499_002_table" ref="AH42:AO51" totalsRowShown="0" headerRowDxfId="31" dataDxfId="30" tableBorderDxfId="29">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9B3670FD-CD95-CB42-BA85-56061C6628A5}" name="HHEADER" dataDxfId="28"/>
    <tableColumn id="2" xr3:uid="{2CA40311-5926-A240-8A71-BC57260AF83E}" name="LINE" dataDxfId="27"/>
    <tableColumn id="3" xr3:uid="{0216CAC8-A959-3F4E-908E-E0A31755BE5D}" name="PAYEE" dataDxfId="26"/>
    <tableColumn id="4" xr3:uid="{D3837559-EE7A-8245-B528-DDB4267949F8}" name="PO" dataDxfId="25"/>
    <tableColumn id="5" xr3:uid="{BD9613D5-6E79-FE43-91C7-3C514FFE0513}" name="DATE" dataDxfId="24"/>
    <tableColumn id="6" xr3:uid="{20C92AB3-765D-A04F-A8A4-366EB0A86807}" name="PAY ID" dataDxfId="23"/>
    <tableColumn id="7" xr3:uid="{3DE6CE21-9B7C-264F-AA47-0595FA356A4C}" name="ACTUAL" dataDxfId="22"/>
    <tableColumn id="8" xr3:uid="{F023AC81-E014-464B-AC31-2EEDC903C0D2}" name="LINE DESCRIPTION" dataDxfId="21"/>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96BBBD10-9121-AE44-A01A-D0905DB0D01E}" name="2499-003_table" displayName="_2499_003_table" ref="AH42:AO51" totalsRowShown="0" headerRowDxfId="20" dataDxfId="19" tableBorderDxfId="18">
  <autoFilter ref="AH42:AO51" xr:uid="{4D6D6425-C385-6E43-AE33-4189C7CA529D}">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79CBE0F8-2B51-5F45-A42D-F72DF1D9DA16}" name="HHEADER" dataDxfId="17"/>
    <tableColumn id="2" xr3:uid="{CC683353-5788-DB41-BE04-8C5402A693F0}" name="LINE" dataDxfId="16"/>
    <tableColumn id="3" xr3:uid="{E65798F7-D100-1040-AEA1-670FA34688B2}" name="PAYEE" dataDxfId="15"/>
    <tableColumn id="4" xr3:uid="{453186F9-B0FF-B740-B5FB-A91049FDCBF6}" name="PO" dataDxfId="14"/>
    <tableColumn id="5" xr3:uid="{2E8FE9CE-F41A-2440-A39F-7B147F084561}" name="DATE" dataDxfId="13"/>
    <tableColumn id="6" xr3:uid="{6D397F14-E51A-C64D-90B6-E968A52782F0}" name="PAY ID" dataDxfId="12"/>
    <tableColumn id="7" xr3:uid="{F3FF802E-3D57-B048-AB53-0F6FD072B267}" name="ACTUAL" dataDxfId="11"/>
    <tableColumn id="8" xr3:uid="{B4654CBA-D787-7B41-A45E-DEBAD197863B}" name="LINE DESCRIPTION" dataDxfId="1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E7B68-10D3-A84E-84D2-7B99277272F8}">
  <sheetPr codeName="Sheet4"/>
  <dimension ref="A2:C50"/>
  <sheetViews>
    <sheetView workbookViewId="0"/>
    <sheetView topLeftCell="A11" workbookViewId="1">
      <selection activeCell="G20" sqref="G20"/>
    </sheetView>
  </sheetViews>
  <sheetFormatPr baseColWidth="10" defaultRowHeight="16"/>
  <cols>
    <col min="1" max="1" width="3.83203125" style="26" customWidth="1"/>
    <col min="2" max="2" width="10.83203125" style="27"/>
  </cols>
  <sheetData>
    <row r="2" spans="1:2" ht="24">
      <c r="B2" s="28" t="s">
        <v>263</v>
      </c>
    </row>
    <row r="3" spans="1:2">
      <c r="A3" s="26" t="s">
        <v>264</v>
      </c>
      <c r="B3" s="27" t="s">
        <v>378</v>
      </c>
    </row>
    <row r="4" spans="1:2">
      <c r="A4" s="26" t="s">
        <v>264</v>
      </c>
      <c r="B4" s="27" t="s">
        <v>382</v>
      </c>
    </row>
    <row r="5" spans="1:2">
      <c r="A5" s="26" t="s">
        <v>264</v>
      </c>
      <c r="B5" s="27" t="s">
        <v>379</v>
      </c>
    </row>
    <row r="6" spans="1:2">
      <c r="A6" s="26" t="s">
        <v>264</v>
      </c>
      <c r="B6" s="27" t="s">
        <v>380</v>
      </c>
    </row>
    <row r="7" spans="1:2">
      <c r="A7" s="26" t="s">
        <v>264</v>
      </c>
      <c r="B7" s="27" t="s">
        <v>381</v>
      </c>
    </row>
    <row r="10" spans="1:2" ht="24">
      <c r="B10" s="289" t="s">
        <v>376</v>
      </c>
    </row>
    <row r="11" spans="1:2" ht="24">
      <c r="B11" s="28" t="s">
        <v>377</v>
      </c>
    </row>
    <row r="12" spans="1:2">
      <c r="A12" s="26" t="s">
        <v>264</v>
      </c>
      <c r="B12" s="27" t="s">
        <v>265</v>
      </c>
    </row>
    <row r="13" spans="1:2">
      <c r="A13" s="26" t="s">
        <v>264</v>
      </c>
      <c r="B13" s="27" t="s">
        <v>266</v>
      </c>
    </row>
    <row r="16" spans="1:2" ht="24">
      <c r="B16" s="28" t="s">
        <v>383</v>
      </c>
    </row>
    <row r="17" spans="1:3">
      <c r="A17" s="26" t="s">
        <v>264</v>
      </c>
      <c r="B17" s="27" t="s">
        <v>267</v>
      </c>
    </row>
    <row r="18" spans="1:3">
      <c r="A18" s="26" t="s">
        <v>264</v>
      </c>
      <c r="B18" s="27" t="s">
        <v>274</v>
      </c>
    </row>
    <row r="19" spans="1:3">
      <c r="A19" s="26" t="s">
        <v>264</v>
      </c>
      <c r="B19" s="27" t="s">
        <v>268</v>
      </c>
    </row>
    <row r="20" spans="1:3">
      <c r="A20" s="26" t="s">
        <v>264</v>
      </c>
      <c r="B20" s="27" t="s">
        <v>269</v>
      </c>
    </row>
    <row r="21" spans="1:3">
      <c r="A21" s="26" t="s">
        <v>264</v>
      </c>
      <c r="B21" s="27" t="s">
        <v>363</v>
      </c>
    </row>
    <row r="22" spans="1:3">
      <c r="A22" s="26" t="s">
        <v>264</v>
      </c>
      <c r="B22" s="27" t="s">
        <v>270</v>
      </c>
    </row>
    <row r="24" spans="1:3" ht="20">
      <c r="B24" s="29" t="s">
        <v>271</v>
      </c>
      <c r="C24" s="29"/>
    </row>
    <row r="25" spans="1:3">
      <c r="A25" s="26" t="s">
        <v>264</v>
      </c>
      <c r="B25" s="27" t="s">
        <v>272</v>
      </c>
    </row>
    <row r="26" spans="1:3">
      <c r="A26" s="26" t="s">
        <v>264</v>
      </c>
      <c r="B26" s="27" t="s">
        <v>273</v>
      </c>
    </row>
    <row r="27" spans="1:3">
      <c r="A27" s="26" t="s">
        <v>264</v>
      </c>
      <c r="B27" s="27" t="s">
        <v>275</v>
      </c>
    </row>
    <row r="28" spans="1:3">
      <c r="A28" s="26" t="s">
        <v>264</v>
      </c>
      <c r="B28" s="27" t="s">
        <v>276</v>
      </c>
    </row>
    <row r="29" spans="1:3">
      <c r="A29" s="26" t="s">
        <v>264</v>
      </c>
      <c r="B29" s="27" t="s">
        <v>277</v>
      </c>
    </row>
    <row r="31" spans="1:3" ht="24">
      <c r="B31" s="28" t="s">
        <v>278</v>
      </c>
    </row>
    <row r="32" spans="1:3">
      <c r="A32" s="26" t="s">
        <v>264</v>
      </c>
      <c r="B32" s="27" t="s">
        <v>279</v>
      </c>
    </row>
    <row r="33" spans="1:2">
      <c r="A33" s="26" t="s">
        <v>264</v>
      </c>
      <c r="B33" s="27" t="s">
        <v>280</v>
      </c>
    </row>
    <row r="34" spans="1:2">
      <c r="A34" s="26" t="s">
        <v>264</v>
      </c>
      <c r="B34" s="27" t="s">
        <v>281</v>
      </c>
    </row>
    <row r="35" spans="1:2">
      <c r="A35" s="26" t="s">
        <v>264</v>
      </c>
      <c r="B35" s="27" t="s">
        <v>282</v>
      </c>
    </row>
    <row r="36" spans="1:2">
      <c r="A36" s="26" t="s">
        <v>264</v>
      </c>
      <c r="B36" s="27" t="s">
        <v>284</v>
      </c>
    </row>
    <row r="37" spans="1:2">
      <c r="A37" s="26" t="s">
        <v>264</v>
      </c>
      <c r="B37" s="27" t="s">
        <v>285</v>
      </c>
    </row>
    <row r="38" spans="1:2">
      <c r="A38" s="26" t="s">
        <v>264</v>
      </c>
      <c r="B38" s="27" t="s">
        <v>283</v>
      </c>
    </row>
    <row r="40" spans="1:2" ht="24">
      <c r="B40" s="28" t="s">
        <v>286</v>
      </c>
    </row>
    <row r="41" spans="1:2">
      <c r="A41" s="26" t="s">
        <v>264</v>
      </c>
      <c r="B41" s="27" t="s">
        <v>287</v>
      </c>
    </row>
    <row r="42" spans="1:2">
      <c r="A42" s="26" t="s">
        <v>264</v>
      </c>
      <c r="B42" s="27" t="s">
        <v>288</v>
      </c>
    </row>
    <row r="43" spans="1:2">
      <c r="A43" s="26" t="s">
        <v>264</v>
      </c>
      <c r="B43" s="27" t="s">
        <v>289</v>
      </c>
    </row>
    <row r="44" spans="1:2">
      <c r="A44" s="26" t="s">
        <v>264</v>
      </c>
      <c r="B44" s="27" t="s">
        <v>290</v>
      </c>
    </row>
    <row r="45" spans="1:2">
      <c r="A45" s="26" t="s">
        <v>264</v>
      </c>
      <c r="B45" s="27" t="s">
        <v>291</v>
      </c>
    </row>
    <row r="46" spans="1:2">
      <c r="A46" s="26" t="s">
        <v>264</v>
      </c>
      <c r="B46" s="27" t="s">
        <v>292</v>
      </c>
    </row>
    <row r="47" spans="1:2">
      <c r="A47" s="26" t="s">
        <v>264</v>
      </c>
      <c r="B47" s="27" t="s">
        <v>293</v>
      </c>
    </row>
    <row r="49" spans="1:2">
      <c r="A49" s="26" t="s">
        <v>264</v>
      </c>
      <c r="B49" s="27" t="s">
        <v>294</v>
      </c>
    </row>
    <row r="50" spans="1:2">
      <c r="A50" s="26" t="s">
        <v>264</v>
      </c>
      <c r="B50" s="27" t="s">
        <v>295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30CB5-3938-FA45-BD48-1C834A0F12F1}">
  <sheetPr codeName="Sheet1"/>
  <dimension ref="A1:C375"/>
  <sheetViews>
    <sheetView topLeftCell="A343" zoomScale="110" zoomScaleNormal="110" workbookViewId="0">
      <selection activeCell="A364" sqref="A364"/>
    </sheetView>
    <sheetView topLeftCell="A205" workbookViewId="1">
      <selection activeCell="B245" sqref="B245"/>
    </sheetView>
  </sheetViews>
  <sheetFormatPr baseColWidth="10" defaultRowHeight="16"/>
  <cols>
    <col min="2" max="2" width="36.33203125" customWidth="1"/>
  </cols>
  <sheetData>
    <row r="1" spans="1:3">
      <c r="A1" s="33" t="s">
        <v>20</v>
      </c>
      <c r="B1" s="34" t="s">
        <v>21</v>
      </c>
      <c r="C1" s="35"/>
    </row>
    <row r="2" spans="1:3">
      <c r="A2" s="36">
        <v>1</v>
      </c>
      <c r="B2" s="37" t="s">
        <v>22</v>
      </c>
      <c r="C2" s="35"/>
    </row>
    <row r="3" spans="1:3">
      <c r="A3" s="36">
        <v>2</v>
      </c>
      <c r="B3" s="37" t="s">
        <v>23</v>
      </c>
      <c r="C3" s="35"/>
    </row>
    <row r="4" spans="1:3">
      <c r="A4" s="36">
        <v>3</v>
      </c>
      <c r="B4" s="37" t="s">
        <v>24</v>
      </c>
      <c r="C4" s="35"/>
    </row>
    <row r="5" spans="1:3">
      <c r="A5" s="36">
        <v>4</v>
      </c>
      <c r="B5" s="37" t="s">
        <v>25</v>
      </c>
      <c r="C5" s="35"/>
    </row>
    <row r="6" spans="1:3">
      <c r="A6" s="36">
        <v>5</v>
      </c>
      <c r="B6" s="37" t="s">
        <v>26</v>
      </c>
      <c r="C6" s="35"/>
    </row>
    <row r="7" spans="1:3">
      <c r="A7" s="36">
        <v>6</v>
      </c>
      <c r="B7" s="37" t="s">
        <v>27</v>
      </c>
      <c r="C7" s="35"/>
    </row>
    <row r="8" spans="1:3">
      <c r="A8" s="36">
        <v>7</v>
      </c>
      <c r="B8" s="37" t="s">
        <v>28</v>
      </c>
      <c r="C8" s="35"/>
    </row>
    <row r="9" spans="1:3">
      <c r="A9" s="36">
        <v>8</v>
      </c>
      <c r="B9" s="37" t="s">
        <v>29</v>
      </c>
      <c r="C9" s="35"/>
    </row>
    <row r="10" spans="1:3">
      <c r="A10" s="36">
        <v>9</v>
      </c>
      <c r="B10" s="37" t="s">
        <v>30</v>
      </c>
      <c r="C10" s="35"/>
    </row>
    <row r="11" spans="1:3">
      <c r="A11" s="36">
        <v>10</v>
      </c>
      <c r="B11" s="37" t="s">
        <v>31</v>
      </c>
      <c r="C11" s="35"/>
    </row>
    <row r="12" spans="1:3">
      <c r="A12" s="36">
        <v>11</v>
      </c>
      <c r="B12" s="37" t="s">
        <v>32</v>
      </c>
      <c r="C12" s="35"/>
    </row>
    <row r="13" spans="1:3">
      <c r="A13" s="36">
        <v>12</v>
      </c>
      <c r="B13" s="37" t="s">
        <v>33</v>
      </c>
      <c r="C13" s="35"/>
    </row>
    <row r="14" spans="1:3">
      <c r="A14" s="36">
        <v>13</v>
      </c>
      <c r="B14" s="37" t="s">
        <v>34</v>
      </c>
      <c r="C14" s="35"/>
    </row>
    <row r="15" spans="1:3">
      <c r="A15" s="36">
        <v>14</v>
      </c>
      <c r="B15" s="37" t="s">
        <v>35</v>
      </c>
      <c r="C15" s="35"/>
    </row>
    <row r="16" spans="1:3">
      <c r="A16" s="36">
        <v>15</v>
      </c>
      <c r="B16" s="37" t="s">
        <v>36</v>
      </c>
      <c r="C16" s="35"/>
    </row>
    <row r="17" spans="1:3">
      <c r="A17" s="36">
        <v>16</v>
      </c>
      <c r="B17" s="37" t="s">
        <v>37</v>
      </c>
      <c r="C17" s="35"/>
    </row>
    <row r="18" spans="1:3">
      <c r="A18" s="36">
        <v>17</v>
      </c>
      <c r="B18" s="37" t="s">
        <v>38</v>
      </c>
      <c r="C18" s="35"/>
    </row>
    <row r="19" spans="1:3">
      <c r="A19" s="36">
        <v>18</v>
      </c>
      <c r="B19" s="37" t="s">
        <v>39</v>
      </c>
      <c r="C19" s="35"/>
    </row>
    <row r="20" spans="1:3">
      <c r="A20" s="36">
        <v>19</v>
      </c>
      <c r="B20" s="37" t="s">
        <v>40</v>
      </c>
      <c r="C20" s="35"/>
    </row>
    <row r="21" spans="1:3">
      <c r="A21" s="36">
        <v>20</v>
      </c>
      <c r="B21" s="37" t="s">
        <v>41</v>
      </c>
      <c r="C21" s="35"/>
    </row>
    <row r="22" spans="1:3">
      <c r="A22" s="36">
        <v>21</v>
      </c>
      <c r="B22" s="37" t="s">
        <v>42</v>
      </c>
      <c r="C22" s="35"/>
    </row>
    <row r="23" spans="1:3">
      <c r="A23" s="36">
        <v>22</v>
      </c>
      <c r="B23" s="37" t="s">
        <v>43</v>
      </c>
      <c r="C23" s="35"/>
    </row>
    <row r="24" spans="1:3">
      <c r="A24" s="36">
        <v>23</v>
      </c>
      <c r="B24" s="37" t="s">
        <v>44</v>
      </c>
      <c r="C24" s="35"/>
    </row>
    <row r="25" spans="1:3">
      <c r="A25" s="36">
        <v>24</v>
      </c>
      <c r="B25" s="37" t="s">
        <v>45</v>
      </c>
      <c r="C25" s="35"/>
    </row>
    <row r="26" spans="1:3">
      <c r="A26" s="36">
        <v>25</v>
      </c>
      <c r="B26" s="37" t="s">
        <v>46</v>
      </c>
      <c r="C26" s="35"/>
    </row>
    <row r="27" spans="1:3">
      <c r="A27" s="36">
        <v>26</v>
      </c>
      <c r="B27" s="37" t="s">
        <v>47</v>
      </c>
      <c r="C27" s="35"/>
    </row>
    <row r="28" spans="1:3">
      <c r="A28" s="36">
        <v>27</v>
      </c>
      <c r="B28" s="37" t="s">
        <v>48</v>
      </c>
      <c r="C28" s="35"/>
    </row>
    <row r="29" spans="1:3">
      <c r="A29" s="36">
        <v>28</v>
      </c>
      <c r="B29" s="37" t="s">
        <v>49</v>
      </c>
      <c r="C29" s="35"/>
    </row>
    <row r="30" spans="1:3">
      <c r="A30" s="36">
        <v>29</v>
      </c>
      <c r="B30" s="37" t="s">
        <v>50</v>
      </c>
      <c r="C30" s="35"/>
    </row>
    <row r="31" spans="1:3">
      <c r="A31" s="36">
        <v>30</v>
      </c>
      <c r="B31" s="37" t="s">
        <v>51</v>
      </c>
      <c r="C31" s="35"/>
    </row>
    <row r="32" spans="1:3">
      <c r="A32" s="36">
        <v>31</v>
      </c>
      <c r="B32" s="37" t="s">
        <v>52</v>
      </c>
      <c r="C32" s="35"/>
    </row>
    <row r="33" spans="1:3">
      <c r="A33" s="36">
        <v>32</v>
      </c>
      <c r="B33" s="37" t="s">
        <v>53</v>
      </c>
      <c r="C33" s="35"/>
    </row>
    <row r="34" spans="1:3">
      <c r="A34" s="36">
        <v>33</v>
      </c>
      <c r="B34" s="37" t="s">
        <v>54</v>
      </c>
      <c r="C34" s="35"/>
    </row>
    <row r="35" spans="1:3">
      <c r="A35" s="36">
        <v>34</v>
      </c>
      <c r="B35" s="37" t="s">
        <v>55</v>
      </c>
      <c r="C35" s="35"/>
    </row>
    <row r="36" spans="1:3">
      <c r="A36" s="36">
        <v>35</v>
      </c>
      <c r="B36" s="37" t="s">
        <v>56</v>
      </c>
      <c r="C36" s="35"/>
    </row>
    <row r="37" spans="1:3">
      <c r="A37" s="36">
        <v>36</v>
      </c>
      <c r="B37" s="37" t="s">
        <v>57</v>
      </c>
      <c r="C37" s="35"/>
    </row>
    <row r="38" spans="1:3">
      <c r="A38" s="36">
        <v>37</v>
      </c>
      <c r="B38" s="37" t="s">
        <v>58</v>
      </c>
      <c r="C38" s="35"/>
    </row>
    <row r="39" spans="1:3">
      <c r="A39" s="36">
        <v>38</v>
      </c>
      <c r="B39" s="37" t="s">
        <v>59</v>
      </c>
      <c r="C39" s="35"/>
    </row>
    <row r="40" spans="1:3">
      <c r="A40" s="36">
        <v>39</v>
      </c>
      <c r="B40" s="37" t="s">
        <v>60</v>
      </c>
      <c r="C40" s="35"/>
    </row>
    <row r="41" spans="1:3">
      <c r="A41" s="36">
        <v>40</v>
      </c>
      <c r="B41" s="37" t="s">
        <v>61</v>
      </c>
      <c r="C41" s="35"/>
    </row>
    <row r="42" spans="1:3">
      <c r="A42" s="36">
        <v>41</v>
      </c>
      <c r="B42" s="37" t="s">
        <v>62</v>
      </c>
      <c r="C42" s="35"/>
    </row>
    <row r="43" spans="1:3">
      <c r="A43" s="36">
        <v>42</v>
      </c>
      <c r="B43" s="37" t="s">
        <v>63</v>
      </c>
      <c r="C43" s="35"/>
    </row>
    <row r="44" spans="1:3">
      <c r="A44" s="36">
        <v>43</v>
      </c>
      <c r="B44" s="37" t="s">
        <v>64</v>
      </c>
      <c r="C44" s="35"/>
    </row>
    <row r="45" spans="1:3">
      <c r="A45" s="36">
        <v>44</v>
      </c>
      <c r="B45" s="37" t="s">
        <v>65</v>
      </c>
      <c r="C45" s="35"/>
    </row>
    <row r="46" spans="1:3">
      <c r="A46" s="36">
        <v>45</v>
      </c>
      <c r="B46" s="37" t="s">
        <v>66</v>
      </c>
      <c r="C46" s="35"/>
    </row>
    <row r="47" spans="1:3">
      <c r="A47" s="36">
        <v>46</v>
      </c>
      <c r="B47" s="37" t="s">
        <v>66</v>
      </c>
      <c r="C47" s="35"/>
    </row>
    <row r="48" spans="1:3">
      <c r="A48" s="36">
        <v>47</v>
      </c>
      <c r="B48" s="37" t="s">
        <v>67</v>
      </c>
      <c r="C48" s="35"/>
    </row>
    <row r="49" spans="1:3">
      <c r="A49" s="36">
        <v>48</v>
      </c>
      <c r="B49" s="37" t="s">
        <v>68</v>
      </c>
      <c r="C49" s="35"/>
    </row>
    <row r="50" spans="1:3">
      <c r="A50" s="36">
        <v>49</v>
      </c>
      <c r="B50" s="37" t="s">
        <v>68</v>
      </c>
      <c r="C50" s="35"/>
    </row>
    <row r="51" spans="1:3">
      <c r="A51" s="36">
        <v>50</v>
      </c>
      <c r="B51" s="37"/>
      <c r="C51" s="35"/>
    </row>
    <row r="52" spans="1:3">
      <c r="A52" s="36">
        <v>51</v>
      </c>
      <c r="B52" s="37" t="s">
        <v>22</v>
      </c>
      <c r="C52" s="35"/>
    </row>
    <row r="53" spans="1:3">
      <c r="A53" s="36">
        <v>52</v>
      </c>
      <c r="B53" s="37" t="s">
        <v>23</v>
      </c>
      <c r="C53" s="35"/>
    </row>
    <row r="54" spans="1:3">
      <c r="A54" s="36">
        <v>53</v>
      </c>
      <c r="B54" s="37" t="s">
        <v>24</v>
      </c>
      <c r="C54" s="35"/>
    </row>
    <row r="55" spans="1:3">
      <c r="A55" s="36">
        <v>54</v>
      </c>
      <c r="B55" s="37" t="s">
        <v>25</v>
      </c>
      <c r="C55" s="35"/>
    </row>
    <row r="56" spans="1:3">
      <c r="A56" s="36">
        <v>55</v>
      </c>
      <c r="B56" s="37" t="s">
        <v>26</v>
      </c>
      <c r="C56" s="35"/>
    </row>
    <row r="57" spans="1:3">
      <c r="A57" s="36">
        <v>56</v>
      </c>
      <c r="B57" s="37" t="s">
        <v>27</v>
      </c>
      <c r="C57" s="35"/>
    </row>
    <row r="58" spans="1:3">
      <c r="A58" s="36">
        <v>57</v>
      </c>
      <c r="B58" s="37" t="s">
        <v>28</v>
      </c>
      <c r="C58" s="35"/>
    </row>
    <row r="59" spans="1:3">
      <c r="A59" s="36">
        <v>58</v>
      </c>
      <c r="B59" s="37" t="s">
        <v>29</v>
      </c>
      <c r="C59" s="35"/>
    </row>
    <row r="60" spans="1:3">
      <c r="A60" s="36">
        <v>59</v>
      </c>
      <c r="B60" s="37" t="s">
        <v>69</v>
      </c>
      <c r="C60" s="35"/>
    </row>
    <row r="61" spans="1:3">
      <c r="A61" s="36">
        <v>60</v>
      </c>
      <c r="B61" s="37" t="s">
        <v>31</v>
      </c>
      <c r="C61" s="35"/>
    </row>
    <row r="62" spans="1:3">
      <c r="A62" s="36">
        <v>61</v>
      </c>
      <c r="B62" s="37" t="s">
        <v>32</v>
      </c>
      <c r="C62" s="35"/>
    </row>
    <row r="63" spans="1:3">
      <c r="A63" s="36">
        <v>62</v>
      </c>
      <c r="B63" s="37" t="s">
        <v>33</v>
      </c>
      <c r="C63" s="35"/>
    </row>
    <row r="64" spans="1:3">
      <c r="A64" s="36">
        <v>63</v>
      </c>
      <c r="B64" s="37" t="s">
        <v>34</v>
      </c>
      <c r="C64" s="35"/>
    </row>
    <row r="65" spans="1:3">
      <c r="A65" s="36">
        <v>64</v>
      </c>
      <c r="B65" s="37" t="s">
        <v>70</v>
      </c>
      <c r="C65" s="35"/>
    </row>
    <row r="66" spans="1:3">
      <c r="A66" s="36">
        <v>65</v>
      </c>
      <c r="B66" s="37" t="s">
        <v>36</v>
      </c>
      <c r="C66" s="35"/>
    </row>
    <row r="67" spans="1:3">
      <c r="A67" s="36">
        <v>66</v>
      </c>
      <c r="B67" s="37" t="s">
        <v>37</v>
      </c>
      <c r="C67" s="35"/>
    </row>
    <row r="68" spans="1:3">
      <c r="A68" s="36">
        <v>67</v>
      </c>
      <c r="B68" s="37" t="s">
        <v>38</v>
      </c>
      <c r="C68" s="35"/>
    </row>
    <row r="69" spans="1:3">
      <c r="A69" s="36">
        <v>68</v>
      </c>
      <c r="B69" s="37" t="s">
        <v>39</v>
      </c>
      <c r="C69" s="35"/>
    </row>
    <row r="70" spans="1:3">
      <c r="A70" s="36">
        <v>69</v>
      </c>
      <c r="B70" s="37" t="s">
        <v>71</v>
      </c>
      <c r="C70" s="35"/>
    </row>
    <row r="71" spans="1:3">
      <c r="A71" s="36">
        <v>70</v>
      </c>
      <c r="B71" s="37" t="s">
        <v>72</v>
      </c>
      <c r="C71" s="35"/>
    </row>
    <row r="72" spans="1:3">
      <c r="A72" s="36">
        <v>71</v>
      </c>
      <c r="B72" s="37" t="s">
        <v>42</v>
      </c>
      <c r="C72" s="35"/>
    </row>
    <row r="73" spans="1:3">
      <c r="A73" s="36">
        <v>72</v>
      </c>
      <c r="B73" s="37" t="s">
        <v>43</v>
      </c>
      <c r="C73" s="35"/>
    </row>
    <row r="74" spans="1:3">
      <c r="A74" s="36">
        <v>73</v>
      </c>
      <c r="B74" s="37" t="s">
        <v>73</v>
      </c>
      <c r="C74" s="35"/>
    </row>
    <row r="75" spans="1:3">
      <c r="A75" s="36">
        <v>74</v>
      </c>
      <c r="B75" s="37" t="s">
        <v>74</v>
      </c>
      <c r="C75" s="35"/>
    </row>
    <row r="76" spans="1:3">
      <c r="A76" s="36">
        <v>75</v>
      </c>
      <c r="B76" s="37" t="s">
        <v>46</v>
      </c>
      <c r="C76" s="35"/>
    </row>
    <row r="77" spans="1:3">
      <c r="A77" s="36">
        <v>76</v>
      </c>
      <c r="B77" s="37" t="s">
        <v>47</v>
      </c>
      <c r="C77" s="35"/>
    </row>
    <row r="78" spans="1:3">
      <c r="A78" s="36">
        <v>77</v>
      </c>
      <c r="B78" s="37" t="s">
        <v>48</v>
      </c>
      <c r="C78" s="35"/>
    </row>
    <row r="79" spans="1:3">
      <c r="A79" s="36">
        <v>78</v>
      </c>
      <c r="B79" s="37" t="s">
        <v>49</v>
      </c>
      <c r="C79" s="35"/>
    </row>
    <row r="80" spans="1:3">
      <c r="A80" s="36">
        <v>79</v>
      </c>
      <c r="B80" s="37" t="s">
        <v>75</v>
      </c>
      <c r="C80" s="35"/>
    </row>
    <row r="81" spans="1:3">
      <c r="A81" s="36">
        <v>80</v>
      </c>
      <c r="B81" s="37" t="s">
        <v>51</v>
      </c>
      <c r="C81" s="35"/>
    </row>
    <row r="82" spans="1:3">
      <c r="A82" s="36">
        <v>81</v>
      </c>
      <c r="B82" s="37" t="s">
        <v>52</v>
      </c>
      <c r="C82" s="35"/>
    </row>
    <row r="83" spans="1:3">
      <c r="A83" s="36">
        <v>82</v>
      </c>
      <c r="B83" s="37" t="s">
        <v>76</v>
      </c>
      <c r="C83" s="35"/>
    </row>
    <row r="84" spans="1:3">
      <c r="A84" s="36">
        <v>83</v>
      </c>
      <c r="B84" s="37" t="s">
        <v>54</v>
      </c>
      <c r="C84" s="35"/>
    </row>
    <row r="85" spans="1:3">
      <c r="A85" s="36">
        <v>84</v>
      </c>
      <c r="B85" s="37" t="s">
        <v>50</v>
      </c>
      <c r="C85" s="35"/>
    </row>
    <row r="86" spans="1:3">
      <c r="A86" s="36">
        <v>85</v>
      </c>
      <c r="B86" s="37" t="s">
        <v>56</v>
      </c>
      <c r="C86" s="35"/>
    </row>
    <row r="87" spans="1:3">
      <c r="A87" s="36">
        <v>86</v>
      </c>
      <c r="B87" s="37" t="s">
        <v>57</v>
      </c>
      <c r="C87" s="35"/>
    </row>
    <row r="88" spans="1:3">
      <c r="A88" s="36">
        <v>87</v>
      </c>
      <c r="B88" s="37" t="s">
        <v>58</v>
      </c>
      <c r="C88" s="35"/>
    </row>
    <row r="89" spans="1:3">
      <c r="A89" s="36">
        <v>88</v>
      </c>
      <c r="B89" s="37" t="s">
        <v>59</v>
      </c>
      <c r="C89" s="35"/>
    </row>
    <row r="90" spans="1:3">
      <c r="A90" s="36">
        <v>89</v>
      </c>
      <c r="B90" s="37" t="s">
        <v>60</v>
      </c>
      <c r="C90" s="35"/>
    </row>
    <row r="91" spans="1:3">
      <c r="A91" s="36">
        <v>90</v>
      </c>
      <c r="B91" s="37" t="s">
        <v>61</v>
      </c>
      <c r="C91" s="35"/>
    </row>
    <row r="92" spans="1:3">
      <c r="A92" s="36">
        <v>91</v>
      </c>
      <c r="B92" s="37" t="s">
        <v>77</v>
      </c>
      <c r="C92" s="35"/>
    </row>
    <row r="93" spans="1:3">
      <c r="A93" s="36">
        <v>92</v>
      </c>
      <c r="B93" s="37" t="s">
        <v>62</v>
      </c>
      <c r="C93" s="35"/>
    </row>
    <row r="94" spans="1:3">
      <c r="A94" s="36">
        <v>93</v>
      </c>
      <c r="B94" s="37" t="s">
        <v>63</v>
      </c>
      <c r="C94" s="35"/>
    </row>
    <row r="95" spans="1:3">
      <c r="A95" s="36">
        <v>94</v>
      </c>
      <c r="B95" s="37" t="s">
        <v>78</v>
      </c>
      <c r="C95" s="35"/>
    </row>
    <row r="96" spans="1:3">
      <c r="A96" s="36">
        <v>95</v>
      </c>
      <c r="B96" s="37" t="s">
        <v>66</v>
      </c>
      <c r="C96" s="35"/>
    </row>
    <row r="97" spans="1:3">
      <c r="A97" s="36">
        <v>96</v>
      </c>
      <c r="B97" s="37" t="s">
        <v>66</v>
      </c>
      <c r="C97" s="35"/>
    </row>
    <row r="98" spans="1:3">
      <c r="A98" s="36">
        <v>97</v>
      </c>
      <c r="B98" s="37" t="s">
        <v>67</v>
      </c>
      <c r="C98" s="35"/>
    </row>
    <row r="99" spans="1:3">
      <c r="A99" s="36">
        <v>98</v>
      </c>
      <c r="B99" s="37" t="s">
        <v>68</v>
      </c>
      <c r="C99" s="35"/>
    </row>
    <row r="100" spans="1:3">
      <c r="A100" s="36">
        <v>99</v>
      </c>
      <c r="B100" s="37" t="s">
        <v>68</v>
      </c>
      <c r="C100" s="35"/>
    </row>
    <row r="101" spans="1:3">
      <c r="A101" s="36">
        <v>100</v>
      </c>
      <c r="B101" s="37" t="s">
        <v>79</v>
      </c>
      <c r="C101" s="35"/>
    </row>
    <row r="102" spans="1:3">
      <c r="A102" s="38" t="s">
        <v>80</v>
      </c>
      <c r="B102" s="39" t="s">
        <v>81</v>
      </c>
      <c r="C102" s="35"/>
    </row>
    <row r="103" spans="1:3">
      <c r="A103" s="36">
        <v>101</v>
      </c>
      <c r="B103" s="37" t="s">
        <v>82</v>
      </c>
      <c r="C103" s="35"/>
    </row>
    <row r="104" spans="1:3">
      <c r="A104" s="36">
        <v>102</v>
      </c>
      <c r="B104" s="37" t="s">
        <v>314</v>
      </c>
      <c r="C104" s="35"/>
    </row>
    <row r="105" spans="1:3">
      <c r="A105" s="36">
        <v>103</v>
      </c>
      <c r="B105" s="37" t="s">
        <v>83</v>
      </c>
      <c r="C105" s="35"/>
    </row>
    <row r="106" spans="1:3">
      <c r="A106" s="36">
        <v>104</v>
      </c>
      <c r="B106" s="37" t="s">
        <v>84</v>
      </c>
      <c r="C106" s="35"/>
    </row>
    <row r="107" spans="1:3">
      <c r="A107" s="36">
        <v>105</v>
      </c>
      <c r="B107" s="37" t="s">
        <v>85</v>
      </c>
      <c r="C107" s="35"/>
    </row>
    <row r="108" spans="1:3">
      <c r="A108" s="36">
        <v>106</v>
      </c>
      <c r="B108" s="37" t="s">
        <v>86</v>
      </c>
      <c r="C108" s="35"/>
    </row>
    <row r="109" spans="1:3">
      <c r="A109" s="36">
        <v>107</v>
      </c>
      <c r="B109" s="37" t="s">
        <v>87</v>
      </c>
      <c r="C109" s="35"/>
    </row>
    <row r="110" spans="1:3">
      <c r="A110" s="36">
        <v>108</v>
      </c>
      <c r="B110" s="37" t="s">
        <v>88</v>
      </c>
      <c r="C110" s="35"/>
    </row>
    <row r="111" spans="1:3">
      <c r="A111" s="36">
        <v>109</v>
      </c>
      <c r="B111" s="37" t="s">
        <v>89</v>
      </c>
      <c r="C111" s="35"/>
    </row>
    <row r="112" spans="1:3">
      <c r="A112" s="36">
        <v>110</v>
      </c>
      <c r="B112" s="37" t="s">
        <v>90</v>
      </c>
      <c r="C112" s="35"/>
    </row>
    <row r="113" spans="1:3">
      <c r="A113" s="36">
        <v>111</v>
      </c>
      <c r="B113" s="37" t="s">
        <v>91</v>
      </c>
      <c r="C113" s="35"/>
    </row>
    <row r="114" spans="1:3">
      <c r="A114" s="36">
        <v>112</v>
      </c>
      <c r="B114" s="37" t="s">
        <v>92</v>
      </c>
      <c r="C114" s="35"/>
    </row>
    <row r="115" spans="1:3">
      <c r="A115" s="36">
        <v>113</v>
      </c>
      <c r="B115" s="37" t="s">
        <v>93</v>
      </c>
      <c r="C115" s="35"/>
    </row>
    <row r="116" spans="1:3">
      <c r="A116" s="38" t="s">
        <v>94</v>
      </c>
      <c r="B116" s="34" t="s">
        <v>95</v>
      </c>
      <c r="C116" s="35"/>
    </row>
    <row r="117" spans="1:3">
      <c r="A117" s="36">
        <v>114</v>
      </c>
      <c r="B117" s="37" t="s">
        <v>96</v>
      </c>
      <c r="C117" s="35"/>
    </row>
    <row r="118" spans="1:3">
      <c r="A118" s="36">
        <v>115</v>
      </c>
      <c r="B118" s="37" t="s">
        <v>97</v>
      </c>
      <c r="C118" s="35"/>
    </row>
    <row r="119" spans="1:3">
      <c r="A119" s="36">
        <v>116</v>
      </c>
      <c r="B119" s="37" t="s">
        <v>98</v>
      </c>
      <c r="C119" s="35"/>
    </row>
    <row r="120" spans="1:3">
      <c r="A120" s="36">
        <v>117</v>
      </c>
      <c r="B120" s="37" t="s">
        <v>99</v>
      </c>
      <c r="C120" s="35"/>
    </row>
    <row r="121" spans="1:3">
      <c r="A121" s="36">
        <v>118</v>
      </c>
      <c r="B121" s="37" t="s">
        <v>100</v>
      </c>
      <c r="C121" s="35"/>
    </row>
    <row r="122" spans="1:3">
      <c r="A122" s="36">
        <v>119</v>
      </c>
      <c r="B122" s="37" t="s">
        <v>101</v>
      </c>
      <c r="C122" s="35"/>
    </row>
    <row r="123" spans="1:3">
      <c r="A123" s="36">
        <v>120</v>
      </c>
      <c r="B123" s="37" t="s">
        <v>102</v>
      </c>
      <c r="C123" s="35"/>
    </row>
    <row r="124" spans="1:3">
      <c r="A124" s="36">
        <v>121</v>
      </c>
      <c r="B124" s="37" t="s">
        <v>103</v>
      </c>
      <c r="C124" s="35"/>
    </row>
    <row r="125" spans="1:3">
      <c r="A125" s="36">
        <v>122</v>
      </c>
      <c r="B125" s="37" t="s">
        <v>104</v>
      </c>
      <c r="C125" s="35"/>
    </row>
    <row r="126" spans="1:3">
      <c r="A126" s="36">
        <v>123</v>
      </c>
      <c r="B126" s="37" t="s">
        <v>105</v>
      </c>
      <c r="C126" s="35"/>
    </row>
    <row r="127" spans="1:3">
      <c r="A127" s="36">
        <v>124</v>
      </c>
      <c r="B127" s="37" t="s">
        <v>106</v>
      </c>
      <c r="C127" s="35"/>
    </row>
    <row r="128" spans="1:3">
      <c r="A128" s="36">
        <v>125</v>
      </c>
      <c r="B128" s="37" t="s">
        <v>107</v>
      </c>
      <c r="C128" s="35"/>
    </row>
    <row r="129" spans="1:3">
      <c r="A129" s="36">
        <v>126</v>
      </c>
      <c r="B129" s="37" t="s">
        <v>108</v>
      </c>
      <c r="C129" s="35"/>
    </row>
    <row r="130" spans="1:3">
      <c r="A130" s="36">
        <v>127</v>
      </c>
      <c r="B130" s="37" t="s">
        <v>109</v>
      </c>
      <c r="C130" s="35"/>
    </row>
    <row r="131" spans="1:3">
      <c r="A131" s="36">
        <v>128</v>
      </c>
      <c r="B131" s="37" t="s">
        <v>315</v>
      </c>
      <c r="C131" s="35"/>
    </row>
    <row r="132" spans="1:3">
      <c r="A132" s="36">
        <v>129</v>
      </c>
      <c r="B132" s="37" t="s">
        <v>110</v>
      </c>
      <c r="C132" s="35"/>
    </row>
    <row r="133" spans="1:3">
      <c r="A133" s="36">
        <v>130</v>
      </c>
      <c r="B133" s="37" t="s">
        <v>111</v>
      </c>
      <c r="C133" s="35"/>
    </row>
    <row r="134" spans="1:3">
      <c r="A134" s="36">
        <v>131</v>
      </c>
      <c r="B134" s="37" t="s">
        <v>112</v>
      </c>
      <c r="C134" s="35"/>
    </row>
    <row r="135" spans="1:3">
      <c r="A135" s="36">
        <v>132</v>
      </c>
      <c r="B135" s="37" t="s">
        <v>113</v>
      </c>
      <c r="C135" s="35"/>
    </row>
    <row r="136" spans="1:3">
      <c r="A136" s="36">
        <v>133</v>
      </c>
      <c r="B136" s="37" t="s">
        <v>316</v>
      </c>
      <c r="C136" s="35"/>
    </row>
    <row r="137" spans="1:3">
      <c r="A137" s="36">
        <v>134</v>
      </c>
      <c r="B137" s="37" t="s">
        <v>114</v>
      </c>
      <c r="C137" s="35"/>
    </row>
    <row r="138" spans="1:3">
      <c r="A138" s="36">
        <v>135</v>
      </c>
      <c r="B138" s="37" t="s">
        <v>115</v>
      </c>
      <c r="C138" s="35"/>
    </row>
    <row r="139" spans="1:3">
      <c r="A139" s="36">
        <v>136</v>
      </c>
      <c r="B139" s="37" t="s">
        <v>116</v>
      </c>
      <c r="C139" s="35"/>
    </row>
    <row r="140" spans="1:3">
      <c r="A140" s="36">
        <v>137</v>
      </c>
      <c r="B140" s="37" t="s">
        <v>117</v>
      </c>
      <c r="C140" s="35"/>
    </row>
    <row r="141" spans="1:3">
      <c r="A141" s="36">
        <v>138</v>
      </c>
      <c r="B141" s="37" t="s">
        <v>118</v>
      </c>
      <c r="C141" s="35"/>
    </row>
    <row r="142" spans="1:3">
      <c r="A142" s="36">
        <v>139</v>
      </c>
      <c r="B142" s="37" t="s">
        <v>63</v>
      </c>
      <c r="C142" s="35"/>
    </row>
    <row r="143" spans="1:3">
      <c r="A143" s="38" t="s">
        <v>119</v>
      </c>
      <c r="B143" s="34" t="s">
        <v>120</v>
      </c>
      <c r="C143" s="35"/>
    </row>
    <row r="144" spans="1:3">
      <c r="A144" s="36">
        <v>140</v>
      </c>
      <c r="B144" s="37" t="s">
        <v>121</v>
      </c>
      <c r="C144" s="35"/>
    </row>
    <row r="145" spans="1:3">
      <c r="A145" s="36">
        <v>141</v>
      </c>
      <c r="B145" s="37" t="s">
        <v>122</v>
      </c>
      <c r="C145" s="35"/>
    </row>
    <row r="146" spans="1:3">
      <c r="A146" s="36">
        <v>142</v>
      </c>
      <c r="B146" s="37" t="s">
        <v>123</v>
      </c>
      <c r="C146" s="35"/>
    </row>
    <row r="147" spans="1:3">
      <c r="A147" s="36">
        <v>143</v>
      </c>
      <c r="B147" s="37" t="s">
        <v>123</v>
      </c>
      <c r="C147" s="35"/>
    </row>
    <row r="148" spans="1:3">
      <c r="A148" s="36">
        <v>144</v>
      </c>
      <c r="B148" s="37" t="s">
        <v>123</v>
      </c>
      <c r="C148" s="35"/>
    </row>
    <row r="149" spans="1:3">
      <c r="A149" s="36">
        <v>145</v>
      </c>
      <c r="B149" s="37" t="s">
        <v>124</v>
      </c>
      <c r="C149" s="35"/>
    </row>
    <row r="150" spans="1:3">
      <c r="A150" s="36">
        <v>146</v>
      </c>
      <c r="B150" s="37" t="s">
        <v>124</v>
      </c>
      <c r="C150" s="35"/>
    </row>
    <row r="151" spans="1:3">
      <c r="A151" s="36">
        <v>147</v>
      </c>
      <c r="B151" s="37" t="s">
        <v>125</v>
      </c>
      <c r="C151" s="35"/>
    </row>
    <row r="152" spans="1:3">
      <c r="A152" s="36">
        <v>148</v>
      </c>
      <c r="B152" s="37" t="s">
        <v>126</v>
      </c>
      <c r="C152" s="35"/>
    </row>
    <row r="153" spans="1:3">
      <c r="A153" s="36">
        <v>149</v>
      </c>
      <c r="B153" s="37" t="s">
        <v>127</v>
      </c>
      <c r="C153" s="35"/>
    </row>
    <row r="154" spans="1:3">
      <c r="A154" s="36">
        <v>150</v>
      </c>
      <c r="B154" s="37"/>
      <c r="C154" s="35"/>
    </row>
    <row r="155" spans="1:3">
      <c r="A155" s="38" t="s">
        <v>128</v>
      </c>
      <c r="B155" s="39" t="s">
        <v>129</v>
      </c>
      <c r="C155" s="35"/>
    </row>
    <row r="156" spans="1:3">
      <c r="A156" s="36">
        <v>151</v>
      </c>
      <c r="B156" s="37" t="s">
        <v>130</v>
      </c>
      <c r="C156" s="35"/>
    </row>
    <row r="157" spans="1:3">
      <c r="A157" s="36">
        <v>152</v>
      </c>
      <c r="B157" s="37" t="s">
        <v>131</v>
      </c>
      <c r="C157" s="35"/>
    </row>
    <row r="158" spans="1:3">
      <c r="A158" s="36">
        <v>153</v>
      </c>
      <c r="B158" s="37" t="s">
        <v>132</v>
      </c>
      <c r="C158" s="35"/>
    </row>
    <row r="159" spans="1:3">
      <c r="A159" s="36">
        <v>154</v>
      </c>
      <c r="B159" s="37" t="s">
        <v>133</v>
      </c>
      <c r="C159" s="35"/>
    </row>
    <row r="160" spans="1:3">
      <c r="A160" s="36">
        <v>155</v>
      </c>
      <c r="B160" s="37" t="s">
        <v>134</v>
      </c>
      <c r="C160" s="35"/>
    </row>
    <row r="161" spans="1:3">
      <c r="A161" s="36">
        <v>156</v>
      </c>
      <c r="B161" s="37" t="s">
        <v>135</v>
      </c>
      <c r="C161" s="35"/>
    </row>
    <row r="162" spans="1:3">
      <c r="A162" s="36">
        <v>157</v>
      </c>
      <c r="B162" s="37" t="s">
        <v>136</v>
      </c>
      <c r="C162" s="35"/>
    </row>
    <row r="163" spans="1:3">
      <c r="A163" s="36">
        <v>158</v>
      </c>
      <c r="B163" s="37" t="s">
        <v>137</v>
      </c>
      <c r="C163" s="35"/>
    </row>
    <row r="164" spans="1:3">
      <c r="A164" s="36">
        <v>159</v>
      </c>
      <c r="B164" s="37" t="s">
        <v>138</v>
      </c>
      <c r="C164" s="35"/>
    </row>
    <row r="165" spans="1:3">
      <c r="A165" s="36">
        <v>160</v>
      </c>
      <c r="B165" s="37" t="s">
        <v>139</v>
      </c>
      <c r="C165" s="35"/>
    </row>
    <row r="166" spans="1:3">
      <c r="A166" s="36">
        <v>161</v>
      </c>
      <c r="B166" s="37" t="s">
        <v>140</v>
      </c>
      <c r="C166" s="35"/>
    </row>
    <row r="167" spans="1:3">
      <c r="A167" s="36">
        <v>162</v>
      </c>
      <c r="B167" s="37" t="s">
        <v>141</v>
      </c>
      <c r="C167" s="35"/>
    </row>
    <row r="168" spans="1:3">
      <c r="A168" s="36">
        <v>163</v>
      </c>
      <c r="B168" s="37"/>
      <c r="C168" s="35"/>
    </row>
    <row r="169" spans="1:3">
      <c r="A169" s="36">
        <v>164</v>
      </c>
      <c r="B169" s="37"/>
      <c r="C169" s="35"/>
    </row>
    <row r="170" spans="1:3">
      <c r="A170" s="36">
        <v>165</v>
      </c>
      <c r="B170" s="37"/>
      <c r="C170" s="35"/>
    </row>
    <row r="171" spans="1:3">
      <c r="A171" s="36">
        <v>166</v>
      </c>
      <c r="B171" s="37"/>
      <c r="C171" s="35"/>
    </row>
    <row r="172" spans="1:3">
      <c r="A172" s="36">
        <v>167</v>
      </c>
      <c r="B172" s="37"/>
      <c r="C172" s="35"/>
    </row>
    <row r="173" spans="1:3">
      <c r="A173" s="38" t="s">
        <v>142</v>
      </c>
      <c r="B173" s="39" t="s">
        <v>143</v>
      </c>
      <c r="C173" s="35"/>
    </row>
    <row r="174" spans="1:3">
      <c r="A174" s="36">
        <v>168</v>
      </c>
      <c r="B174" s="37" t="s">
        <v>144</v>
      </c>
      <c r="C174" s="35"/>
    </row>
    <row r="175" spans="1:3">
      <c r="A175" s="36">
        <v>169</v>
      </c>
      <c r="B175" s="37" t="s">
        <v>145</v>
      </c>
      <c r="C175" s="35"/>
    </row>
    <row r="176" spans="1:3">
      <c r="A176" s="36">
        <v>170</v>
      </c>
      <c r="B176" s="37" t="s">
        <v>146</v>
      </c>
      <c r="C176" s="35"/>
    </row>
    <row r="177" spans="1:3">
      <c r="A177" s="36">
        <v>171</v>
      </c>
      <c r="B177" s="37" t="s">
        <v>147</v>
      </c>
      <c r="C177" s="35"/>
    </row>
    <row r="178" spans="1:3">
      <c r="A178" s="36">
        <v>172</v>
      </c>
      <c r="B178" s="37" t="s">
        <v>148</v>
      </c>
      <c r="C178" s="35"/>
    </row>
    <row r="179" spans="1:3">
      <c r="A179" s="36">
        <v>173</v>
      </c>
      <c r="B179" s="37" t="s">
        <v>149</v>
      </c>
      <c r="C179" s="35"/>
    </row>
    <row r="180" spans="1:3">
      <c r="A180" s="36">
        <v>174</v>
      </c>
      <c r="B180" s="37" t="s">
        <v>149</v>
      </c>
      <c r="C180" s="35"/>
    </row>
    <row r="181" spans="1:3">
      <c r="A181" s="36">
        <v>175</v>
      </c>
      <c r="B181" s="37" t="s">
        <v>150</v>
      </c>
      <c r="C181" s="35"/>
    </row>
    <row r="182" spans="1:3">
      <c r="A182" s="36">
        <v>176</v>
      </c>
      <c r="B182" s="37" t="s">
        <v>151</v>
      </c>
      <c r="C182" s="35"/>
    </row>
    <row r="183" spans="1:3">
      <c r="A183" s="36">
        <v>177</v>
      </c>
      <c r="B183" s="37" t="s">
        <v>152</v>
      </c>
      <c r="C183" s="35"/>
    </row>
    <row r="184" spans="1:3">
      <c r="A184" s="36">
        <v>178</v>
      </c>
      <c r="B184" s="37" t="s">
        <v>153</v>
      </c>
      <c r="C184" s="35"/>
    </row>
    <row r="185" spans="1:3">
      <c r="A185" s="36">
        <v>179</v>
      </c>
      <c r="B185" s="37" t="s">
        <v>154</v>
      </c>
      <c r="C185" s="35"/>
    </row>
    <row r="186" spans="1:3">
      <c r="A186" s="36">
        <v>180</v>
      </c>
      <c r="B186" s="37" t="s">
        <v>155</v>
      </c>
      <c r="C186" s="35"/>
    </row>
    <row r="187" spans="1:3">
      <c r="A187" s="38" t="s">
        <v>156</v>
      </c>
      <c r="B187" s="34" t="s">
        <v>157</v>
      </c>
      <c r="C187" s="35"/>
    </row>
    <row r="188" spans="1:3">
      <c r="A188" s="36">
        <v>181</v>
      </c>
      <c r="B188" s="37" t="s">
        <v>158</v>
      </c>
      <c r="C188" s="35"/>
    </row>
    <row r="189" spans="1:3">
      <c r="A189" s="36">
        <v>182</v>
      </c>
      <c r="B189" s="37" t="s">
        <v>159</v>
      </c>
      <c r="C189" s="35"/>
    </row>
    <row r="190" spans="1:3">
      <c r="A190" s="36">
        <v>183</v>
      </c>
      <c r="B190" s="37" t="s">
        <v>160</v>
      </c>
      <c r="C190" s="35"/>
    </row>
    <row r="191" spans="1:3">
      <c r="A191" s="36">
        <v>184</v>
      </c>
      <c r="B191" s="37" t="s">
        <v>161</v>
      </c>
      <c r="C191" s="35"/>
    </row>
    <row r="192" spans="1:3">
      <c r="A192" s="36">
        <v>185</v>
      </c>
      <c r="B192" s="37" t="s">
        <v>162</v>
      </c>
      <c r="C192" s="35"/>
    </row>
    <row r="193" spans="1:3">
      <c r="A193" s="36">
        <v>186</v>
      </c>
      <c r="B193" s="37" t="s">
        <v>163</v>
      </c>
      <c r="C193" s="35"/>
    </row>
    <row r="194" spans="1:3">
      <c r="A194" s="36">
        <v>187</v>
      </c>
      <c r="B194" s="37" t="s">
        <v>164</v>
      </c>
      <c r="C194" s="35"/>
    </row>
    <row r="195" spans="1:3">
      <c r="A195" s="36">
        <v>188</v>
      </c>
      <c r="B195" s="37" t="s">
        <v>165</v>
      </c>
      <c r="C195" s="35"/>
    </row>
    <row r="196" spans="1:3">
      <c r="A196" s="36">
        <v>189</v>
      </c>
      <c r="B196" s="37" t="s">
        <v>166</v>
      </c>
      <c r="C196" s="35"/>
    </row>
    <row r="197" spans="1:3">
      <c r="A197" s="36">
        <v>190</v>
      </c>
      <c r="B197" s="37" t="s">
        <v>167</v>
      </c>
      <c r="C197" s="35"/>
    </row>
    <row r="198" spans="1:3">
      <c r="A198" s="36">
        <v>191</v>
      </c>
      <c r="B198" s="37" t="s">
        <v>168</v>
      </c>
      <c r="C198" s="35"/>
    </row>
    <row r="199" spans="1:3">
      <c r="A199" s="36">
        <v>192</v>
      </c>
      <c r="B199" s="37" t="s">
        <v>169</v>
      </c>
      <c r="C199" s="35"/>
    </row>
    <row r="200" spans="1:3">
      <c r="A200" s="38" t="s">
        <v>170</v>
      </c>
      <c r="B200" s="39" t="s">
        <v>171</v>
      </c>
      <c r="C200" s="35"/>
    </row>
    <row r="201" spans="1:3">
      <c r="A201" s="36">
        <v>193</v>
      </c>
      <c r="B201" s="37" t="s">
        <v>172</v>
      </c>
      <c r="C201" s="35"/>
    </row>
    <row r="202" spans="1:3">
      <c r="A202" s="36">
        <v>194</v>
      </c>
      <c r="B202" s="37" t="s">
        <v>173</v>
      </c>
      <c r="C202" s="35"/>
    </row>
    <row r="203" spans="1:3">
      <c r="A203" s="36">
        <v>195</v>
      </c>
      <c r="B203" s="37" t="s">
        <v>174</v>
      </c>
      <c r="C203" s="35"/>
    </row>
    <row r="204" spans="1:3">
      <c r="A204" s="36">
        <v>196</v>
      </c>
      <c r="B204" s="37" t="s">
        <v>175</v>
      </c>
      <c r="C204" s="35"/>
    </row>
    <row r="205" spans="1:3">
      <c r="A205" s="36">
        <v>197</v>
      </c>
      <c r="B205" s="37" t="s">
        <v>176</v>
      </c>
      <c r="C205" s="35"/>
    </row>
    <row r="206" spans="1:3">
      <c r="A206" s="36">
        <v>198</v>
      </c>
      <c r="B206" s="37" t="s">
        <v>177</v>
      </c>
      <c r="C206" s="35"/>
    </row>
    <row r="207" spans="1:3">
      <c r="A207" s="36">
        <v>199</v>
      </c>
      <c r="B207" s="37" t="s">
        <v>178</v>
      </c>
      <c r="C207" s="35"/>
    </row>
    <row r="208" spans="1:3">
      <c r="A208" s="36">
        <v>200</v>
      </c>
      <c r="B208" s="37" t="s">
        <v>179</v>
      </c>
      <c r="C208" s="35"/>
    </row>
    <row r="209" spans="1:3">
      <c r="A209" s="36">
        <v>201</v>
      </c>
      <c r="B209" s="37" t="s">
        <v>180</v>
      </c>
      <c r="C209" s="35"/>
    </row>
    <row r="210" spans="1:3">
      <c r="A210" s="36">
        <v>202</v>
      </c>
      <c r="B210" s="37" t="s">
        <v>181</v>
      </c>
      <c r="C210" s="35"/>
    </row>
    <row r="211" spans="1:3">
      <c r="A211" s="36">
        <v>203</v>
      </c>
      <c r="B211" s="37" t="s">
        <v>182</v>
      </c>
      <c r="C211" s="35"/>
    </row>
    <row r="212" spans="1:3">
      <c r="A212" s="36">
        <v>204</v>
      </c>
      <c r="B212" s="37" t="s">
        <v>183</v>
      </c>
      <c r="C212" s="35"/>
    </row>
    <row r="213" spans="1:3">
      <c r="A213" s="36">
        <v>205</v>
      </c>
      <c r="B213" s="37" t="s">
        <v>184</v>
      </c>
      <c r="C213" s="35"/>
    </row>
    <row r="214" spans="1:3">
      <c r="A214" s="36">
        <v>206</v>
      </c>
      <c r="B214" s="37" t="s">
        <v>185</v>
      </c>
      <c r="C214" s="35"/>
    </row>
    <row r="215" spans="1:3">
      <c r="A215" s="36">
        <v>207</v>
      </c>
      <c r="B215" s="37" t="s">
        <v>186</v>
      </c>
      <c r="C215" s="35"/>
    </row>
    <row r="216" spans="1:3">
      <c r="A216" s="36">
        <v>208</v>
      </c>
      <c r="B216" s="37" t="s">
        <v>187</v>
      </c>
      <c r="C216" s="35"/>
    </row>
    <row r="217" spans="1:3">
      <c r="A217" s="36">
        <v>209</v>
      </c>
      <c r="B217" s="37" t="s">
        <v>188</v>
      </c>
      <c r="C217" s="35"/>
    </row>
    <row r="218" spans="1:3">
      <c r="A218" s="36">
        <v>210</v>
      </c>
      <c r="B218" s="37" t="s">
        <v>189</v>
      </c>
      <c r="C218" s="35"/>
    </row>
    <row r="219" spans="1:3">
      <c r="A219" s="40" t="s">
        <v>190</v>
      </c>
      <c r="B219" s="39" t="s">
        <v>191</v>
      </c>
      <c r="C219" s="35"/>
    </row>
    <row r="220" spans="1:3">
      <c r="A220" s="41">
        <v>211</v>
      </c>
      <c r="B220" s="37" t="s">
        <v>192</v>
      </c>
      <c r="C220" s="35"/>
    </row>
    <row r="221" spans="1:3">
      <c r="A221" s="41">
        <v>212</v>
      </c>
      <c r="B221" s="37" t="s">
        <v>193</v>
      </c>
      <c r="C221" s="35"/>
    </row>
    <row r="222" spans="1:3">
      <c r="A222" s="41">
        <v>213</v>
      </c>
      <c r="B222" s="37" t="s">
        <v>194</v>
      </c>
      <c r="C222" s="35"/>
    </row>
    <row r="223" spans="1:3">
      <c r="A223" s="41">
        <v>214</v>
      </c>
      <c r="B223" s="37" t="s">
        <v>195</v>
      </c>
      <c r="C223" s="35"/>
    </row>
    <row r="224" spans="1:3">
      <c r="A224" s="41">
        <v>215</v>
      </c>
      <c r="B224" s="37" t="s">
        <v>196</v>
      </c>
      <c r="C224" s="35"/>
    </row>
    <row r="225" spans="1:3">
      <c r="A225" s="41">
        <v>216</v>
      </c>
      <c r="B225" s="37" t="s">
        <v>197</v>
      </c>
      <c r="C225" s="35"/>
    </row>
    <row r="226" spans="1:3">
      <c r="A226" s="42" t="s">
        <v>198</v>
      </c>
      <c r="B226" s="39" t="s">
        <v>199</v>
      </c>
      <c r="C226" s="35"/>
    </row>
    <row r="227" spans="1:3">
      <c r="A227" s="41">
        <v>217</v>
      </c>
      <c r="B227" s="37" t="s">
        <v>200</v>
      </c>
      <c r="C227" s="35"/>
    </row>
    <row r="228" spans="1:3">
      <c r="A228" s="41">
        <v>218</v>
      </c>
      <c r="B228" s="37" t="s">
        <v>201</v>
      </c>
      <c r="C228" s="35"/>
    </row>
    <row r="229" spans="1:3">
      <c r="A229" s="41">
        <v>219</v>
      </c>
      <c r="B229" s="37" t="s">
        <v>202</v>
      </c>
      <c r="C229" s="35"/>
    </row>
    <row r="230" spans="1:3">
      <c r="A230" s="41">
        <v>220</v>
      </c>
      <c r="B230" s="37" t="s">
        <v>203</v>
      </c>
      <c r="C230" s="35"/>
    </row>
    <row r="231" spans="1:3">
      <c r="A231" s="41">
        <v>221</v>
      </c>
      <c r="B231" s="37" t="s">
        <v>204</v>
      </c>
      <c r="C231" s="35"/>
    </row>
    <row r="232" spans="1:3">
      <c r="A232" s="41">
        <v>222</v>
      </c>
      <c r="B232" s="37" t="s">
        <v>205</v>
      </c>
      <c r="C232" s="35"/>
    </row>
    <row r="233" spans="1:3">
      <c r="A233" s="41">
        <v>223</v>
      </c>
      <c r="B233" s="37" t="s">
        <v>206</v>
      </c>
      <c r="C233" s="35"/>
    </row>
    <row r="234" spans="1:3">
      <c r="A234" s="41">
        <v>224</v>
      </c>
      <c r="B234" s="37" t="s">
        <v>207</v>
      </c>
      <c r="C234" s="35"/>
    </row>
    <row r="235" spans="1:3">
      <c r="A235" s="41">
        <v>225</v>
      </c>
      <c r="B235" s="37" t="s">
        <v>208</v>
      </c>
      <c r="C235" s="35"/>
    </row>
    <row r="236" spans="1:3">
      <c r="A236" s="41">
        <v>226</v>
      </c>
      <c r="B236" s="37"/>
      <c r="C236" s="35"/>
    </row>
    <row r="237" spans="1:3">
      <c r="A237" s="42" t="s">
        <v>209</v>
      </c>
      <c r="B237" s="39" t="s">
        <v>210</v>
      </c>
      <c r="C237" s="35"/>
    </row>
    <row r="238" spans="1:3">
      <c r="A238" s="41">
        <v>227</v>
      </c>
      <c r="B238" s="37" t="s">
        <v>211</v>
      </c>
      <c r="C238" s="35"/>
    </row>
    <row r="239" spans="1:3">
      <c r="A239" s="41">
        <v>228</v>
      </c>
      <c r="B239" s="37" t="s">
        <v>212</v>
      </c>
      <c r="C239" s="35"/>
    </row>
    <row r="240" spans="1:3">
      <c r="A240" s="41">
        <v>229</v>
      </c>
      <c r="B240" s="37" t="s">
        <v>213</v>
      </c>
      <c r="C240" s="35"/>
    </row>
    <row r="241" spans="1:3">
      <c r="A241" s="41">
        <v>230</v>
      </c>
      <c r="B241" s="37" t="s">
        <v>214</v>
      </c>
      <c r="C241" s="35"/>
    </row>
    <row r="242" spans="1:3">
      <c r="A242" s="41">
        <v>231</v>
      </c>
      <c r="B242" s="37" t="s">
        <v>215</v>
      </c>
      <c r="C242" s="35"/>
    </row>
    <row r="243" spans="1:3">
      <c r="A243" s="41">
        <v>232</v>
      </c>
      <c r="B243" s="37" t="s">
        <v>65</v>
      </c>
      <c r="C243" s="35"/>
    </row>
    <row r="244" spans="1:3">
      <c r="A244" s="41">
        <v>233</v>
      </c>
      <c r="B244" s="37"/>
      <c r="C244" s="35"/>
    </row>
    <row r="245" spans="1:3">
      <c r="A245" s="42" t="s">
        <v>216</v>
      </c>
      <c r="B245" s="39" t="s">
        <v>217</v>
      </c>
      <c r="C245" s="35"/>
    </row>
    <row r="246" spans="1:3">
      <c r="A246" s="36">
        <v>236</v>
      </c>
      <c r="B246" s="37" t="s">
        <v>218</v>
      </c>
      <c r="C246" s="35"/>
    </row>
    <row r="247" spans="1:3">
      <c r="A247" s="36">
        <v>237</v>
      </c>
      <c r="B247" s="37" t="s">
        <v>218</v>
      </c>
      <c r="C247" s="35"/>
    </row>
    <row r="248" spans="1:3">
      <c r="A248" s="36">
        <v>238</v>
      </c>
      <c r="B248" s="37" t="s">
        <v>218</v>
      </c>
      <c r="C248" s="35"/>
    </row>
    <row r="249" spans="1:3">
      <c r="A249" s="36">
        <v>239</v>
      </c>
      <c r="B249" s="37" t="s">
        <v>218</v>
      </c>
      <c r="C249" s="35"/>
    </row>
    <row r="250" spans="1:3">
      <c r="A250" s="36">
        <v>240</v>
      </c>
      <c r="B250" s="37" t="s">
        <v>218</v>
      </c>
      <c r="C250" s="35"/>
    </row>
    <row r="251" spans="1:3">
      <c r="A251" s="36">
        <v>241</v>
      </c>
      <c r="B251" s="37" t="s">
        <v>218</v>
      </c>
      <c r="C251" s="35"/>
    </row>
    <row r="252" spans="1:3">
      <c r="A252" s="36">
        <v>242</v>
      </c>
      <c r="B252" s="37" t="s">
        <v>218</v>
      </c>
      <c r="C252" s="35"/>
    </row>
    <row r="253" spans="1:3">
      <c r="A253" s="36">
        <v>243</v>
      </c>
      <c r="B253" s="37" t="s">
        <v>218</v>
      </c>
      <c r="C253" s="35"/>
    </row>
    <row r="254" spans="1:3">
      <c r="A254" s="36">
        <v>244</v>
      </c>
      <c r="B254" s="37" t="s">
        <v>218</v>
      </c>
      <c r="C254" s="35"/>
    </row>
    <row r="255" spans="1:3">
      <c r="A255" s="36">
        <v>245</v>
      </c>
      <c r="B255" s="37" t="s">
        <v>218</v>
      </c>
      <c r="C255" s="35"/>
    </row>
    <row r="256" spans="1:3">
      <c r="A256" s="36">
        <v>246</v>
      </c>
      <c r="B256" s="37"/>
      <c r="C256" s="35"/>
    </row>
    <row r="257" spans="1:3">
      <c r="A257" s="36">
        <v>247</v>
      </c>
      <c r="B257" s="37"/>
      <c r="C257" s="35"/>
    </row>
    <row r="258" spans="1:3">
      <c r="A258" s="36">
        <v>248</v>
      </c>
      <c r="B258" s="37"/>
      <c r="C258" s="35"/>
    </row>
    <row r="259" spans="1:3">
      <c r="A259" s="36">
        <v>249</v>
      </c>
      <c r="B259" s="37" t="s">
        <v>219</v>
      </c>
      <c r="C259" s="35"/>
    </row>
    <row r="260" spans="1:3">
      <c r="A260" s="36">
        <v>250</v>
      </c>
      <c r="B260" s="37" t="s">
        <v>220</v>
      </c>
      <c r="C260" s="35"/>
    </row>
    <row r="261" spans="1:3">
      <c r="A261" s="36">
        <v>251</v>
      </c>
      <c r="B261" s="37" t="s">
        <v>221</v>
      </c>
      <c r="C261" s="35"/>
    </row>
    <row r="262" spans="1:3">
      <c r="A262" s="36">
        <v>252</v>
      </c>
      <c r="B262" s="37" t="s">
        <v>222</v>
      </c>
      <c r="C262" s="35"/>
    </row>
    <row r="263" spans="1:3">
      <c r="A263" s="36">
        <v>253</v>
      </c>
      <c r="B263" s="37" t="s">
        <v>223</v>
      </c>
      <c r="C263" s="35"/>
    </row>
    <row r="264" spans="1:3">
      <c r="A264" s="36">
        <v>254</v>
      </c>
      <c r="B264" s="37" t="s">
        <v>219</v>
      </c>
      <c r="C264" s="35"/>
    </row>
    <row r="265" spans="1:3">
      <c r="A265" s="36">
        <v>255</v>
      </c>
      <c r="B265" s="37"/>
      <c r="C265" s="35"/>
    </row>
    <row r="266" spans="1:3">
      <c r="A266" s="36">
        <v>256</v>
      </c>
      <c r="B266" s="37"/>
      <c r="C266" s="35"/>
    </row>
    <row r="267" spans="1:3">
      <c r="A267" s="36">
        <v>257</v>
      </c>
      <c r="B267" s="37"/>
      <c r="C267" s="35"/>
    </row>
    <row r="268" spans="1:3">
      <c r="A268" s="36">
        <v>258</v>
      </c>
      <c r="B268" s="37" t="s">
        <v>224</v>
      </c>
      <c r="C268" s="35"/>
    </row>
    <row r="269" spans="1:3">
      <c r="A269" s="36">
        <v>259</v>
      </c>
      <c r="B269" s="37"/>
      <c r="C269" s="35"/>
    </row>
    <row r="270" spans="1:3">
      <c r="A270" s="36">
        <v>260</v>
      </c>
      <c r="B270" s="37"/>
      <c r="C270" s="35"/>
    </row>
    <row r="271" spans="1:3">
      <c r="A271" s="36">
        <v>261</v>
      </c>
      <c r="B271" s="37" t="s">
        <v>225</v>
      </c>
      <c r="C271" s="35"/>
    </row>
    <row r="272" spans="1:3">
      <c r="A272" s="36">
        <v>262</v>
      </c>
      <c r="B272" s="37" t="s">
        <v>226</v>
      </c>
      <c r="C272" s="35"/>
    </row>
    <row r="273" spans="1:3">
      <c r="A273" s="36">
        <v>263</v>
      </c>
      <c r="B273" s="37" t="s">
        <v>226</v>
      </c>
      <c r="C273" s="35"/>
    </row>
    <row r="274" spans="1:3">
      <c r="A274" s="36">
        <v>264</v>
      </c>
      <c r="B274" s="37"/>
      <c r="C274" s="35"/>
    </row>
    <row r="275" spans="1:3">
      <c r="A275" s="36">
        <v>265</v>
      </c>
      <c r="B275" s="37" t="s">
        <v>227</v>
      </c>
      <c r="C275" s="35"/>
    </row>
    <row r="276" spans="1:3">
      <c r="A276" s="36">
        <v>266</v>
      </c>
      <c r="B276" s="37" t="s">
        <v>227</v>
      </c>
      <c r="C276" s="35"/>
    </row>
    <row r="277" spans="1:3">
      <c r="A277" s="36">
        <v>267</v>
      </c>
      <c r="B277" s="37"/>
      <c r="C277" s="35"/>
    </row>
    <row r="278" spans="1:3">
      <c r="A278" s="36">
        <v>268</v>
      </c>
      <c r="B278" s="37" t="s">
        <v>228</v>
      </c>
      <c r="C278" s="35"/>
    </row>
    <row r="279" spans="1:3">
      <c r="A279" s="36">
        <v>269</v>
      </c>
      <c r="B279" s="37" t="s">
        <v>229</v>
      </c>
      <c r="C279" s="35"/>
    </row>
    <row r="280" spans="1:3">
      <c r="A280" s="36">
        <v>270</v>
      </c>
      <c r="B280" s="37" t="s">
        <v>230</v>
      </c>
      <c r="C280" s="35"/>
    </row>
    <row r="281" spans="1:3">
      <c r="A281" s="42" t="s">
        <v>231</v>
      </c>
      <c r="B281" s="39" t="s">
        <v>232</v>
      </c>
      <c r="C281" s="35"/>
    </row>
    <row r="282" spans="1:3">
      <c r="A282" s="36">
        <v>271</v>
      </c>
      <c r="B282" s="37" t="s">
        <v>233</v>
      </c>
      <c r="C282" s="35"/>
    </row>
    <row r="283" spans="1:3">
      <c r="A283" s="36">
        <v>272</v>
      </c>
      <c r="B283" s="37" t="s">
        <v>234</v>
      </c>
      <c r="C283" s="35"/>
    </row>
    <row r="284" spans="1:3">
      <c r="A284" s="36">
        <v>273</v>
      </c>
      <c r="B284" s="37" t="s">
        <v>235</v>
      </c>
      <c r="C284" s="35"/>
    </row>
    <row r="285" spans="1:3">
      <c r="A285" s="36">
        <v>274</v>
      </c>
      <c r="B285" s="37" t="s">
        <v>232</v>
      </c>
      <c r="C285" s="35"/>
    </row>
    <row r="286" spans="1:3">
      <c r="A286" s="36">
        <v>275</v>
      </c>
      <c r="B286" s="37" t="s">
        <v>232</v>
      </c>
      <c r="C286" s="35"/>
    </row>
    <row r="287" spans="1:3">
      <c r="A287" s="36">
        <v>276</v>
      </c>
      <c r="B287" s="43"/>
      <c r="C287" s="35"/>
    </row>
    <row r="288" spans="1:3">
      <c r="A288" s="42" t="s">
        <v>236</v>
      </c>
      <c r="B288" s="39"/>
      <c r="C288" s="35"/>
    </row>
    <row r="289" spans="1:3">
      <c r="A289" s="36">
        <v>277</v>
      </c>
      <c r="B289" s="37"/>
      <c r="C289" s="44"/>
    </row>
    <row r="290" spans="1:3">
      <c r="A290" s="36">
        <v>278</v>
      </c>
      <c r="B290" s="37"/>
      <c r="C290" s="44"/>
    </row>
    <row r="291" spans="1:3">
      <c r="A291" s="36">
        <v>279</v>
      </c>
      <c r="B291" s="37"/>
      <c r="C291" s="44"/>
    </row>
    <row r="292" spans="1:3">
      <c r="A292" s="36">
        <v>280</v>
      </c>
      <c r="B292" s="37"/>
      <c r="C292" s="44"/>
    </row>
    <row r="293" spans="1:3">
      <c r="A293" s="36">
        <v>281</v>
      </c>
      <c r="B293" s="37"/>
      <c r="C293" s="44"/>
    </row>
    <row r="294" spans="1:3">
      <c r="A294" s="38" t="s">
        <v>237</v>
      </c>
      <c r="B294" s="39"/>
      <c r="C294" s="35"/>
    </row>
    <row r="295" spans="1:3">
      <c r="A295" s="36">
        <v>282</v>
      </c>
      <c r="B295" s="37"/>
      <c r="C295" s="35"/>
    </row>
    <row r="296" spans="1:3">
      <c r="A296" s="36">
        <v>283</v>
      </c>
      <c r="B296" s="37"/>
      <c r="C296" s="35"/>
    </row>
    <row r="297" spans="1:3">
      <c r="A297" s="36">
        <v>284</v>
      </c>
      <c r="B297" s="37"/>
      <c r="C297" s="35"/>
    </row>
    <row r="298" spans="1:3">
      <c r="A298" s="36">
        <v>285</v>
      </c>
      <c r="B298" s="37"/>
      <c r="C298" s="35"/>
    </row>
    <row r="299" spans="1:3">
      <c r="A299" s="36">
        <v>286</v>
      </c>
      <c r="B299" s="37"/>
      <c r="C299" s="35"/>
    </row>
    <row r="300" spans="1:3">
      <c r="A300" s="36">
        <v>287</v>
      </c>
      <c r="B300" s="37"/>
      <c r="C300" s="35"/>
    </row>
    <row r="301" spans="1:3">
      <c r="A301" s="36">
        <v>288</v>
      </c>
      <c r="B301" s="37"/>
      <c r="C301" s="35"/>
    </row>
    <row r="302" spans="1:3">
      <c r="A302" s="36">
        <v>289</v>
      </c>
      <c r="B302" s="37"/>
      <c r="C302" s="35"/>
    </row>
    <row r="303" spans="1:3">
      <c r="A303" s="36">
        <v>290</v>
      </c>
      <c r="B303" s="37"/>
      <c r="C303" s="35"/>
    </row>
    <row r="304" spans="1:3">
      <c r="A304" s="36">
        <v>291</v>
      </c>
      <c r="B304" s="37"/>
      <c r="C304" s="35"/>
    </row>
    <row r="305" spans="1:3">
      <c r="A305" s="36">
        <v>292</v>
      </c>
      <c r="B305" s="37"/>
      <c r="C305" s="35"/>
    </row>
    <row r="306" spans="1:3">
      <c r="A306" s="36">
        <v>293</v>
      </c>
      <c r="B306" s="37"/>
      <c r="C306" s="35"/>
    </row>
    <row r="307" spans="1:3">
      <c r="A307" s="36">
        <v>294</v>
      </c>
      <c r="B307" s="37"/>
      <c r="C307" s="35"/>
    </row>
    <row r="308" spans="1:3">
      <c r="A308" s="36">
        <v>295</v>
      </c>
      <c r="B308" s="37"/>
      <c r="C308" s="35"/>
    </row>
    <row r="309" spans="1:3">
      <c r="A309" s="36">
        <v>296</v>
      </c>
      <c r="B309" s="37"/>
      <c r="C309" s="35"/>
    </row>
    <row r="310" spans="1:3">
      <c r="A310" s="36">
        <v>297</v>
      </c>
      <c r="B310" s="37"/>
      <c r="C310" s="35"/>
    </row>
    <row r="311" spans="1:3">
      <c r="A311" s="36">
        <v>298</v>
      </c>
      <c r="B311" s="37"/>
      <c r="C311" s="35"/>
    </row>
    <row r="312" spans="1:3">
      <c r="A312" s="36">
        <v>299</v>
      </c>
      <c r="B312" s="37"/>
      <c r="C312" s="35"/>
    </row>
    <row r="313" spans="1:3">
      <c r="A313" s="36">
        <v>300</v>
      </c>
      <c r="B313" s="37"/>
      <c r="C313" s="35"/>
    </row>
    <row r="314" spans="1:3">
      <c r="A314" s="36">
        <v>301</v>
      </c>
      <c r="B314" s="37"/>
      <c r="C314" s="35"/>
    </row>
    <row r="315" spans="1:3">
      <c r="A315" s="36">
        <v>302</v>
      </c>
      <c r="B315" s="37"/>
      <c r="C315" s="35"/>
    </row>
    <row r="316" spans="1:3">
      <c r="A316" s="36">
        <v>303</v>
      </c>
      <c r="B316" s="37"/>
      <c r="C316" s="35"/>
    </row>
    <row r="317" spans="1:3">
      <c r="A317" s="36">
        <v>304</v>
      </c>
      <c r="B317" s="37"/>
      <c r="C317" s="35"/>
    </row>
    <row r="318" spans="1:3">
      <c r="A318" s="36">
        <v>305</v>
      </c>
      <c r="B318" s="37"/>
      <c r="C318" s="35"/>
    </row>
    <row r="319" spans="1:3">
      <c r="A319" s="36">
        <v>306</v>
      </c>
      <c r="B319" s="37"/>
      <c r="C319" s="35"/>
    </row>
    <row r="320" spans="1:3">
      <c r="A320" s="36">
        <v>307</v>
      </c>
      <c r="B320" s="37"/>
      <c r="C320" s="35"/>
    </row>
    <row r="321" spans="1:3">
      <c r="A321" s="36">
        <v>308</v>
      </c>
      <c r="B321" s="37"/>
      <c r="C321" s="35"/>
    </row>
    <row r="322" spans="1:3">
      <c r="A322" s="36">
        <v>309</v>
      </c>
      <c r="B322" s="37"/>
      <c r="C322" s="35"/>
    </row>
    <row r="323" spans="1:3">
      <c r="A323" s="36">
        <v>310</v>
      </c>
      <c r="B323" s="37" t="s">
        <v>238</v>
      </c>
      <c r="C323" s="35"/>
    </row>
    <row r="324" spans="1:3">
      <c r="A324" s="36">
        <v>311</v>
      </c>
      <c r="B324" s="37"/>
      <c r="C324" s="35"/>
    </row>
    <row r="325" spans="1:3">
      <c r="A325" s="36">
        <v>312</v>
      </c>
      <c r="B325" s="37"/>
      <c r="C325" s="35"/>
    </row>
    <row r="326" spans="1:3">
      <c r="A326" s="36">
        <v>313</v>
      </c>
      <c r="B326" s="37"/>
      <c r="C326" s="35"/>
    </row>
    <row r="327" spans="1:3">
      <c r="A327" s="36">
        <v>314</v>
      </c>
      <c r="B327" s="37"/>
      <c r="C327" s="35"/>
    </row>
    <row r="328" spans="1:3">
      <c r="A328" s="36">
        <v>315</v>
      </c>
      <c r="B328" s="37"/>
      <c r="C328" s="35"/>
    </row>
    <row r="329" spans="1:3">
      <c r="A329" s="36">
        <v>316</v>
      </c>
      <c r="B329" s="37"/>
      <c r="C329" s="35"/>
    </row>
    <row r="330" spans="1:3">
      <c r="A330" s="36">
        <v>317</v>
      </c>
      <c r="B330" s="37"/>
      <c r="C330" s="35"/>
    </row>
    <row r="331" spans="1:3">
      <c r="A331" s="36">
        <v>318</v>
      </c>
      <c r="B331" s="37" t="s">
        <v>239</v>
      </c>
      <c r="C331" s="35"/>
    </row>
    <row r="332" spans="1:3">
      <c r="A332" s="36">
        <v>319</v>
      </c>
      <c r="B332" s="37"/>
      <c r="C332" s="35"/>
    </row>
    <row r="333" spans="1:3">
      <c r="A333" s="36">
        <v>320</v>
      </c>
      <c r="B333" s="37"/>
      <c r="C333" s="35"/>
    </row>
    <row r="334" spans="1:3">
      <c r="A334" s="36">
        <v>321</v>
      </c>
      <c r="B334" s="37"/>
      <c r="C334" s="35"/>
    </row>
    <row r="335" spans="1:3">
      <c r="A335" s="36">
        <v>322</v>
      </c>
      <c r="B335" s="37"/>
      <c r="C335" s="35"/>
    </row>
    <row r="336" spans="1:3">
      <c r="A336" s="36">
        <v>323</v>
      </c>
      <c r="B336" s="37"/>
      <c r="C336" s="35"/>
    </row>
    <row r="337" spans="1:3">
      <c r="A337" s="36">
        <v>324</v>
      </c>
      <c r="B337" s="37"/>
      <c r="C337" s="35"/>
    </row>
    <row r="338" spans="1:3">
      <c r="A338" s="36">
        <v>325</v>
      </c>
      <c r="B338" s="37"/>
      <c r="C338" s="35"/>
    </row>
    <row r="339" spans="1:3">
      <c r="A339" s="36">
        <v>326</v>
      </c>
      <c r="B339" s="37"/>
      <c r="C339" s="35"/>
    </row>
    <row r="340" spans="1:3">
      <c r="A340" s="36">
        <v>327</v>
      </c>
      <c r="B340" s="37"/>
      <c r="C340" s="35"/>
    </row>
    <row r="341" spans="1:3">
      <c r="A341" s="36">
        <v>328</v>
      </c>
      <c r="B341" s="37"/>
      <c r="C341" s="35"/>
    </row>
    <row r="342" spans="1:3">
      <c r="A342" s="36">
        <v>329</v>
      </c>
      <c r="B342" s="37"/>
      <c r="C342" s="35"/>
    </row>
    <row r="343" spans="1:3">
      <c r="A343" s="45" t="s">
        <v>317</v>
      </c>
      <c r="B343" s="46" t="s">
        <v>318</v>
      </c>
      <c r="C343" s="35"/>
    </row>
    <row r="344" spans="1:3">
      <c r="A344" s="45" t="s">
        <v>319</v>
      </c>
      <c r="B344" s="46" t="s">
        <v>320</v>
      </c>
      <c r="C344" s="35"/>
    </row>
    <row r="345" spans="1:3">
      <c r="A345" s="45" t="s">
        <v>321</v>
      </c>
      <c r="B345" s="46" t="s">
        <v>322</v>
      </c>
      <c r="C345" s="35"/>
    </row>
    <row r="346" spans="1:3">
      <c r="A346" s="45" t="s">
        <v>323</v>
      </c>
      <c r="B346" s="46" t="s">
        <v>324</v>
      </c>
      <c r="C346" s="35"/>
    </row>
    <row r="347" spans="1:3">
      <c r="A347" s="45" t="s">
        <v>325</v>
      </c>
      <c r="B347" s="46" t="s">
        <v>326</v>
      </c>
      <c r="C347" s="35"/>
    </row>
    <row r="348" spans="1:3">
      <c r="A348" s="45" t="s">
        <v>327</v>
      </c>
      <c r="B348" s="46" t="s">
        <v>328</v>
      </c>
      <c r="C348" s="35"/>
    </row>
    <row r="349" spans="1:3">
      <c r="A349" s="45" t="s">
        <v>329</v>
      </c>
      <c r="B349" s="46" t="s">
        <v>330</v>
      </c>
      <c r="C349" s="35"/>
    </row>
    <row r="350" spans="1:3">
      <c r="A350" s="45" t="s">
        <v>331</v>
      </c>
      <c r="B350" s="46" t="s">
        <v>332</v>
      </c>
      <c r="C350" s="35"/>
    </row>
    <row r="351" spans="1:3">
      <c r="A351" s="45" t="s">
        <v>333</v>
      </c>
      <c r="B351" s="46" t="s">
        <v>334</v>
      </c>
      <c r="C351" s="35"/>
    </row>
    <row r="352" spans="1:3">
      <c r="A352" s="45" t="s">
        <v>335</v>
      </c>
      <c r="B352" s="46" t="s">
        <v>336</v>
      </c>
      <c r="C352" s="35"/>
    </row>
    <row r="353" spans="1:3">
      <c r="A353" s="45" t="s">
        <v>337</v>
      </c>
      <c r="B353" s="46" t="s">
        <v>338</v>
      </c>
      <c r="C353" s="35"/>
    </row>
    <row r="354" spans="1:3">
      <c r="A354" s="45" t="s">
        <v>339</v>
      </c>
      <c r="B354" s="46" t="s">
        <v>340</v>
      </c>
      <c r="C354" s="35"/>
    </row>
    <row r="355" spans="1:3">
      <c r="A355" s="45" t="s">
        <v>341</v>
      </c>
      <c r="B355" s="46" t="s">
        <v>342</v>
      </c>
      <c r="C355" s="35"/>
    </row>
    <row r="356" spans="1:3">
      <c r="A356" s="45" t="s">
        <v>343</v>
      </c>
      <c r="B356" s="46" t="s">
        <v>344</v>
      </c>
      <c r="C356" s="35"/>
    </row>
    <row r="357" spans="1:3">
      <c r="A357" s="45" t="s">
        <v>345</v>
      </c>
      <c r="B357" s="46" t="s">
        <v>346</v>
      </c>
      <c r="C357" s="35"/>
    </row>
    <row r="358" spans="1:3">
      <c r="A358" s="45" t="s">
        <v>347</v>
      </c>
      <c r="B358" s="46" t="s">
        <v>238</v>
      </c>
      <c r="C358" s="35"/>
    </row>
    <row r="359" spans="1:3">
      <c r="A359" s="45" t="s">
        <v>348</v>
      </c>
      <c r="B359" s="46" t="s">
        <v>344</v>
      </c>
      <c r="C359" s="35"/>
    </row>
    <row r="360" spans="1:3">
      <c r="A360" s="45" t="s">
        <v>349</v>
      </c>
      <c r="B360" s="46"/>
      <c r="C360" s="35"/>
    </row>
    <row r="361" spans="1:3">
      <c r="A361" s="45" t="s">
        <v>350</v>
      </c>
      <c r="B361" s="46" t="s">
        <v>351</v>
      </c>
      <c r="C361" s="35"/>
    </row>
    <row r="362" spans="1:3">
      <c r="A362" s="45" t="s">
        <v>352</v>
      </c>
      <c r="B362" s="46" t="s">
        <v>353</v>
      </c>
      <c r="C362" s="35"/>
    </row>
    <row r="363" spans="1:3">
      <c r="A363" s="36" t="s">
        <v>313</v>
      </c>
      <c r="B363" s="4" t="s">
        <v>354</v>
      </c>
      <c r="C363" s="35"/>
    </row>
    <row r="364" spans="1:3">
      <c r="A364" s="47" t="s">
        <v>355</v>
      </c>
      <c r="B364" s="48" t="s">
        <v>356</v>
      </c>
      <c r="C364" s="35"/>
    </row>
    <row r="365" spans="1:3">
      <c r="A365" s="47"/>
      <c r="B365" s="48"/>
      <c r="C365" s="35"/>
    </row>
    <row r="366" spans="1:3">
      <c r="A366" s="47"/>
      <c r="B366" s="48"/>
      <c r="C366" s="35"/>
    </row>
    <row r="367" spans="1:3">
      <c r="A367" s="47"/>
      <c r="B367" s="48"/>
      <c r="C367" s="35"/>
    </row>
    <row r="368" spans="1:3">
      <c r="A368" s="47"/>
      <c r="B368" s="48"/>
      <c r="C368" s="35"/>
    </row>
    <row r="369" spans="1:3">
      <c r="A369" s="47"/>
      <c r="B369" s="48"/>
      <c r="C369" s="35"/>
    </row>
    <row r="370" spans="1:3">
      <c r="A370" s="47"/>
      <c r="B370" s="48"/>
      <c r="C370" s="35"/>
    </row>
    <row r="371" spans="1:3">
      <c r="A371" s="47"/>
      <c r="B371" s="48"/>
      <c r="C371" s="35"/>
    </row>
    <row r="372" spans="1:3">
      <c r="A372" s="47"/>
      <c r="B372" s="48"/>
      <c r="C372" s="35"/>
    </row>
    <row r="373" spans="1:3">
      <c r="A373" s="47"/>
      <c r="B373" s="48"/>
      <c r="C373" s="35"/>
    </row>
    <row r="374" spans="1:3">
      <c r="A374" s="47"/>
      <c r="B374" s="48"/>
      <c r="C374" s="35"/>
    </row>
    <row r="375" spans="1:3">
      <c r="A375" s="49"/>
      <c r="B375" s="49"/>
      <c r="C375" s="35"/>
    </row>
  </sheetData>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0D7F2-C212-DE4D-A5CD-F873F65C62B3}">
  <sheetPr codeName="Sheet3"/>
  <dimension ref="B1:H125"/>
  <sheetViews>
    <sheetView topLeftCell="B11" workbookViewId="0">
      <selection activeCell="F15" sqref="F15:F17"/>
    </sheetView>
    <sheetView tabSelected="1" workbookViewId="1">
      <selection activeCell="D16" sqref="D16"/>
    </sheetView>
  </sheetViews>
  <sheetFormatPr baseColWidth="10" defaultRowHeight="16"/>
  <cols>
    <col min="1" max="1" width="1.83203125" customWidth="1"/>
    <col min="2" max="2" width="16.83203125" customWidth="1"/>
    <col min="3" max="3" width="13.6640625" customWidth="1"/>
    <col min="4" max="4" width="19.6640625" customWidth="1"/>
    <col min="6" max="6" width="22.33203125" customWidth="1"/>
    <col min="11" max="11" width="7" customWidth="1"/>
  </cols>
  <sheetData>
    <row r="1" spans="2:7" ht="17" thickBot="1">
      <c r="B1" s="7" t="s">
        <v>242</v>
      </c>
      <c r="C1" s="7"/>
      <c r="D1" s="8"/>
    </row>
    <row r="2" spans="2:7" ht="17" thickBot="1">
      <c r="B2" s="9" t="s">
        <v>255</v>
      </c>
      <c r="C2" s="12"/>
      <c r="D2" s="6" t="s">
        <v>361</v>
      </c>
    </row>
    <row r="3" spans="2:7" ht="17" thickBot="1">
      <c r="B3" s="9" t="s">
        <v>243</v>
      </c>
      <c r="C3" s="12"/>
      <c r="D3" s="6" t="s">
        <v>357</v>
      </c>
    </row>
    <row r="4" spans="2:7" ht="17" thickBot="1">
      <c r="B4" s="9" t="s">
        <v>244</v>
      </c>
      <c r="C4" s="12"/>
      <c r="D4" s="61">
        <v>1911</v>
      </c>
    </row>
    <row r="6" spans="2:7">
      <c r="B6" s="7" t="s">
        <v>245</v>
      </c>
      <c r="C6" s="7"/>
      <c r="D6" s="8"/>
    </row>
    <row r="7" spans="2:7">
      <c r="B7" s="10" t="s">
        <v>246</v>
      </c>
      <c r="C7" s="10"/>
      <c r="D7" s="8"/>
    </row>
    <row r="8" spans="2:7" ht="17" thickBot="1">
      <c r="B8" s="13" t="s">
        <v>247</v>
      </c>
      <c r="C8" s="13"/>
    </row>
    <row r="9" spans="2:7" ht="17" thickBot="1">
      <c r="B9" s="11">
        <v>2403</v>
      </c>
      <c r="C9" s="13"/>
    </row>
    <row r="10" spans="2:7" ht="17" thickBot="1">
      <c r="B10" s="10" t="s">
        <v>248</v>
      </c>
      <c r="C10" s="10"/>
      <c r="D10" s="8"/>
    </row>
    <row r="11" spans="2:7" ht="17" thickBot="1">
      <c r="B11" s="5"/>
      <c r="C11" s="14">
        <v>1</v>
      </c>
      <c r="D11" s="14">
        <v>100</v>
      </c>
    </row>
    <row r="12" spans="2:7" ht="17" thickBot="1">
      <c r="B12" s="10" t="s">
        <v>249</v>
      </c>
      <c r="C12" s="15"/>
      <c r="D12" s="15"/>
    </row>
    <row r="13" spans="2:7" ht="17" thickBot="1">
      <c r="B13" s="5"/>
      <c r="C13" s="14" t="s">
        <v>250</v>
      </c>
      <c r="D13" s="14" t="s">
        <v>251</v>
      </c>
    </row>
    <row r="14" spans="2:7" ht="17" thickBot="1"/>
    <row r="15" spans="2:7" ht="17" thickBot="1">
      <c r="B15" s="53" t="s">
        <v>252</v>
      </c>
      <c r="C15" s="54"/>
      <c r="D15" s="55"/>
      <c r="F15" s="20" t="s">
        <v>384</v>
      </c>
      <c r="G15" s="5"/>
    </row>
    <row r="16" spans="2:7" ht="17" thickBot="1">
      <c r="B16" s="16">
        <v>2499</v>
      </c>
      <c r="F16" s="19" t="str" cm="1">
        <f t="array" ref="F16:F42">Prefix &amp; "-" &amp; TEXT(_xlfn.SEQUENCE(C18 - B18 + 1, 1, B18, 1), "000")</f>
        <v>2499-004</v>
      </c>
    </row>
    <row r="17" spans="2:8" ht="17" thickBot="1">
      <c r="B17" s="56" t="s">
        <v>253</v>
      </c>
      <c r="C17" s="57"/>
      <c r="D17" s="58"/>
      <c r="F17" s="21" t="str">
        <v>2499-005</v>
      </c>
    </row>
    <row r="18" spans="2:8" ht="17" thickBot="1">
      <c r="B18" s="17">
        <v>4</v>
      </c>
      <c r="C18" s="18">
        <v>30</v>
      </c>
      <c r="F18" s="22" t="str">
        <v>2499-006</v>
      </c>
    </row>
    <row r="19" spans="2:8">
      <c r="F19" s="22" t="str">
        <v>2499-007</v>
      </c>
    </row>
    <row r="20" spans="2:8">
      <c r="F20" s="22" t="str">
        <v>2499-008</v>
      </c>
      <c r="H20" s="5" t="s">
        <v>254</v>
      </c>
    </row>
    <row r="21" spans="2:8">
      <c r="F21" s="22" t="str">
        <v>2499-009</v>
      </c>
    </row>
    <row r="22" spans="2:8">
      <c r="F22" s="22" t="str">
        <v>2499-010</v>
      </c>
    </row>
    <row r="23" spans="2:8">
      <c r="F23" s="22" t="str">
        <v>2499-011</v>
      </c>
    </row>
    <row r="24" spans="2:8">
      <c r="F24" s="22" t="str">
        <v>2499-012</v>
      </c>
    </row>
    <row r="25" spans="2:8">
      <c r="F25" s="22" t="str">
        <v>2499-013</v>
      </c>
    </row>
    <row r="26" spans="2:8">
      <c r="F26" s="22" t="str">
        <v>2499-014</v>
      </c>
    </row>
    <row r="27" spans="2:8">
      <c r="F27" s="22" t="str">
        <v>2499-015</v>
      </c>
    </row>
    <row r="28" spans="2:8">
      <c r="F28" s="22" t="str">
        <v>2499-016</v>
      </c>
    </row>
    <row r="29" spans="2:8">
      <c r="F29" s="22" t="str">
        <v>2499-017</v>
      </c>
    </row>
    <row r="30" spans="2:8">
      <c r="F30" s="22" t="str">
        <v>2499-018</v>
      </c>
    </row>
    <row r="31" spans="2:8">
      <c r="F31" s="22" t="str">
        <v>2499-019</v>
      </c>
    </row>
    <row r="32" spans="2:8">
      <c r="F32" s="22" t="str">
        <v>2499-020</v>
      </c>
    </row>
    <row r="33" spans="6:6">
      <c r="F33" s="22" t="str">
        <v>2499-021</v>
      </c>
    </row>
    <row r="34" spans="6:6">
      <c r="F34" s="22" t="str">
        <v>2499-022</v>
      </c>
    </row>
    <row r="35" spans="6:6">
      <c r="F35" s="22" t="str">
        <v>2499-023</v>
      </c>
    </row>
    <row r="36" spans="6:6">
      <c r="F36" s="22" t="str">
        <v>2499-024</v>
      </c>
    </row>
    <row r="37" spans="6:6">
      <c r="F37" s="22" t="str">
        <v>2499-025</v>
      </c>
    </row>
    <row r="38" spans="6:6">
      <c r="F38" s="22" t="str">
        <v>2499-026</v>
      </c>
    </row>
    <row r="39" spans="6:6">
      <c r="F39" s="22" t="str">
        <v>2499-027</v>
      </c>
    </row>
    <row r="40" spans="6:6">
      <c r="F40" s="22" t="str">
        <v>2499-028</v>
      </c>
    </row>
    <row r="41" spans="6:6">
      <c r="F41" s="22" t="str">
        <v>2499-029</v>
      </c>
    </row>
    <row r="42" spans="6:6">
      <c r="F42" s="22" t="str">
        <v>2499-030</v>
      </c>
    </row>
    <row r="43" spans="6:6">
      <c r="F43" s="22"/>
    </row>
    <row r="44" spans="6:6">
      <c r="F44" s="22"/>
    </row>
    <row r="45" spans="6:6">
      <c r="F45" s="22"/>
    </row>
    <row r="46" spans="6:6">
      <c r="F46" s="22"/>
    </row>
    <row r="47" spans="6:6">
      <c r="F47" s="22"/>
    </row>
    <row r="48" spans="6:6">
      <c r="F48" s="22"/>
    </row>
    <row r="49" spans="6:6">
      <c r="F49" s="22"/>
    </row>
    <row r="50" spans="6:6">
      <c r="F50" s="22"/>
    </row>
    <row r="51" spans="6:6">
      <c r="F51" s="22"/>
    </row>
    <row r="52" spans="6:6">
      <c r="F52" s="22"/>
    </row>
    <row r="53" spans="6:6">
      <c r="F53" s="22"/>
    </row>
    <row r="54" spans="6:6">
      <c r="F54" s="22"/>
    </row>
    <row r="55" spans="6:6">
      <c r="F55" s="22"/>
    </row>
    <row r="56" spans="6:6">
      <c r="F56" s="22"/>
    </row>
    <row r="57" spans="6:6">
      <c r="F57" s="22"/>
    </row>
    <row r="58" spans="6:6">
      <c r="F58" s="22"/>
    </row>
    <row r="59" spans="6:6">
      <c r="F59" s="22"/>
    </row>
    <row r="60" spans="6:6">
      <c r="F60" s="22"/>
    </row>
    <row r="61" spans="6:6">
      <c r="F61" s="22"/>
    </row>
    <row r="62" spans="6:6">
      <c r="F62" s="22"/>
    </row>
    <row r="63" spans="6:6">
      <c r="F63" s="22"/>
    </row>
    <row r="64" spans="6:6">
      <c r="F64" s="22"/>
    </row>
    <row r="65" spans="6:6">
      <c r="F65" s="22"/>
    </row>
    <row r="66" spans="6:6">
      <c r="F66" s="22"/>
    </row>
    <row r="67" spans="6:6">
      <c r="F67" s="22"/>
    </row>
    <row r="68" spans="6:6">
      <c r="F68" s="22"/>
    </row>
    <row r="69" spans="6:6">
      <c r="F69" s="22"/>
    </row>
    <row r="70" spans="6:6">
      <c r="F70" s="22"/>
    </row>
    <row r="71" spans="6:6">
      <c r="F71" s="22"/>
    </row>
    <row r="72" spans="6:6">
      <c r="F72" s="22"/>
    </row>
    <row r="73" spans="6:6">
      <c r="F73" s="22"/>
    </row>
    <row r="74" spans="6:6">
      <c r="F74" s="22"/>
    </row>
    <row r="75" spans="6:6">
      <c r="F75" s="22"/>
    </row>
    <row r="76" spans="6:6">
      <c r="F76" s="22"/>
    </row>
    <row r="77" spans="6:6">
      <c r="F77" s="22"/>
    </row>
    <row r="78" spans="6:6">
      <c r="F78" s="22"/>
    </row>
    <row r="79" spans="6:6">
      <c r="F79" s="22"/>
    </row>
    <row r="80" spans="6:6">
      <c r="F80" s="22"/>
    </row>
    <row r="81" spans="6:6">
      <c r="F81" s="22"/>
    </row>
    <row r="82" spans="6:6">
      <c r="F82" s="22"/>
    </row>
    <row r="83" spans="6:6">
      <c r="F83" s="22"/>
    </row>
    <row r="84" spans="6:6">
      <c r="F84" s="22"/>
    </row>
    <row r="85" spans="6:6">
      <c r="F85" s="22"/>
    </row>
    <row r="86" spans="6:6">
      <c r="F86" s="22"/>
    </row>
    <row r="87" spans="6:6">
      <c r="F87" s="22"/>
    </row>
    <row r="88" spans="6:6">
      <c r="F88" s="22"/>
    </row>
    <row r="89" spans="6:6">
      <c r="F89" s="22"/>
    </row>
    <row r="90" spans="6:6">
      <c r="F90" s="22"/>
    </row>
    <row r="91" spans="6:6">
      <c r="F91" s="22"/>
    </row>
    <row r="92" spans="6:6">
      <c r="F92" s="22"/>
    </row>
    <row r="93" spans="6:6">
      <c r="F93" s="22"/>
    </row>
    <row r="94" spans="6:6">
      <c r="F94" s="22"/>
    </row>
    <row r="95" spans="6:6">
      <c r="F95" s="22"/>
    </row>
    <row r="96" spans="6:6">
      <c r="F96" s="22"/>
    </row>
    <row r="97" spans="6:6">
      <c r="F97" s="22"/>
    </row>
    <row r="98" spans="6:6">
      <c r="F98" s="22"/>
    </row>
    <row r="99" spans="6:6">
      <c r="F99" s="22"/>
    </row>
    <row r="100" spans="6:6">
      <c r="F100" s="22"/>
    </row>
    <row r="101" spans="6:6">
      <c r="F101" s="22"/>
    </row>
    <row r="102" spans="6:6">
      <c r="F102" s="22"/>
    </row>
    <row r="103" spans="6:6">
      <c r="F103" s="22"/>
    </row>
    <row r="104" spans="6:6">
      <c r="F104" s="22"/>
    </row>
    <row r="105" spans="6:6">
      <c r="F105" s="22"/>
    </row>
    <row r="106" spans="6:6">
      <c r="F106" s="22"/>
    </row>
    <row r="107" spans="6:6">
      <c r="F107" s="22"/>
    </row>
    <row r="108" spans="6:6">
      <c r="F108" s="22"/>
    </row>
    <row r="109" spans="6:6">
      <c r="F109" s="22"/>
    </row>
    <row r="110" spans="6:6">
      <c r="F110" s="22"/>
    </row>
    <row r="111" spans="6:6">
      <c r="F111" s="22"/>
    </row>
    <row r="112" spans="6:6">
      <c r="F112" s="22"/>
    </row>
    <row r="113" spans="6:6">
      <c r="F113" s="22"/>
    </row>
    <row r="114" spans="6:6">
      <c r="F114" s="22"/>
    </row>
    <row r="115" spans="6:6">
      <c r="F115" s="22"/>
    </row>
    <row r="116" spans="6:6">
      <c r="F116" s="22"/>
    </row>
    <row r="117" spans="6:6">
      <c r="F117" s="22"/>
    </row>
    <row r="118" spans="6:6">
      <c r="F118" s="22"/>
    </row>
    <row r="119" spans="6:6">
      <c r="F119" s="22"/>
    </row>
    <row r="120" spans="6:6">
      <c r="F120" s="22"/>
    </row>
    <row r="121" spans="6:6">
      <c r="F121" s="22"/>
    </row>
    <row r="122" spans="6:6">
      <c r="F122" s="22"/>
    </row>
    <row r="123" spans="6:6">
      <c r="F123" s="22"/>
    </row>
    <row r="124" spans="6:6">
      <c r="F124" s="22"/>
    </row>
    <row r="125" spans="6:6" ht="17" thickBot="1">
      <c r="F125" s="23"/>
    </row>
  </sheetData>
  <mergeCells count="2">
    <mergeCell ref="B15:D15"/>
    <mergeCell ref="B17:D1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GeneratePOSheets" altText="Generate POs_x000a_">
                <anchor moveWithCells="1" sizeWithCells="1">
                  <from>
                    <xdr:col>7</xdr:col>
                    <xdr:colOff>381000</xdr:colOff>
                    <xdr:row>14</xdr:row>
                    <xdr:rowOff>114300</xdr:rowOff>
                  </from>
                  <to>
                    <xdr:col>9</xdr:col>
                    <xdr:colOff>254000</xdr:colOff>
                    <xdr:row>16</xdr:row>
                    <xdr:rowOff>63500</xdr:rowOff>
                  </to>
                </anchor>
              </controlPr>
            </control>
          </mc:Choice>
        </mc:AlternateContent>
        <mc:AlternateContent xmlns:mc="http://schemas.openxmlformats.org/markup-compatibility/2006">
          <mc:Choice Requires="x14">
            <control shapeId="5123" r:id="rId4" name="Button 3">
              <controlPr defaultSize="0" print="0" autoFill="0" autoPict="0" macro="[0]!DeletePOSheets">
                <anchor moveWithCells="1" sizeWithCells="1">
                  <from>
                    <xdr:col>7</xdr:col>
                    <xdr:colOff>635000</xdr:colOff>
                    <xdr:row>21</xdr:row>
                    <xdr:rowOff>165100</xdr:rowOff>
                  </from>
                  <to>
                    <xdr:col>9</xdr:col>
                    <xdr:colOff>508000</xdr:colOff>
                    <xdr:row>23</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7383B-89A7-A84A-A5DE-BD22423138A1}">
  <sheetPr codeName="Sheet2"/>
  <dimension ref="A1:H8"/>
  <sheetViews>
    <sheetView workbookViewId="0"/>
    <sheetView workbookViewId="1">
      <selection activeCell="A2" sqref="A2:XFD2"/>
    </sheetView>
  </sheetViews>
  <sheetFormatPr baseColWidth="10" defaultRowHeight="16"/>
  <cols>
    <col min="1" max="1" width="5" customWidth="1"/>
    <col min="2" max="3" width="10.83203125" style="3"/>
  </cols>
  <sheetData>
    <row r="1" spans="1:8">
      <c r="A1" s="8"/>
      <c r="B1" s="288" t="s">
        <v>375</v>
      </c>
      <c r="C1" s="287"/>
      <c r="D1" s="8"/>
      <c r="E1" s="8"/>
      <c r="F1" s="8"/>
      <c r="G1" s="8"/>
      <c r="H1" s="8"/>
    </row>
    <row r="2" spans="1:8" s="290" customFormat="1">
      <c r="B2" s="291"/>
      <c r="C2" s="291"/>
    </row>
    <row r="3" spans="1:8">
      <c r="B3" s="268" t="s">
        <v>362</v>
      </c>
      <c r="C3" s="268"/>
    </row>
    <row r="4" spans="1:8">
      <c r="B4" s="3" t="s">
        <v>16</v>
      </c>
      <c r="C4" s="3" t="s">
        <v>310</v>
      </c>
    </row>
    <row r="5" spans="1:8">
      <c r="B5" s="269" t="s">
        <v>298</v>
      </c>
      <c r="C5" s="270">
        <f ca="1">MAX(1, INDIRECT("'" &amp; PO_Index[[#This Row],[PO]] &amp; "'!count"))</f>
        <v>2</v>
      </c>
    </row>
    <row r="6" spans="1:8">
      <c r="B6" s="269" t="s">
        <v>297</v>
      </c>
      <c r="C6" s="270">
        <f ca="1">MAX(1, INDIRECT("'" &amp; PO_Index[[#This Row],[PO]] &amp; "'!count"))</f>
        <v>2</v>
      </c>
    </row>
    <row r="7" spans="1:8">
      <c r="B7" s="269" t="s">
        <v>296</v>
      </c>
      <c r="C7" s="270">
        <f ca="1">MAX(1, INDIRECT("'" &amp; PO_Index[[#This Row],[PO]] &amp; "'!count"))</f>
        <v>1</v>
      </c>
    </row>
    <row r="8" spans="1:8">
      <c r="H8" s="266"/>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CFA28-89B5-0B47-A4B8-071A592096E2}">
  <sheetPr codeName="Sheet12"/>
  <dimension ref="A1:L39"/>
  <sheetViews>
    <sheetView zoomScale="86" workbookViewId="0">
      <pane xSplit="8" ySplit="3" topLeftCell="I4" activePane="bottomRight" state="frozen"/>
      <selection pane="topRight" activeCell="J1" sqref="J1"/>
      <selection pane="bottomLeft" activeCell="A3" sqref="A3"/>
      <selection pane="bottomRight" activeCell="O1" sqref="O1:XFD1048576"/>
    </sheetView>
    <sheetView topLeftCell="B1" zoomScaleNormal="100" workbookViewId="1">
      <pane ySplit="1" topLeftCell="A2" activePane="bottomLeft" state="frozen"/>
      <selection pane="bottomLeft" activeCell="C15" sqref="C15"/>
    </sheetView>
  </sheetViews>
  <sheetFormatPr baseColWidth="10" defaultRowHeight="16"/>
  <cols>
    <col min="1" max="1" width="7.6640625" style="264" hidden="1" customWidth="1"/>
    <col min="2" max="2" width="11" style="68" customWidth="1"/>
    <col min="3" max="3" width="28.1640625" style="68" customWidth="1"/>
    <col min="4" max="4" width="10.83203125" style="70"/>
    <col min="5" max="5" width="10.83203125" style="88" customWidth="1"/>
    <col min="6" max="6" width="15.33203125" style="70" customWidth="1"/>
    <col min="7" max="7" width="26.6640625" style="91" customWidth="1"/>
    <col min="8" max="8" width="41.5" style="68" customWidth="1"/>
    <col min="9" max="9" width="4.33203125" style="62" customWidth="1"/>
    <col min="10" max="16384" width="10.83203125" style="62"/>
  </cols>
  <sheetData>
    <row r="1" spans="1:8" ht="24">
      <c r="B1" s="76" t="s">
        <v>19</v>
      </c>
      <c r="C1" s="220">
        <f ca="1">SUM(INDEX(PO_Log, 2, 7):INDEX(PO_Log, ROWS(PO_Log)-1, 7))</f>
        <v>14400</v>
      </c>
    </row>
    <row r="2" spans="1:8" ht="29" customHeight="1">
      <c r="B2" s="77"/>
      <c r="C2" s="77"/>
      <c r="D2" s="78"/>
      <c r="E2" s="89"/>
      <c r="F2" s="78"/>
      <c r="G2" s="92"/>
      <c r="H2" s="77"/>
    </row>
    <row r="3" spans="1:8">
      <c r="C3" s="69"/>
      <c r="D3" s="71"/>
      <c r="E3" s="73"/>
      <c r="F3" s="71"/>
      <c r="G3" s="93"/>
      <c r="H3" s="69"/>
    </row>
    <row r="4" spans="1:8" ht="23">
      <c r="B4" s="221" t="s">
        <v>14</v>
      </c>
      <c r="C4" s="221"/>
      <c r="D4" s="221"/>
      <c r="E4" s="221"/>
      <c r="F4" s="221"/>
      <c r="G4" s="221"/>
      <c r="H4" s="221"/>
    </row>
    <row r="5" spans="1:8">
      <c r="B5" s="69"/>
      <c r="C5" s="69"/>
      <c r="D5" s="71"/>
      <c r="E5" s="73"/>
      <c r="F5" s="71"/>
      <c r="G5" s="93"/>
      <c r="H5" s="69"/>
    </row>
    <row r="6" spans="1:8">
      <c r="B6" s="65" t="s">
        <v>4</v>
      </c>
      <c r="C6" s="65" t="s">
        <v>15</v>
      </c>
      <c r="D6" s="65" t="s">
        <v>16</v>
      </c>
      <c r="E6" s="65" t="s">
        <v>11</v>
      </c>
      <c r="F6" s="65" t="s">
        <v>17</v>
      </c>
      <c r="G6" s="65" t="s">
        <v>240</v>
      </c>
      <c r="H6" s="65" t="s">
        <v>18</v>
      </c>
    </row>
    <row r="7" spans="1:8">
      <c r="A7" s="265" t="str" cm="1">
        <f t="array" aca="1" ref="A7:H11" ca="1">_xlfn.LET(
    _xlpm.poList, PO_Index[PO],
    _xlpm.rowCounts, PO_Index[RowCount],
    _xlpm.firstPO, _xlfn.TAKE(
        INDIRECT("'" &amp; INDEX(_xlpm.poList, 1) &amp; "'!_" &amp; SUBSTITUTE(INDEX(_xlpm.poList, 1), "-", "_") &amp; "_table"),
        INDEX(_xlpm.rowCounts, 1)
    ),
    _xlfn.REDUCE(
        _xlpm.firstPO, _xlfn.SEQUENCE(ROWS(_xlpm.poList)-1, ,2),
        _xlfn.LAMBDA(_xlpm.a,_xlpm.i,
            _xlfn.VSTACK(_xlpm.a, _xlfn.TAKE(
                INDIRECT("'" &amp; INDEX(_xlpm.poList, _xlpm.i) &amp; "'!_" &amp; SUBSTITUTE(INDEX(_xlpm.poList, _xlpm.i), "-", "_") &amp; "_table"),
                INDEX(_xlpm.rowCounts, _xlpm.i)
            ))
        )
    )
)</f>
        <v>#A</v>
      </c>
      <c r="B7" s="74">
        <f ca="1"/>
        <v>1</v>
      </c>
      <c r="C7" s="74" t="str">
        <f ca="1"/>
        <v>Line Producer</v>
      </c>
      <c r="D7" s="75" t="str">
        <f ca="1"/>
        <v>2499-001</v>
      </c>
      <c r="E7" s="86" t="str">
        <f ca="1"/>
        <v>NA</v>
      </c>
      <c r="F7" s="75" t="str">
        <f ca="1"/>
        <v>DUE</v>
      </c>
      <c r="G7" s="267">
        <f ca="1"/>
        <v>2400</v>
      </c>
      <c r="H7" s="66" t="str">
        <f ca="1"/>
        <v>Line Producer</v>
      </c>
    </row>
    <row r="8" spans="1:8">
      <c r="A8" s="264" t="str">
        <f ca="1"/>
        <v>#B</v>
      </c>
      <c r="B8" s="74">
        <f ca="1"/>
        <v>51</v>
      </c>
      <c r="C8" s="74" t="str">
        <f ca="1"/>
        <v>Line Producer</v>
      </c>
      <c r="D8" s="75" t="str">
        <f ca="1"/>
        <v>2499-001</v>
      </c>
      <c r="E8" s="86" t="str">
        <f ca="1"/>
        <v>NA</v>
      </c>
      <c r="F8" s="75" t="str">
        <f ca="1"/>
        <v>DUE</v>
      </c>
      <c r="G8" s="267">
        <f ca="1"/>
        <v>12000</v>
      </c>
      <c r="H8" s="66" t="str">
        <f ca="1"/>
        <v>Line Producer</v>
      </c>
    </row>
    <row r="9" spans="1:8">
      <c r="A9" s="264" t="str">
        <f ca="1"/>
        <v>#A</v>
      </c>
      <c r="B9" s="74">
        <f ca="1"/>
        <v>49</v>
      </c>
      <c r="C9" s="74" t="str">
        <f ca="1"/>
        <v>PA Dude</v>
      </c>
      <c r="D9" s="75" t="str">
        <f ca="1"/>
        <v>2499-002</v>
      </c>
      <c r="E9" s="86" t="str">
        <f ca="1"/>
        <v>NA</v>
      </c>
      <c r="F9" s="75" t="str">
        <f ca="1"/>
        <v>DUE</v>
      </c>
      <c r="G9" s="267">
        <f ca="1"/>
        <v>1500</v>
      </c>
      <c r="H9" s="66" t="str">
        <f ca="1"/>
        <v>Production Assistants</v>
      </c>
    </row>
    <row r="10" spans="1:8">
      <c r="A10" s="264" t="str">
        <f ca="1"/>
        <v>#B</v>
      </c>
      <c r="B10" s="74">
        <f ca="1"/>
        <v>99</v>
      </c>
      <c r="C10" s="74" t="str">
        <f ca="1"/>
        <v>PA Dude</v>
      </c>
      <c r="D10" s="75" t="str">
        <f ca="1"/>
        <v>2499-002</v>
      </c>
      <c r="E10" s="86" t="str">
        <f ca="1"/>
        <v>NA</v>
      </c>
      <c r="F10" s="75" t="str">
        <f ca="1"/>
        <v>DUE</v>
      </c>
      <c r="G10" s="267">
        <f ca="1"/>
        <v>600</v>
      </c>
      <c r="H10" s="66" t="str">
        <f ca="1"/>
        <v>Production Assistants</v>
      </c>
    </row>
    <row r="11" spans="1:8">
      <c r="A11" s="264" t="str">
        <f ca="1"/>
        <v>#A</v>
      </c>
      <c r="B11" s="74">
        <f ca="1"/>
        <v>207</v>
      </c>
      <c r="C11" s="74" t="str">
        <f ca="1"/>
        <v>DIT Girl</v>
      </c>
      <c r="D11" s="75" t="str">
        <f ca="1"/>
        <v>2499-003</v>
      </c>
      <c r="E11" s="86">
        <f ca="1"/>
        <v>45717</v>
      </c>
      <c r="F11" s="75" t="str">
        <f ca="1"/>
        <v>VISA 2459</v>
      </c>
      <c r="G11" s="267">
        <f ca="1"/>
        <v>2400</v>
      </c>
      <c r="H11" s="66" t="str">
        <f ca="1"/>
        <v>DIT Equipment</v>
      </c>
    </row>
    <row r="12" spans="1:8">
      <c r="B12" s="74"/>
      <c r="C12" s="74"/>
      <c r="D12" s="75"/>
      <c r="E12" s="86"/>
      <c r="F12" s="75"/>
      <c r="G12" s="267"/>
      <c r="H12" s="66"/>
    </row>
    <row r="13" spans="1:8">
      <c r="B13" s="74"/>
      <c r="C13" s="74"/>
      <c r="D13" s="75"/>
      <c r="E13" s="86"/>
      <c r="F13" s="75"/>
      <c r="G13" s="267"/>
      <c r="H13" s="66"/>
    </row>
    <row r="14" spans="1:8">
      <c r="B14" s="74"/>
      <c r="C14" s="74"/>
      <c r="D14" s="75"/>
      <c r="E14" s="86"/>
      <c r="F14" s="75"/>
      <c r="G14" s="267"/>
      <c r="H14" s="66"/>
    </row>
    <row r="15" spans="1:8">
      <c r="B15" s="74"/>
      <c r="C15" s="74"/>
      <c r="D15" s="75"/>
      <c r="E15" s="86"/>
      <c r="F15" s="75"/>
      <c r="G15" s="267"/>
      <c r="H15" s="66"/>
    </row>
    <row r="16" spans="1:8">
      <c r="B16" s="74"/>
      <c r="C16" s="74"/>
      <c r="D16" s="75"/>
      <c r="E16" s="86"/>
      <c r="F16" s="75"/>
      <c r="G16" s="267"/>
      <c r="H16" s="66"/>
    </row>
    <row r="17" spans="2:12" ht="16" customHeight="1">
      <c r="B17" s="74"/>
      <c r="C17" s="74"/>
      <c r="D17" s="75"/>
      <c r="E17" s="86"/>
      <c r="F17" s="75"/>
      <c r="G17" s="267"/>
      <c r="H17" s="66"/>
      <c r="L17" s="63"/>
    </row>
    <row r="18" spans="2:12" ht="17" customHeight="1">
      <c r="B18" s="74"/>
      <c r="C18" s="74"/>
      <c r="D18" s="75"/>
      <c r="E18" s="86"/>
      <c r="F18" s="75"/>
      <c r="G18" s="267"/>
      <c r="H18" s="66"/>
      <c r="J18" s="64"/>
      <c r="K18" s="63"/>
      <c r="L18" s="63"/>
    </row>
    <row r="19" spans="2:12">
      <c r="B19" s="74"/>
      <c r="C19" s="74"/>
      <c r="D19" s="75"/>
      <c r="E19" s="86"/>
      <c r="F19" s="75"/>
      <c r="G19" s="267"/>
      <c r="H19" s="66"/>
    </row>
    <row r="20" spans="2:12">
      <c r="B20" s="74"/>
      <c r="C20" s="74"/>
      <c r="D20" s="75"/>
      <c r="E20" s="86"/>
      <c r="F20" s="75"/>
      <c r="G20" s="267"/>
      <c r="H20" s="66"/>
    </row>
    <row r="21" spans="2:12">
      <c r="B21" s="74"/>
      <c r="C21" s="74"/>
      <c r="D21" s="75"/>
      <c r="E21" s="86"/>
      <c r="F21" s="75"/>
      <c r="G21" s="267"/>
      <c r="H21" s="66"/>
    </row>
    <row r="22" spans="2:12">
      <c r="B22" s="67"/>
      <c r="C22" s="67"/>
      <c r="D22" s="72"/>
      <c r="E22" s="87"/>
      <c r="F22" s="72"/>
      <c r="G22" s="90"/>
      <c r="H22" s="67"/>
    </row>
    <row r="23" spans="2:12">
      <c r="B23" s="67"/>
      <c r="C23" s="67"/>
      <c r="D23" s="72"/>
      <c r="E23" s="87"/>
      <c r="F23" s="72"/>
      <c r="G23" s="90"/>
      <c r="H23" s="67"/>
    </row>
    <row r="24" spans="2:12">
      <c r="B24" s="67"/>
      <c r="C24" s="67"/>
      <c r="D24" s="72"/>
      <c r="E24" s="87"/>
      <c r="F24" s="72"/>
      <c r="G24" s="90"/>
      <c r="H24" s="67"/>
    </row>
    <row r="25" spans="2:12">
      <c r="B25" s="67"/>
      <c r="C25" s="67"/>
      <c r="D25" s="72"/>
      <c r="E25" s="87"/>
      <c r="F25" s="72"/>
      <c r="G25" s="90"/>
      <c r="H25" s="67"/>
    </row>
    <row r="26" spans="2:12">
      <c r="B26" s="67"/>
      <c r="C26" s="67"/>
      <c r="D26" s="72"/>
      <c r="E26" s="87"/>
      <c r="F26" s="72"/>
      <c r="G26" s="90"/>
      <c r="H26" s="67"/>
    </row>
    <row r="27" spans="2:12">
      <c r="B27" s="67"/>
      <c r="C27" s="67"/>
      <c r="D27" s="72"/>
      <c r="E27" s="87"/>
      <c r="F27" s="72"/>
      <c r="G27" s="90"/>
      <c r="H27" s="67"/>
    </row>
    <row r="28" spans="2:12">
      <c r="B28" s="67"/>
      <c r="C28" s="67"/>
      <c r="D28" s="72"/>
      <c r="E28" s="87"/>
      <c r="F28" s="72"/>
      <c r="G28" s="90"/>
      <c r="H28" s="67"/>
    </row>
    <row r="29" spans="2:12">
      <c r="B29" s="67"/>
      <c r="C29" s="67"/>
      <c r="D29" s="72"/>
      <c r="E29" s="87"/>
      <c r="F29" s="72"/>
      <c r="G29" s="90"/>
      <c r="H29" s="67"/>
    </row>
    <row r="30" spans="2:12">
      <c r="B30" s="67"/>
      <c r="C30" s="67"/>
      <c r="D30" s="72"/>
      <c r="E30" s="87"/>
      <c r="F30" s="72"/>
      <c r="G30" s="90"/>
      <c r="H30" s="67"/>
    </row>
    <row r="31" spans="2:12">
      <c r="B31" s="67"/>
      <c r="C31" s="67"/>
      <c r="D31" s="72"/>
      <c r="E31" s="87"/>
      <c r="F31" s="72"/>
      <c r="G31" s="90"/>
      <c r="H31" s="67"/>
    </row>
    <row r="32" spans="2:12">
      <c r="B32" s="67"/>
      <c r="C32" s="67"/>
      <c r="D32" s="72"/>
      <c r="E32" s="87"/>
      <c r="F32" s="72"/>
      <c r="G32" s="90"/>
      <c r="H32" s="67"/>
    </row>
    <row r="33" spans="2:8">
      <c r="B33" s="67"/>
      <c r="C33" s="67"/>
      <c r="D33" s="72"/>
      <c r="E33" s="87"/>
      <c r="F33" s="72"/>
      <c r="G33" s="90"/>
      <c r="H33" s="67"/>
    </row>
    <row r="34" spans="2:8">
      <c r="B34" s="67"/>
      <c r="C34" s="67"/>
      <c r="D34" s="72"/>
      <c r="E34" s="87"/>
      <c r="F34" s="72"/>
      <c r="G34" s="90"/>
      <c r="H34" s="67"/>
    </row>
    <row r="35" spans="2:8">
      <c r="B35" s="67"/>
      <c r="C35" s="67"/>
      <c r="D35" s="72"/>
      <c r="E35" s="87"/>
      <c r="F35" s="72"/>
      <c r="G35" s="90"/>
      <c r="H35" s="67"/>
    </row>
    <row r="36" spans="2:8">
      <c r="B36" s="67"/>
      <c r="C36" s="67"/>
      <c r="D36" s="72"/>
      <c r="E36" s="87"/>
      <c r="F36" s="72"/>
      <c r="G36" s="90"/>
      <c r="H36" s="67"/>
    </row>
    <row r="37" spans="2:8">
      <c r="B37" s="67"/>
      <c r="C37" s="67"/>
      <c r="D37" s="72"/>
      <c r="E37" s="87"/>
      <c r="F37" s="72"/>
      <c r="G37" s="90"/>
      <c r="H37" s="67"/>
    </row>
    <row r="38" spans="2:8">
      <c r="B38" s="67"/>
      <c r="C38" s="67"/>
      <c r="D38" s="72"/>
      <c r="E38" s="87"/>
      <c r="F38" s="72"/>
      <c r="G38" s="90"/>
      <c r="H38" s="67"/>
    </row>
    <row r="39" spans="2:8">
      <c r="B39" s="67"/>
      <c r="C39" s="67"/>
      <c r="D39" s="72"/>
      <c r="E39" s="87"/>
      <c r="F39" s="72"/>
      <c r="G39" s="90"/>
      <c r="H39" s="67"/>
    </row>
  </sheetData>
  <sheetProtection formatCells="0" formatColumns="0" formatRows="0" sort="0"/>
  <mergeCells count="1">
    <mergeCell ref="B4:H4"/>
  </mergeCells>
  <conditionalFormatting sqref="H7:H21">
    <cfRule type="containsText" dxfId="9" priority="2" operator="containsText" text="zzzz">
      <formula>NOT(ISERROR(SEARCH("zzzz",H7)))</formula>
    </cfRule>
  </conditionalFormatting>
  <conditionalFormatting sqref="B7:H500">
    <cfRule type="expression" dxfId="8" priority="1">
      <formula>INDEX($B$7:$H$500, ROW(B7)-ROW($B$7)+1, COLUMN(B7)-COLUMN($B$7)+1)&lt;&gt;""</formula>
    </cfRule>
  </conditionalFormatting>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4075C-EB0E-8B4F-85C4-CA1785943305}">
  <sheetPr codeName="Sheet6">
    <pageSetUpPr fitToPage="1"/>
  </sheetPr>
  <dimension ref="A1:AX52"/>
  <sheetViews>
    <sheetView topLeftCell="C1" zoomScale="75" zoomScaleNormal="100" workbookViewId="0">
      <selection activeCell="AD22" sqref="AD22"/>
    </sheetView>
    <sheetView topLeftCell="B34" zoomScale="84" zoomScaleNormal="130" workbookViewId="1">
      <selection activeCell="H25" sqref="H25"/>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241</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256</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373</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262</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305</v>
      </c>
      <c r="L20" s="228" cm="1">
        <f t="array" ref="L20:S22">IFERROR(
    _xlfn.WRAPCOLS(
        _xlfn.TOCOL(
            INDEX(
                _xlfn._xlws.FILTER(
                    _xlfn.UNIQUE(_xlfn.HSTACK(LineEntry, DateEntry, PayIDEntry)),
                    _xlfn.BYROW(_xlfn.UNIQUE(_xlfn.HSTACK(LineEntry, DateEntry, PayIDEntry)), _xlfn.LAMBDA(_xlpm.row, AND(_xlpm.row&lt;&gt;"")))
                ),
                _xlfn.SEQUENCE(8,1),
                {1,2,3}
            )
        ),
        3
    ),
    ""
)</f>
        <v>112</v>
      </c>
      <c r="M20" s="229" t="str">
        <v/>
      </c>
      <c r="N20" s="229" t="str">
        <v/>
      </c>
      <c r="O20" s="229" t="str">
        <v/>
      </c>
      <c r="P20" s="229" t="str">
        <v/>
      </c>
      <c r="Q20" s="229" t="str">
        <v/>
      </c>
      <c r="R20" s="229" t="str">
        <v/>
      </c>
      <c r="S20" s="229" t="str">
        <v/>
      </c>
      <c r="T20" s="230"/>
      <c r="U20" s="231" cm="1">
        <f t="array" ref="U20">SUMPRODUCT(--(TRIM(L20:T20)&lt;&gt;""))</f>
        <v>1</v>
      </c>
      <c r="V20" s="232" t="s">
        <v>305</v>
      </c>
      <c r="W20" s="233" cm="1">
        <f t="array" ref="W20:W22">IF(U20=0,"",TRANSPOSE(_xlfn._xlws.SORT(TRANSPOSE(INDEX(L20:T22,_xlfn.SEQUENCE(ROWS(L20:T22)),_xlfn.SEQUENCE(,U20))),1,TRUE)))</f>
        <v>112</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306</v>
      </c>
      <c r="L21" s="234">
        <v>45721</v>
      </c>
      <c r="M21" s="235" t="str">
        <v/>
      </c>
      <c r="N21" s="235" t="str">
        <v/>
      </c>
      <c r="O21" s="235" t="str">
        <v/>
      </c>
      <c r="P21" s="235" t="str">
        <v/>
      </c>
      <c r="Q21" s="235" t="str">
        <v/>
      </c>
      <c r="R21" s="235" t="str">
        <v/>
      </c>
      <c r="S21" s="235" t="str">
        <v/>
      </c>
      <c r="T21" s="236"/>
      <c r="U21" s="231"/>
      <c r="V21" s="232" t="s">
        <v>306</v>
      </c>
      <c r="W21" s="237">
        <v>45721</v>
      </c>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307</v>
      </c>
      <c r="L22" s="238" t="str">
        <v>VISA</v>
      </c>
      <c r="M22" s="239" t="str">
        <v/>
      </c>
      <c r="N22" s="239" t="str">
        <v/>
      </c>
      <c r="O22" s="239" t="str">
        <v/>
      </c>
      <c r="P22" s="239" t="str">
        <v/>
      </c>
      <c r="Q22" s="239" t="str">
        <v/>
      </c>
      <c r="R22" s="239" t="str">
        <v/>
      </c>
      <c r="S22" s="239" t="str">
        <v/>
      </c>
      <c r="T22" s="240"/>
      <c r="U22" s="241"/>
      <c r="V22" s="232" t="s">
        <v>307</v>
      </c>
      <c r="W22" s="242" t="str">
        <v>VISA</v>
      </c>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299</v>
      </c>
      <c r="X23" s="245" t="s">
        <v>304</v>
      </c>
      <c r="Y23" s="245" t="s">
        <v>300</v>
      </c>
      <c r="Z23" s="245" t="s">
        <v>301</v>
      </c>
      <c r="AA23" s="245" t="s">
        <v>302</v>
      </c>
      <c r="AB23" s="245" t="s">
        <v>303</v>
      </c>
      <c r="AC23" s="245" t="s">
        <v>312</v>
      </c>
      <c r="AD23" s="245" t="s">
        <v>311</v>
      </c>
      <c r="AE23" s="245" t="s">
        <v>358</v>
      </c>
      <c r="AL23" s="102"/>
      <c r="AM23" s="102"/>
      <c r="AN23" s="102"/>
      <c r="AO23" s="102"/>
      <c r="AP23" s="102"/>
      <c r="AQ23" s="102"/>
      <c r="AR23" s="102"/>
    </row>
    <row r="24" spans="1:50" s="124" customFormat="1" ht="16" customHeight="1">
      <c r="A24" s="129"/>
      <c r="B24" s="31">
        <v>112</v>
      </c>
      <c r="C24" s="59"/>
      <c r="D24" s="60"/>
      <c r="E24" s="30">
        <v>45721</v>
      </c>
      <c r="F24" s="32" t="s">
        <v>374</v>
      </c>
      <c r="G24" s="2">
        <v>1</v>
      </c>
      <c r="H24" s="1">
        <v>350</v>
      </c>
      <c r="I24" s="227">
        <f>G24*H24</f>
        <v>350</v>
      </c>
      <c r="L24" s="244"/>
      <c r="M24" s="244"/>
      <c r="N24" s="244"/>
      <c r="O24" s="244"/>
      <c r="P24" s="244"/>
      <c r="Q24" s="244"/>
      <c r="R24" s="244"/>
      <c r="S24" s="244"/>
      <c r="T24" s="244"/>
      <c r="U24" s="244"/>
      <c r="V24" s="244"/>
      <c r="W24" s="246">
        <f>IF($B24="", "", IF(AND($I24, $B24=W$20, $E24=W$21, $F24=W$22, SUM($I$24)&gt;0), $I24, ""))</f>
        <v>350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26"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ref="I27:I34" si="1">G27*H27</f>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1"/>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1"/>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1"/>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1"/>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1"/>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1"/>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1"/>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350</v>
      </c>
      <c r="X35" s="248" t="str">
        <f>IF(SUM($X$24:$X$34), SUM($X24:$X34),"")</f>
        <v/>
      </c>
      <c r="Y35" s="249" t="str">
        <f>IF(SUM(Y$24:Y$34), SUM(Y$24:Y$34),"")</f>
        <v/>
      </c>
      <c r="Z35" s="249" t="str">
        <f>IF(SUM(Z$24:Z$34), SUM(Z$24:Z$34),"")</f>
        <v/>
      </c>
      <c r="AA35" s="249" t="str">
        <f t="shared" ref="AA35:AC35" si="2">IF(SUM(AA$24:AA$34), SUM(AA$24:AA$34),"")</f>
        <v/>
      </c>
      <c r="AB35" s="249" t="str">
        <f t="shared" si="2"/>
        <v/>
      </c>
      <c r="AC35" s="249" t="str">
        <f t="shared" si="2"/>
        <v/>
      </c>
      <c r="AD35" s="249" t="str">
        <f>IF(SUM(AD$24:AD$34), SUM(AD$24:AD$34),"")</f>
        <v/>
      </c>
      <c r="AE35" s="250" t="str">
        <f>IF(SUM($AE$24:$AE$34), SUM($AE$24:$AE$34),"")</f>
        <v/>
      </c>
    </row>
    <row r="36" spans="1:42" s="124" customFormat="1" ht="16" customHeight="1" thickBot="1">
      <c r="A36" s="129"/>
      <c r="B36" s="192" t="s">
        <v>260</v>
      </c>
      <c r="C36" s="193"/>
      <c r="D36" s="193"/>
      <c r="E36" s="193"/>
      <c r="F36" s="193"/>
      <c r="G36" s="194" t="s">
        <v>258</v>
      </c>
      <c r="H36" s="195"/>
      <c r="I36" s="222">
        <f>SUM(I23:I34)</f>
        <v>350</v>
      </c>
      <c r="L36" s="244"/>
      <c r="M36" s="244"/>
      <c r="N36" s="244"/>
      <c r="O36" s="244"/>
      <c r="P36" s="244"/>
      <c r="Q36" s="244"/>
      <c r="R36" s="244"/>
      <c r="S36" s="244"/>
      <c r="T36" s="244"/>
      <c r="U36" s="244"/>
      <c r="V36" s="244"/>
      <c r="W36" s="251" t="s">
        <v>299</v>
      </c>
      <c r="X36" s="252" t="s">
        <v>304</v>
      </c>
      <c r="Y36" s="253" t="s">
        <v>300</v>
      </c>
      <c r="Z36" s="253" t="s">
        <v>301</v>
      </c>
      <c r="AA36" s="253" t="s">
        <v>302</v>
      </c>
      <c r="AB36" s="254" t="s">
        <v>303</v>
      </c>
      <c r="AC36" s="245" t="s">
        <v>312</v>
      </c>
      <c r="AD36" s="245" t="s">
        <v>311</v>
      </c>
      <c r="AE36" s="245" t="s">
        <v>358</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257</v>
      </c>
      <c r="H38" s="200" t="s">
        <v>259</v>
      </c>
      <c r="I38" s="201"/>
    </row>
    <row r="39" spans="1:42" ht="16" customHeight="1">
      <c r="A39" s="103"/>
      <c r="B39" s="192" t="s">
        <v>261</v>
      </c>
      <c r="C39" s="193"/>
      <c r="D39" s="193"/>
      <c r="E39" s="193"/>
      <c r="F39" s="193"/>
      <c r="G39" s="196" t="s">
        <v>19</v>
      </c>
      <c r="H39" s="200"/>
      <c r="I39" s="202">
        <f>SUM(I36:I38)</f>
        <v>350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308</v>
      </c>
      <c r="AJ41" s="208"/>
      <c r="AK41" s="208"/>
      <c r="AL41" s="208"/>
      <c r="AM41" s="208"/>
      <c r="AN41" s="208"/>
      <c r="AO41" s="209"/>
      <c r="AP41" s="124"/>
    </row>
    <row r="42" spans="1:42" ht="16" customHeight="1" thickTop="1">
      <c r="G42" s="210"/>
      <c r="H42" s="210"/>
      <c r="I42" s="210"/>
      <c r="AG42" s="241"/>
      <c r="AH42" s="256" t="s">
        <v>309</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IF(TemplatePO!$AH43="#A", W20,"")</f>
        <v>112</v>
      </c>
      <c r="AJ43" s="223" t="str">
        <f>IF(TemplatePO!$AH43="#A", Vendor,"")</f>
        <v>Test Vendor</v>
      </c>
      <c r="AK43" s="224" t="str">
        <f>IF(TemplatePO!$AH43="#A", Sheet_PO,"")</f>
        <v>{{PO_NUMBER}}</v>
      </c>
      <c r="AL43" s="225">
        <f>IF(TemplatePO!$AH43="#A", W$21,"")</f>
        <v>45721</v>
      </c>
      <c r="AM43" s="224" t="str">
        <f>IF(TemplatePO!$AH43="#A", W$22,"")</f>
        <v>VISA</v>
      </c>
      <c r="AN43" s="226">
        <f>IF(TemplatePO!$AH43="#A", W$35,"")</f>
        <v>350</v>
      </c>
      <c r="AO43" s="213" t="str">
        <f>IF(TemplatePO!$AH43="#A",
      INDEX(LineNo!$B$1:$B$374, MATCH(TemplatePO!$AI43, LineNo!$A$1:$A$374, 0)),
      "")</f>
        <v>Pre Pro Meals</v>
      </c>
    </row>
    <row r="44" spans="1:42" ht="16" customHeight="1">
      <c r="C44" s="214"/>
      <c r="E44" s="214"/>
      <c r="F44" s="214"/>
      <c r="G44" s="215"/>
      <c r="H44" s="215"/>
      <c r="I44" s="216"/>
      <c r="AG44" s="241"/>
      <c r="AH44" s="258" t="str">
        <f>IF(SUM($X$24:$X$34), "#B", "")</f>
        <v/>
      </c>
      <c r="AI44" s="223" t="str">
        <f>IF(TemplatePO!$AH44="#B", X20,"")</f>
        <v/>
      </c>
      <c r="AJ44" s="223" t="str">
        <f>IF(TemplatePO!$AH44="#B", Vendor,"")</f>
        <v/>
      </c>
      <c r="AK44" s="224" t="str">
        <f>IF(TemplatePO!$AH44="#B", Sheet_PO,"")</f>
        <v/>
      </c>
      <c r="AL44" s="225" t="str">
        <f>IF(TemplatePO!$AH44="#B", X21,"")</f>
        <v/>
      </c>
      <c r="AM44" s="224" t="str">
        <f>IF(TemplatePO!$AH44="#B", X22,"")</f>
        <v/>
      </c>
      <c r="AN44" s="226" t="str">
        <f>IF(TemplatePO!$AH44="#B", X35,"")</f>
        <v/>
      </c>
      <c r="AO44" s="213" t="str">
        <f>IF(TemplatePO!$AH44="#B",
      INDEX(LineNo!$B$1:$B$374, MATCH(TemplatePO!$AI44, LineNo!$A$1:$A$374, 0)),
      "")</f>
        <v/>
      </c>
    </row>
    <row r="45" spans="1:42" ht="16" customHeight="1">
      <c r="AG45" s="241"/>
      <c r="AH45" s="259" t="str">
        <f>IF(SUM($Y$24:$Y$34), "#C", "")</f>
        <v/>
      </c>
      <c r="AI45" s="223" t="str">
        <f>IF(TemplatePO!$AH45="#C", Y20,"")</f>
        <v/>
      </c>
      <c r="AJ45" s="223" t="str">
        <f>IF(TemplatePO!$AH45="#C", Vendor,"")</f>
        <v/>
      </c>
      <c r="AK45" s="224" t="str">
        <f>IF(TemplatePO!$AH45="#C", Sheet_PO,"")</f>
        <v/>
      </c>
      <c r="AL45" s="225" t="str">
        <f>IF(TemplatePO!$AH45="#C", Y21,"")</f>
        <v/>
      </c>
      <c r="AM45" s="224" t="str">
        <f>IF(TemplatePO!$AH45="#C", Y22,"")</f>
        <v/>
      </c>
      <c r="AN45" s="226" t="str">
        <f>IF(TemplatePO!$AH45="#C", Y35,"")</f>
        <v/>
      </c>
      <c r="AO45" s="213" t="str">
        <f>IF(TemplatePO!$AH45="#C",
      INDEX(LineNo!$B$1:$B$374, MATCH(TemplatePO!$AI45, LineNo!$A$1:$A$374, 0)),
      "")</f>
        <v/>
      </c>
    </row>
    <row r="46" spans="1:42" ht="16" customHeight="1">
      <c r="AG46" s="241"/>
      <c r="AH46" s="258" t="str">
        <f>IF(SUM($Z$24:$Z$34), "#D", "")</f>
        <v/>
      </c>
      <c r="AI46" s="223" t="str">
        <f>IF(TemplatePO!$AH46="#D", Z20,"")</f>
        <v/>
      </c>
      <c r="AJ46" s="223" t="str">
        <f>IF(TemplatePO!$AH46="#D", Vendor,"")</f>
        <v/>
      </c>
      <c r="AK46" s="224" t="str">
        <f>IF(TemplatePO!$AH46="#D", Sheet_PO,"")</f>
        <v/>
      </c>
      <c r="AL46" s="225" t="str">
        <f>IF(TemplatePO!$AH46="#D", Z21,"")</f>
        <v/>
      </c>
      <c r="AM46" s="224" t="str">
        <f>IF(TemplatePO!$AH46="#D", Z22,"")</f>
        <v/>
      </c>
      <c r="AN46" s="226" t="str">
        <f>IF(TemplatePO!$AH46="#D", Z35,"")</f>
        <v/>
      </c>
      <c r="AO46" s="213" t="str">
        <f>IF(TemplatePO!$AH46="#D",
      INDEX(LineNo!$B$1:$B$374, MATCH(TemplatePO!$AI46, LineNo!$A$1:$A$374, 0)),
      "")</f>
        <v/>
      </c>
    </row>
    <row r="47" spans="1:42" ht="16" customHeight="1">
      <c r="AG47" s="241"/>
      <c r="AH47" s="259" t="str">
        <f>IF(SUM($AA$24:$AA$34), "#E", "")</f>
        <v/>
      </c>
      <c r="AI47" s="223" t="str">
        <f>IF(TemplatePO!$AH47="#E", AA20,"")</f>
        <v/>
      </c>
      <c r="AJ47" s="223" t="str">
        <f>IF(TemplatePO!$AH47="#E", Vendor,"")</f>
        <v/>
      </c>
      <c r="AK47" s="224" t="str">
        <f>IF(TemplatePO!$AH47="#E", Sheet_PO,"")</f>
        <v/>
      </c>
      <c r="AL47" s="225" t="str">
        <f>IF(TemplatePO!$AH47="#E", AA21,"")</f>
        <v/>
      </c>
      <c r="AM47" s="224" t="str">
        <f>IF(TemplatePO!$AH47="#E", AA22,"")</f>
        <v/>
      </c>
      <c r="AN47" s="226" t="str">
        <f>IF(TemplatePO!$AH47="#E",AA35, "")</f>
        <v/>
      </c>
      <c r="AO47" s="213" t="str">
        <f>IF(TemplatePO!$AH47="#E",
      INDEX(LineNo!$B$1:$B$374, MATCH(TemplatePO!$AI47, LineNo!$A$1:$A$374, 0)),
      "")</f>
        <v/>
      </c>
    </row>
    <row r="48" spans="1:42" ht="24" customHeight="1">
      <c r="AG48" s="241"/>
      <c r="AH48" s="258" t="str">
        <f>IF(SUM($AB$24:$AB$34), "#F", "")</f>
        <v/>
      </c>
      <c r="AI48" s="223" t="str">
        <f>IF(TemplatePO!$AH48="#F", AB20,"")</f>
        <v/>
      </c>
      <c r="AJ48" s="223" t="str">
        <f>IF(TemplatePO!$AH48="#F", Vendor,"")</f>
        <v/>
      </c>
      <c r="AK48" s="224" t="str">
        <f>IF(TemplatePO!$AH48="#F", Sheet_PO,"")</f>
        <v/>
      </c>
      <c r="AL48" s="225" t="str">
        <f>IF(TemplatePO!$AH48="#F", AB21,"")</f>
        <v/>
      </c>
      <c r="AM48" s="224" t="str">
        <f>IF(TemplatePO!$AH48="#F", AB22,"")</f>
        <v/>
      </c>
      <c r="AN48" s="226" t="str">
        <f>IF(TemplatePO!$AH48="#F", AB35,"")</f>
        <v/>
      </c>
      <c r="AO48" s="213" t="str">
        <f>IF(TemplatePO!$AH48="#F",
      INDEX(LineNo!$B$1:$B$374, MATCH(TemplatePO!$AI48, LineNo!$A$1:$A$374, 0)),
      "")</f>
        <v/>
      </c>
    </row>
    <row r="49" spans="23:45" ht="16" customHeight="1">
      <c r="W49" s="217"/>
      <c r="X49" s="217"/>
      <c r="Y49" s="218"/>
      <c r="Z49" s="217"/>
      <c r="AA49" s="217"/>
      <c r="AB49" s="217"/>
      <c r="AC49" s="219"/>
      <c r="AD49" s="217"/>
      <c r="AG49" s="241"/>
      <c r="AH49" s="259" t="str">
        <f>IF(SUM($AC$24:$AC$34), "#G", "")</f>
        <v/>
      </c>
      <c r="AI49" s="223" t="str">
        <f>IF(TemplatePO!$AH49="#G", AC20,"")</f>
        <v/>
      </c>
      <c r="AJ49" s="223" t="str">
        <f>IF(TemplatePO!$AH49="#G", Vendor,"")</f>
        <v/>
      </c>
      <c r="AK49" s="224" t="str">
        <f>IF(TemplatePO!$AH49="#G", Sheet_PO,"")</f>
        <v/>
      </c>
      <c r="AL49" s="225" t="str">
        <f>IF(TemplatePO!$AH49="#G", AC21,"")</f>
        <v/>
      </c>
      <c r="AM49" s="224" t="str">
        <f>IF(TemplatePO!$AH49="#G", AC22,"")</f>
        <v/>
      </c>
      <c r="AN49" s="226" t="str">
        <f>IF(TemplatePO!$AH49="#G", AC35,"")</f>
        <v/>
      </c>
      <c r="AO49" s="213" t="str">
        <f>IF(TemplatePO!$AH49="#G",
      INDEX(LineNo!$B$1:$B$374, MATCH(TemplatePO!$AI49, LineNo!$A$1:$A$374, 0)),
      "")</f>
        <v/>
      </c>
    </row>
    <row r="50" spans="23:45" ht="19">
      <c r="AG50" s="241" t="s">
        <v>359</v>
      </c>
      <c r="AH50" s="258" t="str">
        <f>IF(SUM($AD$24:$AD$34), "#H", "")</f>
        <v/>
      </c>
      <c r="AI50" s="223" t="str">
        <f>IF(TemplatePO!$AH50="#H", AD20,"")</f>
        <v/>
      </c>
      <c r="AJ50" s="223" t="str">
        <f>IF(TemplatePO!$AH50="#H", Vendor,"")</f>
        <v/>
      </c>
      <c r="AK50" s="224" t="str">
        <f>IF(TemplatePO!$AH50="#H", Sheet_PO,"")</f>
        <v/>
      </c>
      <c r="AL50" s="225" t="str">
        <f>IF(TemplatePO!$AH50="#H", AD21,"")</f>
        <v/>
      </c>
      <c r="AM50" s="224" t="str">
        <f>IF(TemplatePO!$AH50="#H", AD22,"")</f>
        <v/>
      </c>
      <c r="AN50" s="226" t="str">
        <f>IF(TemplatePO!$AH50="#H", AD35,"")</f>
        <v/>
      </c>
      <c r="AO50" s="213" t="str">
        <f>IF(TemplatePO!$AH50="#H",
      INDEX(LineNo!$B$1:$B$374, MATCH(TemplatePO!$AI50, LineNo!$A$1:$A$374, 0)),
      "")</f>
        <v/>
      </c>
      <c r="AQ50" s="203"/>
      <c r="AR50" s="203"/>
      <c r="AS50" s="203"/>
    </row>
    <row r="51" spans="23:45" ht="16" thickBot="1">
      <c r="AG51" s="241" cm="1">
        <f t="array" ref="AG51">SUMPRODUCT(--(AH43:AH50&lt;&gt;""))</f>
        <v>1</v>
      </c>
      <c r="AH51" s="260" t="str">
        <f>IF(SUM($AE$24:$AE$34), "#OTHER", "")</f>
        <v/>
      </c>
      <c r="AI51" s="79"/>
      <c r="AJ51" s="80" t="str">
        <f>IF(TemplatePO!$AH51="#OTHER", Vendor,"")</f>
        <v/>
      </c>
      <c r="AK51" s="81" t="str">
        <f>IF(TemplatePO!$AH51="#OTHER", Sheet_PO,"")</f>
        <v/>
      </c>
      <c r="AL51" s="82"/>
      <c r="AM51" s="83"/>
      <c r="AN51" s="84" t="str">
        <f>IF(TemplatePO!$AH51="#OTHER", AE35,"")</f>
        <v/>
      </c>
      <c r="AO51" s="85" t="str">
        <f>IF(TemplatePO!$AH51="#OTHER",
     "Line No., Date, Pay ID required for PO Log",
     "")</f>
        <v/>
      </c>
    </row>
    <row r="52" spans="23:45" hidden="1">
      <c r="AM52" s="241" t="s">
        <v>360</v>
      </c>
      <c r="AN52" s="261">
        <f>SUM(Template_table[ACTUAL])</f>
        <v>350</v>
      </c>
    </row>
  </sheetData>
  <sheetProtection formatCells="0" formatColumns="0" formatRows="0" insertHyperlinks="0"/>
  <mergeCells count="38">
    <mergeCell ref="C34:D34"/>
    <mergeCell ref="C31:D31"/>
    <mergeCell ref="B22:I22"/>
    <mergeCell ref="C23:D23"/>
    <mergeCell ref="C28:D28"/>
    <mergeCell ref="C29:D29"/>
    <mergeCell ref="C30:D30"/>
    <mergeCell ref="C27:D27"/>
    <mergeCell ref="C18:E18"/>
    <mergeCell ref="F18:I18"/>
    <mergeCell ref="C32:D32"/>
    <mergeCell ref="C33:D33"/>
    <mergeCell ref="C9:D9"/>
    <mergeCell ref="F9:I9"/>
    <mergeCell ref="AI41:AO41"/>
    <mergeCell ref="C10:D10"/>
    <mergeCell ref="F10:I10"/>
    <mergeCell ref="C24:D24"/>
    <mergeCell ref="C11:D11"/>
    <mergeCell ref="C12:D12"/>
    <mergeCell ref="C13:D13"/>
    <mergeCell ref="F13:I13"/>
    <mergeCell ref="C14:D14"/>
    <mergeCell ref="F19:I19"/>
    <mergeCell ref="F14:I14"/>
    <mergeCell ref="C19:E19"/>
    <mergeCell ref="C25:D25"/>
    <mergeCell ref="C26:D26"/>
    <mergeCell ref="E5:H6"/>
    <mergeCell ref="B7:C7"/>
    <mergeCell ref="D7:E7"/>
    <mergeCell ref="C5:D5"/>
    <mergeCell ref="C6:D6"/>
    <mergeCell ref="G1:I1"/>
    <mergeCell ref="B2:C2"/>
    <mergeCell ref="D2:G2"/>
    <mergeCell ref="G3:I3"/>
    <mergeCell ref="B4:G4"/>
  </mergeCells>
  <conditionalFormatting sqref="AO51">
    <cfRule type="containsText" dxfId="7" priority="2" operator="containsText" text="zzzz">
      <formula>NOT(ISERROR(SEARCH("zzzz",AO51)))</formula>
    </cfRule>
  </conditionalFormatting>
  <conditionalFormatting sqref="AO43:AO50">
    <cfRule type="containsText" dxfId="6"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C3D5F4-F40F-264A-85F5-380A5C595EF8}">
  <sheetPr codeName="Sheet7">
    <pageSetUpPr fitToPage="1"/>
  </sheetPr>
  <dimension ref="A1:AX52"/>
  <sheetViews>
    <sheetView topLeftCell="C1" zoomScale="75" zoomScaleNormal="100" workbookViewId="0">
      <selection activeCell="AD22" sqref="AD22"/>
    </sheetView>
    <sheetView topLeftCell="A5" workbookViewId="1">
      <selection activeCell="C10" sqref="C10:D10"/>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298</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256</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22</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262</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305</v>
      </c>
      <c r="L20" s="228" cm="1">
        <f t="array" ref="L20:S22">IFERROR(
    _xlfn.WRAPCOLS(
        _xlfn.TOCOL(
            INDEX(
                _xlfn._xlws.FILTER(
                    _xlfn.UNIQUE(_xlfn.HSTACK(LineEntry, DateEntry, PayIDEntry)),
                    _xlfn.BYROW(_xlfn.UNIQUE(_xlfn.HSTACK(LineEntry, DateEntry, PayIDEntry)), _xlfn.LAMBDA(_xlpm.row, AND(_xlpm.row&lt;&gt;"")))
                ),
                _xlfn.SEQUENCE(8,1),
                {1,2,3}
            )
        ),
        3
    ),
    ""
)</f>
        <v>1</v>
      </c>
      <c r="M20" s="229">
        <v>51</v>
      </c>
      <c r="N20" s="229" t="str">
        <v/>
      </c>
      <c r="O20" s="229" t="str">
        <v/>
      </c>
      <c r="P20" s="229" t="str">
        <v/>
      </c>
      <c r="Q20" s="229" t="str">
        <v/>
      </c>
      <c r="R20" s="229" t="str">
        <v/>
      </c>
      <c r="S20" s="229" t="str">
        <v/>
      </c>
      <c r="T20" s="230"/>
      <c r="U20" s="231" cm="1">
        <f t="array" ref="U20">SUMPRODUCT(--(TRIM(L20:T20)&lt;&gt;""))</f>
        <v>2</v>
      </c>
      <c r="V20" s="232" t="s">
        <v>305</v>
      </c>
      <c r="W20" s="233" cm="1">
        <f t="array" ref="W20:X22">IF(U20=0,"",TRANSPOSE(_xlfn._xlws.SORT(TRANSPOSE(INDEX(L20:T22,_xlfn.SEQUENCE(ROWS(L20:T22)),_xlfn.SEQUENCE(,U20))),1,TRUE)))</f>
        <v>1</v>
      </c>
      <c r="X20" s="233">
        <v>51</v>
      </c>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306</v>
      </c>
      <c r="L21" s="234" t="str">
        <v>NA</v>
      </c>
      <c r="M21" s="235" t="str">
        <v>NA</v>
      </c>
      <c r="N21" s="235" t="str">
        <v/>
      </c>
      <c r="O21" s="235" t="str">
        <v/>
      </c>
      <c r="P21" s="235" t="str">
        <v/>
      </c>
      <c r="Q21" s="235" t="str">
        <v/>
      </c>
      <c r="R21" s="235" t="str">
        <v/>
      </c>
      <c r="S21" s="235" t="str">
        <v/>
      </c>
      <c r="T21" s="236"/>
      <c r="U21" s="231"/>
      <c r="V21" s="232" t="s">
        <v>306</v>
      </c>
      <c r="W21" s="237" t="str">
        <v>NA</v>
      </c>
      <c r="X21" s="237" t="str">
        <v>NA</v>
      </c>
      <c r="Y21" s="237"/>
      <c r="Z21" s="237"/>
      <c r="AA21" s="237"/>
      <c r="AB21" s="237"/>
      <c r="AC21" s="237"/>
      <c r="AD21" s="237"/>
      <c r="AE21" s="237"/>
      <c r="AL21" s="180"/>
    </row>
    <row r="22" spans="1:50" ht="30" customHeight="1" thickBot="1">
      <c r="A22" s="103"/>
      <c r="B22" s="181"/>
      <c r="C22" s="182"/>
      <c r="D22" s="183"/>
      <c r="E22" s="183"/>
      <c r="F22" s="183"/>
      <c r="G22" s="183"/>
      <c r="H22" s="183"/>
      <c r="I22" s="184"/>
      <c r="K22" s="179" t="s">
        <v>307</v>
      </c>
      <c r="L22" s="238" t="str">
        <v>DUE</v>
      </c>
      <c r="M22" s="239" t="str">
        <v>DUE</v>
      </c>
      <c r="N22" s="239" t="str">
        <v/>
      </c>
      <c r="O22" s="239" t="str">
        <v/>
      </c>
      <c r="P22" s="239" t="str">
        <v/>
      </c>
      <c r="Q22" s="239" t="str">
        <v/>
      </c>
      <c r="R22" s="239" t="str">
        <v/>
      </c>
      <c r="S22" s="239" t="str">
        <v/>
      </c>
      <c r="T22" s="240"/>
      <c r="U22" s="241"/>
      <c r="V22" s="232" t="s">
        <v>307</v>
      </c>
      <c r="W22" s="242" t="str">
        <v>DUE</v>
      </c>
      <c r="X22" s="242" t="str">
        <v>DUE</v>
      </c>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299</v>
      </c>
      <c r="X23" s="245" t="s">
        <v>304</v>
      </c>
      <c r="Y23" s="245" t="s">
        <v>300</v>
      </c>
      <c r="Z23" s="245" t="s">
        <v>301</v>
      </c>
      <c r="AA23" s="245" t="s">
        <v>302</v>
      </c>
      <c r="AB23" s="245" t="s">
        <v>303</v>
      </c>
      <c r="AC23" s="245" t="s">
        <v>312</v>
      </c>
      <c r="AD23" s="245" t="s">
        <v>311</v>
      </c>
      <c r="AE23" s="245" t="s">
        <v>358</v>
      </c>
      <c r="AL23" s="102"/>
      <c r="AM23" s="102"/>
      <c r="AN23" s="102"/>
      <c r="AO23" s="102"/>
      <c r="AP23" s="102"/>
      <c r="AQ23" s="102"/>
      <c r="AR23" s="102"/>
    </row>
    <row r="24" spans="1:50" s="124" customFormat="1" ht="16" customHeight="1">
      <c r="A24" s="129"/>
      <c r="B24" s="271">
        <v>1</v>
      </c>
      <c r="C24" s="283" t="s">
        <v>364</v>
      </c>
      <c r="D24" s="284"/>
      <c r="E24" s="272" t="s">
        <v>367</v>
      </c>
      <c r="F24" s="273" t="s">
        <v>366</v>
      </c>
      <c r="G24" s="274">
        <v>2</v>
      </c>
      <c r="H24" s="275">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278">
        <v>51</v>
      </c>
      <c r="C25" s="285" t="s">
        <v>365</v>
      </c>
      <c r="D25" s="286"/>
      <c r="E25" s="279" t="s">
        <v>367</v>
      </c>
      <c r="F25" s="280" t="s">
        <v>366</v>
      </c>
      <c r="G25" s="281">
        <v>10</v>
      </c>
      <c r="H25" s="282">
        <v>1200</v>
      </c>
      <c r="I25" s="227">
        <f t="shared" ref="I25:I34" si="0">G25*H25</f>
        <v>12000</v>
      </c>
      <c r="L25" s="244"/>
      <c r="M25" s="244"/>
      <c r="N25" s="244"/>
      <c r="O25" s="244"/>
      <c r="P25" s="244"/>
      <c r="Q25" s="244"/>
      <c r="R25" s="244"/>
      <c r="S25" s="244"/>
      <c r="T25" s="244"/>
      <c r="U25" s="244"/>
      <c r="V25" s="244"/>
      <c r="W25" s="246" t="str">
        <f>IF($B25="", "", IF(AND($I25, $B25=W$20, $E25=W$21, $F25=W$22, SUM($I$25)&gt;0), $I25, ""))</f>
        <v/>
      </c>
      <c r="X25" s="246">
        <f>IF($B25="", "", IF(AND($I25, $B25=X$20, $E25=X$21, $F25=X$22, SUM($I$25)&gt;0), $I25, ""))</f>
        <v>12000</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f>IF(SUM($X$24:$X$34), SUM($X24:$X34),"")</f>
        <v>12000</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260</v>
      </c>
      <c r="C36" s="193"/>
      <c r="D36" s="193"/>
      <c r="E36" s="193"/>
      <c r="F36" s="193"/>
      <c r="G36" s="194" t="s">
        <v>258</v>
      </c>
      <c r="H36" s="195"/>
      <c r="I36" s="222">
        <f>SUM(I23:I34)</f>
        <v>14400</v>
      </c>
      <c r="L36" s="244"/>
      <c r="M36" s="244"/>
      <c r="N36" s="244"/>
      <c r="O36" s="244"/>
      <c r="P36" s="244"/>
      <c r="Q36" s="244"/>
      <c r="R36" s="244"/>
      <c r="S36" s="244"/>
      <c r="T36" s="244"/>
      <c r="U36" s="244"/>
      <c r="V36" s="244"/>
      <c r="W36" s="251" t="s">
        <v>299</v>
      </c>
      <c r="X36" s="252" t="s">
        <v>304</v>
      </c>
      <c r="Y36" s="253" t="s">
        <v>300</v>
      </c>
      <c r="Z36" s="253" t="s">
        <v>301</v>
      </c>
      <c r="AA36" s="253" t="s">
        <v>302</v>
      </c>
      <c r="AB36" s="254" t="s">
        <v>303</v>
      </c>
      <c r="AC36" s="245" t="s">
        <v>312</v>
      </c>
      <c r="AD36" s="245" t="s">
        <v>311</v>
      </c>
      <c r="AE36" s="245" t="s">
        <v>358</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257</v>
      </c>
      <c r="H38" s="200" t="s">
        <v>259</v>
      </c>
      <c r="I38" s="201"/>
    </row>
    <row r="39" spans="1:42" ht="16" customHeight="1">
      <c r="A39" s="103"/>
      <c r="B39" s="192" t="s">
        <v>261</v>
      </c>
      <c r="C39" s="193"/>
      <c r="D39" s="193"/>
      <c r="E39" s="193"/>
      <c r="F39" s="193"/>
      <c r="G39" s="196" t="s">
        <v>19</v>
      </c>
      <c r="H39" s="200"/>
      <c r="I39" s="202">
        <f>SUM(I36:I38)</f>
        <v>14400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308</v>
      </c>
      <c r="AJ41" s="208"/>
      <c r="AK41" s="208"/>
      <c r="AL41" s="208"/>
      <c r="AM41" s="208"/>
      <c r="AN41" s="208"/>
      <c r="AO41" s="209"/>
      <c r="AP41" s="124"/>
    </row>
    <row r="42" spans="1:42" ht="16" customHeight="1" thickTop="1">
      <c r="G42" s="210"/>
      <c r="H42" s="210"/>
      <c r="I42" s="210"/>
      <c r="AG42" s="241"/>
      <c r="AH42" s="256" t="s">
        <v>309</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IF('2499-001'!$AH43="#A", W20,"")</f>
        <v>1</v>
      </c>
      <c r="AJ43" s="223" t="str">
        <f>IF('2499-001'!$AH43="#A", Vendor,"")</f>
        <v>Line Producer</v>
      </c>
      <c r="AK43" s="224" t="str">
        <f>IF('2499-001'!$AH43="#A", Sheet_PO,"")</f>
        <v>2499-001</v>
      </c>
      <c r="AL43" s="225" t="str">
        <f>IF('2499-001'!$AH43="#A", W$21,"")</f>
        <v>NA</v>
      </c>
      <c r="AM43" s="224" t="str">
        <f>IF('2499-001'!$AH43="#A", W$22,"")</f>
        <v>DUE</v>
      </c>
      <c r="AN43" s="226">
        <f>IF('2499-001'!$AH43="#A", W$35,"")</f>
        <v>2400</v>
      </c>
      <c r="AO43" s="213" t="str">
        <f>IF('2499-001'!$AH43="#A",
      INDEX(LineNo!$B$1:$B$374, MATCH('2499-001'!$AI43, LineNo!$A$1:$A$374, 0)),
      "")</f>
        <v>Line Producer</v>
      </c>
    </row>
    <row r="44" spans="1:42" ht="16" customHeight="1">
      <c r="C44" s="214"/>
      <c r="E44" s="214"/>
      <c r="F44" s="214"/>
      <c r="G44" s="215"/>
      <c r="H44" s="215"/>
      <c r="I44" s="216"/>
      <c r="AG44" s="241"/>
      <c r="AH44" s="258" t="str">
        <f>IF(SUM($X$24:$X$34), "#B", "")</f>
        <v>#B</v>
      </c>
      <c r="AI44" s="223">
        <f>IF('2499-001'!$AH44="#B", X20,"")</f>
        <v>51</v>
      </c>
      <c r="AJ44" s="223" t="str">
        <f>IF('2499-001'!$AH44="#B", Vendor,"")</f>
        <v>Line Producer</v>
      </c>
      <c r="AK44" s="224" t="str">
        <f>IF('2499-001'!$AH44="#B", Sheet_PO,"")</f>
        <v>2499-001</v>
      </c>
      <c r="AL44" s="225" t="str">
        <f>IF('2499-001'!$AH44="#B", X21,"")</f>
        <v>NA</v>
      </c>
      <c r="AM44" s="224" t="str">
        <f>IF('2499-001'!$AH44="#B", X22,"")</f>
        <v>DUE</v>
      </c>
      <c r="AN44" s="226">
        <f>IF('2499-001'!$AH44="#B", X35,"")</f>
        <v>12000</v>
      </c>
      <c r="AO44" s="213" t="str">
        <f>IF('2499-001'!$AH44="#B",
      INDEX(LineNo!$B$1:$B$374, MATCH('2499-001'!$AI44, LineNo!$A$1:$A$374, 0)),
      "")</f>
        <v>Line Producer</v>
      </c>
    </row>
    <row r="45" spans="1:42" ht="16" customHeight="1">
      <c r="AG45" s="241"/>
      <c r="AH45" s="259" t="str">
        <f>IF(SUM($Y$24:$Y$34), "#C", "")</f>
        <v/>
      </c>
      <c r="AI45" s="223" t="str">
        <f>IF('2499-001'!$AH45="#C", Y20,"")</f>
        <v/>
      </c>
      <c r="AJ45" s="223" t="str">
        <f>IF('2499-001'!$AH45="#C", Vendor,"")</f>
        <v/>
      </c>
      <c r="AK45" s="224" t="str">
        <f>IF('2499-001'!$AH45="#C", Sheet_PO,"")</f>
        <v/>
      </c>
      <c r="AL45" s="225" t="str">
        <f>IF('2499-001'!$AH45="#C", Y21,"")</f>
        <v/>
      </c>
      <c r="AM45" s="224" t="str">
        <f>IF('2499-001'!$AH45="#C", Y22,"")</f>
        <v/>
      </c>
      <c r="AN45" s="226" t="str">
        <f>IF('2499-001'!$AH45="#C", Y35,"")</f>
        <v/>
      </c>
      <c r="AO45" s="213" t="str">
        <f>IF('2499-001'!$AH45="#C",
      INDEX(LineNo!$B$1:$B$374, MATCH('2499-001'!$AI45, LineNo!$A$1:$A$374, 0)),
      "")</f>
        <v/>
      </c>
    </row>
    <row r="46" spans="1:42" ht="16" customHeight="1">
      <c r="AG46" s="241"/>
      <c r="AH46" s="258" t="str">
        <f>IF(SUM($Z$24:$Z$34), "#D", "")</f>
        <v/>
      </c>
      <c r="AI46" s="223" t="str">
        <f>IF('2499-001'!$AH46="#D", Z20,"")</f>
        <v/>
      </c>
      <c r="AJ46" s="223" t="str">
        <f>IF('2499-001'!$AH46="#D", Vendor,"")</f>
        <v/>
      </c>
      <c r="AK46" s="224" t="str">
        <f>IF('2499-001'!$AH46="#D", Sheet_PO,"")</f>
        <v/>
      </c>
      <c r="AL46" s="225" t="str">
        <f>IF('2499-001'!$AH46="#D", Z21,"")</f>
        <v/>
      </c>
      <c r="AM46" s="224" t="str">
        <f>IF('2499-001'!$AH46="#D", Z22,"")</f>
        <v/>
      </c>
      <c r="AN46" s="226" t="str">
        <f>IF('2499-001'!$AH46="#D", Z35,"")</f>
        <v/>
      </c>
      <c r="AO46" s="213" t="str">
        <f>IF('2499-001'!$AH46="#D",
      INDEX(LineNo!$B$1:$B$374, MATCH('2499-001'!$AI46, LineNo!$A$1:$A$374, 0)),
      "")</f>
        <v/>
      </c>
    </row>
    <row r="47" spans="1:42" ht="16" customHeight="1">
      <c r="AG47" s="241"/>
      <c r="AH47" s="259" t="str">
        <f>IF(SUM($AA$24:$AA$34), "#E", "")</f>
        <v/>
      </c>
      <c r="AI47" s="223" t="str">
        <f>IF('2499-001'!$AH47="#E", AA20,"")</f>
        <v/>
      </c>
      <c r="AJ47" s="223" t="str">
        <f>IF('2499-001'!$AH47="#E", Vendor,"")</f>
        <v/>
      </c>
      <c r="AK47" s="224" t="str">
        <f>IF('2499-001'!$AH47="#E", Sheet_PO,"")</f>
        <v/>
      </c>
      <c r="AL47" s="225" t="str">
        <f>IF('2499-001'!$AH47="#E", AA21,"")</f>
        <v/>
      </c>
      <c r="AM47" s="224" t="str">
        <f>IF('2499-001'!$AH47="#E", AA22,"")</f>
        <v/>
      </c>
      <c r="AN47" s="226" t="str">
        <f>IF('2499-001'!$AH47="#E",AA35, "")</f>
        <v/>
      </c>
      <c r="AO47" s="213" t="str">
        <f>IF('2499-001'!$AH47="#E",
      INDEX(LineNo!$B$1:$B$374, MATCH('2499-001'!$AI47, LineNo!$A$1:$A$374, 0)),
      "")</f>
        <v/>
      </c>
    </row>
    <row r="48" spans="1:42" ht="24" customHeight="1">
      <c r="AG48" s="241"/>
      <c r="AH48" s="258" t="str">
        <f>IF(SUM($AB$24:$AB$34), "#F", "")</f>
        <v/>
      </c>
      <c r="AI48" s="223" t="str">
        <f>IF('2499-001'!$AH48="#F", AB20,"")</f>
        <v/>
      </c>
      <c r="AJ48" s="223" t="str">
        <f>IF('2499-001'!$AH48="#F", Vendor,"")</f>
        <v/>
      </c>
      <c r="AK48" s="224" t="str">
        <f>IF('2499-001'!$AH48="#F", Sheet_PO,"")</f>
        <v/>
      </c>
      <c r="AL48" s="225" t="str">
        <f>IF('2499-001'!$AH48="#F", AB21,"")</f>
        <v/>
      </c>
      <c r="AM48" s="224" t="str">
        <f>IF('2499-001'!$AH48="#F", AB22,"")</f>
        <v/>
      </c>
      <c r="AN48" s="226" t="str">
        <f>IF('2499-001'!$AH48="#F", AB35,"")</f>
        <v/>
      </c>
      <c r="AO48" s="213" t="str">
        <f>IF('2499-001'!$AH48="#F",
      INDEX(LineNo!$B$1:$B$374, MATCH('2499-001'!$AI48, LineNo!$A$1:$A$374, 0)),
      "")</f>
        <v/>
      </c>
    </row>
    <row r="49" spans="23:45" ht="16" customHeight="1">
      <c r="W49" s="217"/>
      <c r="X49" s="217"/>
      <c r="Y49" s="218"/>
      <c r="Z49" s="217"/>
      <c r="AA49" s="217"/>
      <c r="AB49" s="217"/>
      <c r="AC49" s="219"/>
      <c r="AD49" s="217"/>
      <c r="AG49" s="241"/>
      <c r="AH49" s="259" t="str">
        <f>IF(SUM($AC$24:$AC$34), "#G", "")</f>
        <v/>
      </c>
      <c r="AI49" s="223" t="str">
        <f>IF('2499-001'!$AH49="#G", AC20,"")</f>
        <v/>
      </c>
      <c r="AJ49" s="223" t="str">
        <f>IF('2499-001'!$AH49="#G", Vendor,"")</f>
        <v/>
      </c>
      <c r="AK49" s="224" t="str">
        <f>IF('2499-001'!$AH49="#G", Sheet_PO,"")</f>
        <v/>
      </c>
      <c r="AL49" s="225" t="str">
        <f>IF('2499-001'!$AH49="#G", AC21,"")</f>
        <v/>
      </c>
      <c r="AM49" s="224" t="str">
        <f>IF('2499-001'!$AH49="#G", AC22,"")</f>
        <v/>
      </c>
      <c r="AN49" s="226" t="str">
        <f>IF('2499-001'!$AH49="#G", AC35,"")</f>
        <v/>
      </c>
      <c r="AO49" s="213" t="str">
        <f>IF('2499-001'!$AH49="#G",
      INDEX(LineNo!$B$1:$B$374, MATCH('2499-001'!$AI49, LineNo!$A$1:$A$374, 0)),
      "")</f>
        <v/>
      </c>
    </row>
    <row r="50" spans="23:45" ht="19">
      <c r="AG50" s="241" t="s">
        <v>359</v>
      </c>
      <c r="AH50" s="258" t="str">
        <f>IF(SUM($AD$24:$AD$34), "#H", "")</f>
        <v/>
      </c>
      <c r="AI50" s="223" t="str">
        <f>IF('2499-001'!$AH50="#H", AD20,"")</f>
        <v/>
      </c>
      <c r="AJ50" s="223" t="str">
        <f>IF('2499-001'!$AH50="#H", Vendor,"")</f>
        <v/>
      </c>
      <c r="AK50" s="224" t="str">
        <f>IF('2499-001'!$AH50="#H", Sheet_PO,"")</f>
        <v/>
      </c>
      <c r="AL50" s="225" t="str">
        <f>IF('2499-001'!$AH50="#H", AD21,"")</f>
        <v/>
      </c>
      <c r="AM50" s="224" t="str">
        <f>IF('2499-001'!$AH50="#H", AD22,"")</f>
        <v/>
      </c>
      <c r="AN50" s="226" t="str">
        <f>IF('2499-001'!$AH50="#H", AD35,"")</f>
        <v/>
      </c>
      <c r="AO50" s="213" t="str">
        <f>IF('2499-001'!$AH50="#H",
      INDEX(LineNo!$B$1:$B$374, MATCH('2499-001'!$AI50, LineNo!$A$1:$A$374, 0)),
      "")</f>
        <v/>
      </c>
      <c r="AQ50" s="203"/>
      <c r="AR50" s="203"/>
      <c r="AS50" s="203"/>
    </row>
    <row r="51" spans="23:45" ht="16" thickBot="1">
      <c r="AG51" s="241" cm="1">
        <f t="array" ref="AG51">SUMPRODUCT(--(AH43:AH50&lt;&gt;""))</f>
        <v>2</v>
      </c>
      <c r="AH51" s="260" t="str">
        <f>IF(SUM($AE$24:$AE$34), "#OTHER", "")</f>
        <v/>
      </c>
      <c r="AI51" s="79"/>
      <c r="AJ51" s="80" t="str">
        <f>IF('2499-001'!$AH51="#OTHER", Vendor,"")</f>
        <v/>
      </c>
      <c r="AK51" s="81" t="str">
        <f>IF('2499-001'!$AH51="#OTHER", Sheet_PO,"")</f>
        <v/>
      </c>
      <c r="AL51" s="82"/>
      <c r="AM51" s="83"/>
      <c r="AN51" s="84" t="str">
        <f>IF('2499-001'!$AH51="#OTHER", AE35,"")</f>
        <v/>
      </c>
      <c r="AO51" s="85" t="str">
        <f>IF('2499-001'!$AH51="#OTHER",
     "Line No., Date, Pay ID required for PO Log",
     "")</f>
        <v/>
      </c>
    </row>
    <row r="52" spans="23:45" hidden="1">
      <c r="AM52" s="241" t="s">
        <v>360</v>
      </c>
      <c r="AN52" s="261">
        <f>SUM(_2499_001_table[ACTUAL])</f>
        <v>14400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5" priority="2" operator="containsText" text="zzzz">
      <formula>NOT(ISERROR(SEARCH("zzzz",AO51)))</formula>
    </cfRule>
  </conditionalFormatting>
  <conditionalFormatting sqref="AO43:AO50">
    <cfRule type="containsText" dxfId="4"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830C1-A2C8-BE43-BC4F-1C4D1399C789}">
  <sheetPr codeName="Sheet8">
    <pageSetUpPr fitToPage="1"/>
  </sheetPr>
  <dimension ref="A1:AX52"/>
  <sheetViews>
    <sheetView topLeftCell="C1" zoomScale="75" zoomScaleNormal="100" workbookViewId="0">
      <selection activeCell="AD22" sqref="AD22"/>
    </sheetView>
    <sheetView topLeftCell="A9" workbookViewId="1">
      <selection activeCell="C10" sqref="C10:D10"/>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297</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256</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371</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262</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23"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23"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305</v>
      </c>
      <c r="L20" s="228" cm="1">
        <f t="array" ref="L20:S22">IFERROR(
    _xlfn.WRAPCOLS(
        _xlfn.TOCOL(
            INDEX(
                _xlfn._xlws.FILTER(
                    _xlfn.UNIQUE(_xlfn.HSTACK(LineEntry, DateEntry, PayIDEntry)),
                    _xlfn.BYROW(_xlfn.UNIQUE(_xlfn.HSTACK(LineEntry, DateEntry, PayIDEntry)), _xlfn.LAMBDA(_xlpm.row, AND(_xlpm.row&lt;&gt;"")))
                ),
                _xlfn.SEQUENCE(8,1),
                {1,2,3}
            )
        ),
        3
    ),
    ""
)</f>
        <v>49</v>
      </c>
      <c r="M20" s="229">
        <v>99</v>
      </c>
      <c r="N20" s="229" t="str">
        <v/>
      </c>
      <c r="O20" s="229" t="str">
        <v/>
      </c>
      <c r="P20" s="229" t="str">
        <v/>
      </c>
      <c r="Q20" s="229" t="str">
        <v/>
      </c>
      <c r="R20" s="229" t="str">
        <v/>
      </c>
      <c r="S20" s="229" t="str">
        <v/>
      </c>
      <c r="T20" s="230"/>
      <c r="U20" s="231" cm="1">
        <f t="array" ref="U20">SUMPRODUCT(--(TRIM(L20:T20)&lt;&gt;""))</f>
        <v>2</v>
      </c>
      <c r="V20" s="232" t="s">
        <v>305</v>
      </c>
      <c r="W20" s="233" cm="1">
        <f t="array" ref="W20:X22">IF(U20=0,"",TRANSPOSE(_xlfn._xlws.SORT(TRANSPOSE(INDEX(L20:T22,_xlfn.SEQUENCE(ROWS(L20:T22)),_xlfn.SEQUENCE(,U20))),1,TRUE)))</f>
        <v>49</v>
      </c>
      <c r="X20" s="233">
        <v>99</v>
      </c>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306</v>
      </c>
      <c r="L21" s="234" t="str">
        <v>NA</v>
      </c>
      <c r="M21" s="235" t="str">
        <v>NA</v>
      </c>
      <c r="N21" s="235" t="str">
        <v/>
      </c>
      <c r="O21" s="235" t="str">
        <v/>
      </c>
      <c r="P21" s="235" t="str">
        <v/>
      </c>
      <c r="Q21" s="235" t="str">
        <v/>
      </c>
      <c r="R21" s="235" t="str">
        <v/>
      </c>
      <c r="S21" s="235" t="str">
        <v/>
      </c>
      <c r="T21" s="236"/>
      <c r="U21" s="231"/>
      <c r="V21" s="232" t="s">
        <v>306</v>
      </c>
      <c r="W21" s="237" t="str">
        <v>NA</v>
      </c>
      <c r="X21" s="237" t="str">
        <v>NA</v>
      </c>
      <c r="Y21" s="237"/>
      <c r="Z21" s="237"/>
      <c r="AA21" s="237"/>
      <c r="AB21" s="237"/>
      <c r="AC21" s="237"/>
      <c r="AD21" s="237"/>
      <c r="AE21" s="237"/>
      <c r="AL21" s="180"/>
    </row>
    <row r="22" spans="1:50" ht="30" customHeight="1" thickBot="1">
      <c r="A22" s="103"/>
      <c r="B22" s="181"/>
      <c r="C22" s="182"/>
      <c r="D22" s="183"/>
      <c r="E22" s="183"/>
      <c r="F22" s="183"/>
      <c r="G22" s="183"/>
      <c r="H22" s="183"/>
      <c r="I22" s="184"/>
      <c r="K22" s="179" t="s">
        <v>307</v>
      </c>
      <c r="L22" s="238" t="str">
        <v>DUE</v>
      </c>
      <c r="M22" s="239" t="str">
        <v>DUE</v>
      </c>
      <c r="N22" s="239" t="str">
        <v/>
      </c>
      <c r="O22" s="239" t="str">
        <v/>
      </c>
      <c r="P22" s="239" t="str">
        <v/>
      </c>
      <c r="Q22" s="239" t="str">
        <v/>
      </c>
      <c r="R22" s="239" t="str">
        <v/>
      </c>
      <c r="S22" s="239" t="str">
        <v/>
      </c>
      <c r="T22" s="240"/>
      <c r="U22" s="241"/>
      <c r="V22" s="232" t="s">
        <v>307</v>
      </c>
      <c r="W22" s="242" t="str">
        <v>DUE</v>
      </c>
      <c r="X22" s="242" t="str">
        <v>DUE</v>
      </c>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299</v>
      </c>
      <c r="X23" s="245" t="s">
        <v>304</v>
      </c>
      <c r="Y23" s="245" t="s">
        <v>300</v>
      </c>
      <c r="Z23" s="245" t="s">
        <v>301</v>
      </c>
      <c r="AA23" s="245" t="s">
        <v>302</v>
      </c>
      <c r="AB23" s="245" t="s">
        <v>303</v>
      </c>
      <c r="AC23" s="245" t="s">
        <v>312</v>
      </c>
      <c r="AD23" s="245" t="s">
        <v>311</v>
      </c>
      <c r="AE23" s="245" t="s">
        <v>358</v>
      </c>
      <c r="AL23" s="102"/>
      <c r="AM23" s="102"/>
      <c r="AN23" s="102"/>
      <c r="AO23" s="102"/>
      <c r="AP23" s="102"/>
      <c r="AQ23" s="102"/>
      <c r="AR23" s="102"/>
    </row>
    <row r="24" spans="1:50" s="124" customFormat="1" ht="16" customHeight="1">
      <c r="A24" s="129"/>
      <c r="B24" s="31">
        <v>49</v>
      </c>
      <c r="C24" s="59" t="s">
        <v>368</v>
      </c>
      <c r="D24" s="60"/>
      <c r="E24" s="30" t="s">
        <v>367</v>
      </c>
      <c r="F24" s="32" t="s">
        <v>366</v>
      </c>
      <c r="G24" s="2">
        <v>5</v>
      </c>
      <c r="H24" s="1">
        <v>300</v>
      </c>
      <c r="I24" s="227">
        <f>G24*H24</f>
        <v>1500</v>
      </c>
      <c r="L24" s="244"/>
      <c r="M24" s="244"/>
      <c r="N24" s="244"/>
      <c r="O24" s="244"/>
      <c r="P24" s="244"/>
      <c r="Q24" s="244"/>
      <c r="R24" s="244"/>
      <c r="S24" s="244"/>
      <c r="T24" s="244"/>
      <c r="U24" s="244"/>
      <c r="V24" s="244"/>
      <c r="W24" s="246">
        <f>IF($B24="", "", IF(AND($I24, $B24=W$20, $E24=W$21, $F24=W$22, SUM($I$24)&gt;0), $I24, ""))</f>
        <v>1500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v>99</v>
      </c>
      <c r="C25" s="59" t="s">
        <v>368</v>
      </c>
      <c r="D25" s="60"/>
      <c r="E25" s="30" t="s">
        <v>367</v>
      </c>
      <c r="F25" s="32" t="s">
        <v>366</v>
      </c>
      <c r="G25" s="2">
        <v>2</v>
      </c>
      <c r="H25" s="1">
        <v>300</v>
      </c>
      <c r="I25" s="227">
        <f t="shared" ref="I25:I34" si="0">G25*H25</f>
        <v>600</v>
      </c>
      <c r="L25" s="244"/>
      <c r="M25" s="244"/>
      <c r="N25" s="244"/>
      <c r="O25" s="244"/>
      <c r="P25" s="244"/>
      <c r="Q25" s="244"/>
      <c r="R25" s="244"/>
      <c r="S25" s="244"/>
      <c r="T25" s="244"/>
      <c r="U25" s="244"/>
      <c r="V25" s="244"/>
      <c r="W25" s="246" t="str">
        <f>IF($B25="", "", IF(AND($I25, $B25=W$20, $E25=W$21, $F25=W$22, SUM($I$25)&gt;0), $I25, ""))</f>
        <v/>
      </c>
      <c r="X25" s="246">
        <f>IF($B25="", "", IF(AND($I25, $B25=X$20, $E25=X$21, $F25=X$22, SUM($I$25)&gt;0), $I25, ""))</f>
        <v>600</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1500</v>
      </c>
      <c r="X35" s="248">
        <f>IF(SUM($X$24:$X$34), SUM($X24:$X34),"")</f>
        <v>600</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260</v>
      </c>
      <c r="C36" s="193"/>
      <c r="D36" s="193"/>
      <c r="E36" s="193"/>
      <c r="F36" s="193"/>
      <c r="G36" s="194" t="s">
        <v>258</v>
      </c>
      <c r="H36" s="195"/>
      <c r="I36" s="222">
        <f>SUM(I23:I34)</f>
        <v>2100</v>
      </c>
      <c r="L36" s="244"/>
      <c r="M36" s="244"/>
      <c r="N36" s="244"/>
      <c r="O36" s="244"/>
      <c r="P36" s="244"/>
      <c r="Q36" s="244"/>
      <c r="R36" s="244"/>
      <c r="S36" s="244"/>
      <c r="T36" s="244"/>
      <c r="U36" s="244"/>
      <c r="V36" s="244"/>
      <c r="W36" s="251" t="s">
        <v>299</v>
      </c>
      <c r="X36" s="252" t="s">
        <v>304</v>
      </c>
      <c r="Y36" s="253" t="s">
        <v>300</v>
      </c>
      <c r="Z36" s="253" t="s">
        <v>301</v>
      </c>
      <c r="AA36" s="253" t="s">
        <v>302</v>
      </c>
      <c r="AB36" s="254" t="s">
        <v>303</v>
      </c>
      <c r="AC36" s="245" t="s">
        <v>312</v>
      </c>
      <c r="AD36" s="245" t="s">
        <v>311</v>
      </c>
      <c r="AE36" s="245" t="s">
        <v>358</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257</v>
      </c>
      <c r="H38" s="200" t="s">
        <v>259</v>
      </c>
      <c r="I38" s="201"/>
    </row>
    <row r="39" spans="1:42" ht="16" customHeight="1">
      <c r="A39" s="103"/>
      <c r="B39" s="192" t="s">
        <v>261</v>
      </c>
      <c r="C39" s="193"/>
      <c r="D39" s="193"/>
      <c r="E39" s="193"/>
      <c r="F39" s="193"/>
      <c r="G39" s="196" t="s">
        <v>19</v>
      </c>
      <c r="H39" s="200"/>
      <c r="I39" s="202">
        <f>SUM(I36:I38)</f>
        <v>2100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308</v>
      </c>
      <c r="AJ41" s="208"/>
      <c r="AK41" s="208"/>
      <c r="AL41" s="208"/>
      <c r="AM41" s="208"/>
      <c r="AN41" s="208"/>
      <c r="AO41" s="209"/>
      <c r="AP41" s="124"/>
    </row>
    <row r="42" spans="1:42" ht="16" customHeight="1" thickTop="1">
      <c r="G42" s="210"/>
      <c r="H42" s="210"/>
      <c r="I42" s="210"/>
      <c r="AG42" s="241"/>
      <c r="AH42" s="256" t="s">
        <v>309</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IF('2499-002'!$AH43="#A", W20,"")</f>
        <v>49</v>
      </c>
      <c r="AJ43" s="223" t="str">
        <f>IF('2499-002'!$AH43="#A", Vendor,"")</f>
        <v>PA Dude</v>
      </c>
      <c r="AK43" s="224" t="str">
        <f>IF('2499-002'!$AH43="#A", Sheet_PO,"")</f>
        <v>2499-002</v>
      </c>
      <c r="AL43" s="225" t="str">
        <f>IF('2499-002'!$AH43="#A", W$21,"")</f>
        <v>NA</v>
      </c>
      <c r="AM43" s="224" t="str">
        <f>IF('2499-002'!$AH43="#A", W$22,"")</f>
        <v>DUE</v>
      </c>
      <c r="AN43" s="226">
        <f>IF('2499-002'!$AH43="#A", W$35,"")</f>
        <v>1500</v>
      </c>
      <c r="AO43" s="213" t="str">
        <f>IF('2499-002'!$AH43="#A",
      INDEX(LineNo!$B$1:$B$374, MATCH('2499-002'!$AI43, LineNo!$A$1:$A$374, 0)),
      "")</f>
        <v>Production Assistants</v>
      </c>
    </row>
    <row r="44" spans="1:42" ht="16" customHeight="1">
      <c r="C44" s="214"/>
      <c r="E44" s="214"/>
      <c r="F44" s="214"/>
      <c r="G44" s="215"/>
      <c r="H44" s="215"/>
      <c r="I44" s="216"/>
      <c r="AG44" s="241"/>
      <c r="AH44" s="258" t="str">
        <f>IF(SUM($X$24:$X$34), "#B", "")</f>
        <v>#B</v>
      </c>
      <c r="AI44" s="223">
        <f>IF('2499-002'!$AH44="#B", X20,"")</f>
        <v>99</v>
      </c>
      <c r="AJ44" s="223" t="str">
        <f>IF('2499-002'!$AH44="#B", Vendor,"")</f>
        <v>PA Dude</v>
      </c>
      <c r="AK44" s="224" t="str">
        <f>IF('2499-002'!$AH44="#B", Sheet_PO,"")</f>
        <v>2499-002</v>
      </c>
      <c r="AL44" s="225" t="str">
        <f>IF('2499-002'!$AH44="#B", X21,"")</f>
        <v>NA</v>
      </c>
      <c r="AM44" s="224" t="str">
        <f>IF('2499-002'!$AH44="#B", X22,"")</f>
        <v>DUE</v>
      </c>
      <c r="AN44" s="226">
        <f>IF('2499-002'!$AH44="#B", X35,"")</f>
        <v>600</v>
      </c>
      <c r="AO44" s="213" t="str">
        <f>IF('2499-002'!$AH44="#B",
      INDEX(LineNo!$B$1:$B$374, MATCH('2499-002'!$AI44, LineNo!$A$1:$A$374, 0)),
      "")</f>
        <v>Production Assistants</v>
      </c>
    </row>
    <row r="45" spans="1:42" ht="16" customHeight="1">
      <c r="AG45" s="241"/>
      <c r="AH45" s="259" t="str">
        <f>IF(SUM($Y$24:$Y$34), "#C", "")</f>
        <v/>
      </c>
      <c r="AI45" s="223" t="str">
        <f>IF('2499-002'!$AH45="#C", Y20,"")</f>
        <v/>
      </c>
      <c r="AJ45" s="223" t="str">
        <f>IF('2499-002'!$AH45="#C", Vendor,"")</f>
        <v/>
      </c>
      <c r="AK45" s="224" t="str">
        <f>IF('2499-002'!$AH45="#C", Sheet_PO,"")</f>
        <v/>
      </c>
      <c r="AL45" s="225" t="str">
        <f>IF('2499-002'!$AH45="#C", Y21,"")</f>
        <v/>
      </c>
      <c r="AM45" s="224" t="str">
        <f>IF('2499-002'!$AH45="#C", Y22,"")</f>
        <v/>
      </c>
      <c r="AN45" s="226" t="str">
        <f>IF('2499-002'!$AH45="#C", Y35,"")</f>
        <v/>
      </c>
      <c r="AO45" s="213" t="str">
        <f>IF('2499-002'!$AH45="#C",
      INDEX(LineNo!$B$1:$B$374, MATCH('2499-002'!$AI45, LineNo!$A$1:$A$374, 0)),
      "")</f>
        <v/>
      </c>
    </row>
    <row r="46" spans="1:42" ht="16" customHeight="1">
      <c r="AG46" s="241"/>
      <c r="AH46" s="258" t="str">
        <f>IF(SUM($Z$24:$Z$34), "#D", "")</f>
        <v/>
      </c>
      <c r="AI46" s="223" t="str">
        <f>IF('2499-002'!$AH46="#D", Z20,"")</f>
        <v/>
      </c>
      <c r="AJ46" s="223" t="str">
        <f>IF('2499-002'!$AH46="#D", Vendor,"")</f>
        <v/>
      </c>
      <c r="AK46" s="224" t="str">
        <f>IF('2499-002'!$AH46="#D", Sheet_PO,"")</f>
        <v/>
      </c>
      <c r="AL46" s="225" t="str">
        <f>IF('2499-002'!$AH46="#D", Z21,"")</f>
        <v/>
      </c>
      <c r="AM46" s="224" t="str">
        <f>IF('2499-002'!$AH46="#D", Z22,"")</f>
        <v/>
      </c>
      <c r="AN46" s="226" t="str">
        <f>IF('2499-002'!$AH46="#D", Z35,"")</f>
        <v/>
      </c>
      <c r="AO46" s="213" t="str">
        <f>IF('2499-002'!$AH46="#D",
      INDEX(LineNo!$B$1:$B$374, MATCH('2499-002'!$AI46, LineNo!$A$1:$A$374, 0)),
      "")</f>
        <v/>
      </c>
    </row>
    <row r="47" spans="1:42" ht="16" customHeight="1">
      <c r="AG47" s="241"/>
      <c r="AH47" s="259" t="str">
        <f>IF(SUM($AA$24:$AA$34), "#E", "")</f>
        <v/>
      </c>
      <c r="AI47" s="223" t="str">
        <f>IF('2499-002'!$AH47="#E", AA20,"")</f>
        <v/>
      </c>
      <c r="AJ47" s="223" t="str">
        <f>IF('2499-002'!$AH47="#E", Vendor,"")</f>
        <v/>
      </c>
      <c r="AK47" s="224" t="str">
        <f>IF('2499-002'!$AH47="#E", Sheet_PO,"")</f>
        <v/>
      </c>
      <c r="AL47" s="225" t="str">
        <f>IF('2499-002'!$AH47="#E", AA21,"")</f>
        <v/>
      </c>
      <c r="AM47" s="224" t="str">
        <f>IF('2499-002'!$AH47="#E", AA22,"")</f>
        <v/>
      </c>
      <c r="AN47" s="226" t="str">
        <f>IF('2499-002'!$AH47="#E",AA35, "")</f>
        <v/>
      </c>
      <c r="AO47" s="213" t="str">
        <f>IF('2499-002'!$AH47="#E",
      INDEX(LineNo!$B$1:$B$374, MATCH('2499-002'!$AI47, LineNo!$A$1:$A$374, 0)),
      "")</f>
        <v/>
      </c>
    </row>
    <row r="48" spans="1:42" ht="24" customHeight="1">
      <c r="AG48" s="241"/>
      <c r="AH48" s="258" t="str">
        <f>IF(SUM($AB$24:$AB$34), "#F", "")</f>
        <v/>
      </c>
      <c r="AI48" s="223" t="str">
        <f>IF('2499-002'!$AH48="#F", AB20,"")</f>
        <v/>
      </c>
      <c r="AJ48" s="223" t="str">
        <f>IF('2499-002'!$AH48="#F", Vendor,"")</f>
        <v/>
      </c>
      <c r="AK48" s="224" t="str">
        <f>IF('2499-002'!$AH48="#F", Sheet_PO,"")</f>
        <v/>
      </c>
      <c r="AL48" s="225" t="str">
        <f>IF('2499-002'!$AH48="#F", AB21,"")</f>
        <v/>
      </c>
      <c r="AM48" s="224" t="str">
        <f>IF('2499-002'!$AH48="#F", AB22,"")</f>
        <v/>
      </c>
      <c r="AN48" s="226" t="str">
        <f>IF('2499-002'!$AH48="#F", AB35,"")</f>
        <v/>
      </c>
      <c r="AO48" s="213" t="str">
        <f>IF('2499-002'!$AH48="#F",
      INDEX(LineNo!$B$1:$B$374, MATCH('2499-002'!$AI48, LineNo!$A$1:$A$374, 0)),
      "")</f>
        <v/>
      </c>
    </row>
    <row r="49" spans="23:45" ht="16" customHeight="1">
      <c r="W49" s="217"/>
      <c r="X49" s="217"/>
      <c r="Y49" s="218"/>
      <c r="Z49" s="217"/>
      <c r="AA49" s="217"/>
      <c r="AB49" s="217"/>
      <c r="AC49" s="219"/>
      <c r="AD49" s="217"/>
      <c r="AG49" s="241"/>
      <c r="AH49" s="259" t="str">
        <f>IF(SUM($AC$24:$AC$34), "#G", "")</f>
        <v/>
      </c>
      <c r="AI49" s="223" t="str">
        <f>IF('2499-002'!$AH49="#G", AC20,"")</f>
        <v/>
      </c>
      <c r="AJ49" s="223" t="str">
        <f>IF('2499-002'!$AH49="#G", Vendor,"")</f>
        <v/>
      </c>
      <c r="AK49" s="224" t="str">
        <f>IF('2499-002'!$AH49="#G", Sheet_PO,"")</f>
        <v/>
      </c>
      <c r="AL49" s="225" t="str">
        <f>IF('2499-002'!$AH49="#G", AC21,"")</f>
        <v/>
      </c>
      <c r="AM49" s="224" t="str">
        <f>IF('2499-002'!$AH49="#G", AC22,"")</f>
        <v/>
      </c>
      <c r="AN49" s="226" t="str">
        <f>IF('2499-002'!$AH49="#G", AC35,"")</f>
        <v/>
      </c>
      <c r="AO49" s="213" t="str">
        <f>IF('2499-002'!$AH49="#G",
      INDEX(LineNo!$B$1:$B$374, MATCH('2499-002'!$AI49, LineNo!$A$1:$A$374, 0)),
      "")</f>
        <v/>
      </c>
    </row>
    <row r="50" spans="23:45" ht="19">
      <c r="AG50" s="241" t="s">
        <v>359</v>
      </c>
      <c r="AH50" s="258" t="str">
        <f>IF(SUM($AD$24:$AD$34), "#H", "")</f>
        <v/>
      </c>
      <c r="AI50" s="223" t="str">
        <f>IF('2499-002'!$AH50="#H", AD20,"")</f>
        <v/>
      </c>
      <c r="AJ50" s="223" t="str">
        <f>IF('2499-002'!$AH50="#H", Vendor,"")</f>
        <v/>
      </c>
      <c r="AK50" s="224" t="str">
        <f>IF('2499-002'!$AH50="#H", Sheet_PO,"")</f>
        <v/>
      </c>
      <c r="AL50" s="225" t="str">
        <f>IF('2499-002'!$AH50="#H", AD21,"")</f>
        <v/>
      </c>
      <c r="AM50" s="224" t="str">
        <f>IF('2499-002'!$AH50="#H", AD22,"")</f>
        <v/>
      </c>
      <c r="AN50" s="226" t="str">
        <f>IF('2499-002'!$AH50="#H", AD35,"")</f>
        <v/>
      </c>
      <c r="AO50" s="213" t="str">
        <f>IF('2499-002'!$AH50="#H",
      INDEX(LineNo!$B$1:$B$374, MATCH('2499-002'!$AI50, LineNo!$A$1:$A$374, 0)),
      "")</f>
        <v/>
      </c>
      <c r="AQ50" s="203"/>
      <c r="AR50" s="203"/>
      <c r="AS50" s="203"/>
    </row>
    <row r="51" spans="23:45" ht="16" thickBot="1">
      <c r="AG51" s="241" cm="1">
        <f t="array" ref="AG51">SUMPRODUCT(--(AH43:AH50&lt;&gt;""))</f>
        <v>2</v>
      </c>
      <c r="AH51" s="260" t="str">
        <f>IF(SUM($AE$24:$AE$34), "#OTHER", "")</f>
        <v/>
      </c>
      <c r="AI51" s="79"/>
      <c r="AJ51" s="80" t="str">
        <f>IF('2499-002'!$AH51="#OTHER", Vendor,"")</f>
        <v/>
      </c>
      <c r="AK51" s="81" t="str">
        <f>IF('2499-002'!$AH51="#OTHER", Sheet_PO,"")</f>
        <v/>
      </c>
      <c r="AL51" s="82"/>
      <c r="AM51" s="83"/>
      <c r="AN51" s="84" t="str">
        <f>IF('2499-002'!$AH51="#OTHER", AE35,"")</f>
        <v/>
      </c>
      <c r="AO51" s="85" t="str">
        <f>IF('2499-002'!$AH51="#OTHER",
     "Line No., Date, Pay ID required for PO Log",
     "")</f>
        <v/>
      </c>
    </row>
    <row r="52" spans="23:45" hidden="1">
      <c r="AM52" s="241" t="s">
        <v>360</v>
      </c>
      <c r="AN52" s="261">
        <f>SUM(_2499_002_table[ACTUAL])</f>
        <v>2100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3" priority="2" operator="containsText" text="zzzz">
      <formula>NOT(ISERROR(SEARCH("zzzz",AO51)))</formula>
    </cfRule>
  </conditionalFormatting>
  <conditionalFormatting sqref="AO43:AO50">
    <cfRule type="containsText" dxfId="2"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133A1B-75C6-BD4C-B1BB-74D2E5145DFE}">
  <sheetPr codeName="Sheet9">
    <pageSetUpPr fitToPage="1"/>
  </sheetPr>
  <dimension ref="A1:AX52"/>
  <sheetViews>
    <sheetView tabSelected="1" topLeftCell="C1" zoomScale="75" zoomScaleNormal="100" workbookViewId="0">
      <selection activeCell="AD22" sqref="AD22"/>
    </sheetView>
    <sheetView topLeftCell="B11" workbookViewId="1">
      <selection activeCell="B22" sqref="B22:I22"/>
    </sheetView>
  </sheetViews>
  <sheetFormatPr baseColWidth="10" defaultColWidth="8.83203125" defaultRowHeight="14"/>
  <cols>
    <col min="1" max="1" width="0.83203125" style="102" customWidth="1"/>
    <col min="2" max="2" width="10.1640625" style="102" customWidth="1"/>
    <col min="3" max="3" width="14.6640625" style="102" customWidth="1"/>
    <col min="4" max="4" width="10.1640625" style="102" customWidth="1"/>
    <col min="5" max="5" width="13.5" style="102" customWidth="1"/>
    <col min="6" max="6" width="11.6640625" style="102" bestFit="1" customWidth="1"/>
    <col min="7" max="7" width="10.1640625" style="102" customWidth="1"/>
    <col min="8" max="8" width="18.83203125" style="102" customWidth="1"/>
    <col min="9" max="9" width="13.33203125" style="102" customWidth="1"/>
    <col min="10" max="10" width="2.5" style="102" customWidth="1"/>
    <col min="11" max="11" width="5.83203125" style="102" hidden="1" customWidth="1"/>
    <col min="12" max="12" width="6.33203125" style="102" hidden="1" customWidth="1"/>
    <col min="13" max="13" width="6.1640625" style="102" hidden="1" customWidth="1"/>
    <col min="14" max="14" width="5.6640625" style="102" hidden="1" customWidth="1"/>
    <col min="15" max="15" width="5.33203125" style="102" hidden="1" customWidth="1"/>
    <col min="16" max="16" width="5.6640625" style="102" hidden="1" customWidth="1"/>
    <col min="17" max="18" width="5" style="102" hidden="1" customWidth="1"/>
    <col min="19" max="21" width="5.83203125" style="102" hidden="1" customWidth="1"/>
    <col min="22" max="22" width="6.1640625" style="102" hidden="1" customWidth="1"/>
    <col min="23" max="24" width="7.6640625" style="102" hidden="1" customWidth="1"/>
    <col min="25" max="30" width="7" style="102" hidden="1" customWidth="1"/>
    <col min="31" max="31" width="8.6640625" style="102" hidden="1" customWidth="1"/>
    <col min="32" max="32" width="3.33203125" style="102" hidden="1" customWidth="1"/>
    <col min="33" max="33" width="5.1640625" style="102" hidden="1" customWidth="1"/>
    <col min="34" max="34" width="8.83203125" style="102" hidden="1" customWidth="1"/>
    <col min="35" max="35" width="6" style="102" customWidth="1"/>
    <col min="36" max="37" width="13" style="102" customWidth="1"/>
    <col min="38" max="38" width="10.6640625" style="102" customWidth="1"/>
    <col min="39" max="39" width="14.1640625" style="102" customWidth="1"/>
    <col min="40" max="40" width="13" style="102" customWidth="1"/>
    <col min="41" max="41" width="36" style="102" customWidth="1"/>
    <col min="42" max="16384" width="8.83203125" style="102"/>
  </cols>
  <sheetData>
    <row r="1" spans="1:47" ht="45" customHeight="1">
      <c r="A1" s="94"/>
      <c r="B1" s="95" t="str">
        <f>IF(TRIM(ProductionCompany)="", "Production Company", ProductionCompany)</f>
        <v>Prod Co</v>
      </c>
      <c r="C1" s="96"/>
      <c r="D1" s="96"/>
      <c r="E1" s="96"/>
      <c r="F1" s="97"/>
      <c r="G1" s="98"/>
      <c r="H1" s="98"/>
      <c r="I1" s="99"/>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1"/>
      <c r="AJ1" s="100"/>
      <c r="AK1" s="100"/>
      <c r="AL1" s="100"/>
      <c r="AM1" s="100"/>
      <c r="AN1" s="100"/>
      <c r="AO1" s="100"/>
      <c r="AP1" s="100"/>
      <c r="AQ1" s="100"/>
      <c r="AR1" s="100"/>
      <c r="AS1" s="100"/>
      <c r="AT1" s="100"/>
      <c r="AU1" s="100"/>
    </row>
    <row r="2" spans="1:47" ht="12.75" customHeight="1">
      <c r="A2" s="103"/>
      <c r="B2" s="104"/>
      <c r="C2" s="105"/>
      <c r="D2" s="106"/>
      <c r="E2" s="106"/>
      <c r="F2" s="106"/>
      <c r="G2" s="106"/>
      <c r="I2" s="107"/>
      <c r="J2" s="100"/>
      <c r="K2" s="100"/>
      <c r="L2" s="100"/>
      <c r="M2" s="100"/>
      <c r="N2" s="100"/>
      <c r="O2" s="100"/>
      <c r="P2" s="100"/>
      <c r="Q2" s="100"/>
      <c r="R2" s="100"/>
      <c r="S2" s="100"/>
      <c r="T2" s="100"/>
      <c r="U2" s="100"/>
      <c r="V2" s="100"/>
      <c r="W2" s="100"/>
      <c r="X2" s="100"/>
      <c r="Y2" s="100"/>
      <c r="Z2" s="100"/>
      <c r="AA2" s="100"/>
      <c r="AB2" s="100"/>
      <c r="AC2" s="100"/>
      <c r="AD2" s="101"/>
      <c r="AE2" s="100"/>
      <c r="AF2" s="100"/>
      <c r="AG2" s="100"/>
      <c r="AH2" s="100"/>
      <c r="AI2" s="100"/>
      <c r="AJ2" s="100"/>
      <c r="AK2" s="100"/>
      <c r="AL2" s="100"/>
      <c r="AM2" s="100"/>
      <c r="AN2" s="100"/>
      <c r="AO2" s="100"/>
      <c r="AP2" s="100"/>
      <c r="AQ2" s="100"/>
      <c r="AR2" s="100"/>
      <c r="AS2" s="100"/>
      <c r="AT2" s="100"/>
      <c r="AU2" s="100"/>
    </row>
    <row r="3" spans="1:47" ht="22">
      <c r="A3" s="103"/>
      <c r="B3" s="108" t="s">
        <v>13</v>
      </c>
      <c r="C3" s="109"/>
      <c r="D3" s="110"/>
      <c r="E3" s="110"/>
      <c r="F3" s="111" t="s">
        <v>12</v>
      </c>
      <c r="G3" s="112" t="s">
        <v>296</v>
      </c>
      <c r="H3" s="112"/>
      <c r="I3" s="113"/>
      <c r="J3" s="114"/>
      <c r="K3" s="115"/>
      <c r="L3" s="115"/>
      <c r="M3" s="115"/>
      <c r="N3" s="115"/>
      <c r="O3" s="115"/>
      <c r="P3" s="115"/>
      <c r="Q3" s="115"/>
      <c r="R3" s="115"/>
      <c r="S3" s="115"/>
      <c r="T3" s="115"/>
      <c r="U3" s="115"/>
      <c r="V3" s="115"/>
      <c r="W3" s="115"/>
      <c r="X3" s="116"/>
      <c r="Y3" s="117"/>
      <c r="Z3" s="117"/>
      <c r="AA3" s="117"/>
      <c r="AD3" s="116"/>
      <c r="AR3" s="100"/>
      <c r="AS3" s="100"/>
      <c r="AT3" s="100"/>
      <c r="AU3" s="100"/>
    </row>
    <row r="4" spans="1:47" s="125" customFormat="1" ht="29" customHeight="1">
      <c r="A4" s="118"/>
      <c r="B4" s="119"/>
      <c r="C4" s="120"/>
      <c r="D4" s="120"/>
      <c r="E4" s="120"/>
      <c r="F4" s="120"/>
      <c r="G4" s="120"/>
      <c r="H4" s="121"/>
      <c r="I4" s="122"/>
      <c r="J4" s="123"/>
      <c r="K4" s="123"/>
      <c r="L4" s="123"/>
      <c r="M4" s="123"/>
      <c r="N4" s="123"/>
      <c r="O4" s="123"/>
      <c r="P4" s="123"/>
      <c r="Q4" s="123"/>
      <c r="R4" s="123"/>
      <c r="S4" s="123"/>
      <c r="T4" s="123"/>
      <c r="U4" s="123"/>
      <c r="V4" s="123"/>
      <c r="W4" s="123"/>
      <c r="X4" s="124"/>
      <c r="Y4" s="124"/>
      <c r="Z4" s="124"/>
      <c r="AA4" s="124"/>
      <c r="AD4" s="126"/>
      <c r="AE4" s="127"/>
      <c r="AF4" s="126"/>
      <c r="AM4" s="128"/>
      <c r="AR4" s="123"/>
      <c r="AS4" s="123"/>
      <c r="AT4" s="123"/>
      <c r="AU4" s="123"/>
    </row>
    <row r="5" spans="1:47" s="124" customFormat="1" ht="16" customHeight="1">
      <c r="A5" s="129"/>
      <c r="B5" s="130" t="s">
        <v>256</v>
      </c>
      <c r="C5" s="131"/>
      <c r="D5" s="132"/>
      <c r="E5" s="133"/>
      <c r="F5" s="133"/>
      <c r="G5" s="133"/>
      <c r="H5" s="133"/>
      <c r="I5" s="134"/>
      <c r="J5" s="135"/>
      <c r="K5" s="135"/>
      <c r="L5" s="135"/>
      <c r="M5" s="135"/>
      <c r="N5" s="135"/>
      <c r="O5" s="135"/>
      <c r="P5" s="135"/>
      <c r="Q5" s="135"/>
      <c r="R5" s="135"/>
      <c r="S5" s="135"/>
      <c r="T5" s="135"/>
      <c r="U5" s="135"/>
      <c r="V5" s="135"/>
      <c r="W5" s="135"/>
      <c r="AD5" s="136"/>
      <c r="AE5" s="137"/>
      <c r="AF5" s="136"/>
      <c r="AH5" s="62"/>
      <c r="AR5" s="135"/>
      <c r="AS5" s="135"/>
      <c r="AT5" s="135"/>
      <c r="AU5" s="135"/>
    </row>
    <row r="6" spans="1:47" s="124" customFormat="1" ht="16">
      <c r="A6" s="129"/>
      <c r="B6" s="138"/>
      <c r="C6" s="139"/>
      <c r="D6" s="140"/>
      <c r="E6" s="133"/>
      <c r="F6" s="133"/>
      <c r="G6" s="133"/>
      <c r="H6" s="133"/>
      <c r="I6" s="141"/>
      <c r="J6" s="135"/>
      <c r="K6" s="135"/>
      <c r="L6" s="135"/>
      <c r="M6" s="135"/>
      <c r="N6" s="135"/>
      <c r="O6" s="135"/>
      <c r="P6" s="135"/>
      <c r="Q6" s="135"/>
      <c r="R6" s="135"/>
      <c r="S6" s="135"/>
      <c r="T6" s="135"/>
      <c r="U6" s="135"/>
      <c r="V6" s="135"/>
      <c r="W6" s="135"/>
      <c r="AD6" s="136"/>
      <c r="AE6" s="137"/>
      <c r="AF6" s="136"/>
      <c r="AR6" s="135"/>
      <c r="AS6" s="135"/>
      <c r="AT6" s="135"/>
      <c r="AU6" s="135"/>
    </row>
    <row r="7" spans="1:47" s="124" customFormat="1" ht="16">
      <c r="A7" s="129"/>
      <c r="B7" s="142"/>
      <c r="C7" s="143"/>
      <c r="D7" s="144"/>
      <c r="E7" s="144"/>
      <c r="F7" s="145"/>
      <c r="G7" s="145"/>
      <c r="H7" s="145"/>
      <c r="I7" s="146"/>
      <c r="J7" s="135"/>
      <c r="K7" s="135"/>
      <c r="L7" s="135"/>
      <c r="M7" s="135"/>
      <c r="N7" s="135"/>
      <c r="O7" s="135"/>
      <c r="P7" s="135"/>
      <c r="Q7" s="135"/>
      <c r="R7" s="135"/>
      <c r="S7" s="135"/>
      <c r="T7" s="135"/>
      <c r="U7" s="135"/>
      <c r="V7" s="135"/>
      <c r="W7" s="135"/>
      <c r="AD7" s="136"/>
      <c r="AE7" s="137"/>
      <c r="AF7" s="136"/>
      <c r="AR7" s="135"/>
      <c r="AS7" s="135"/>
      <c r="AT7" s="135"/>
      <c r="AU7" s="135"/>
    </row>
    <row r="8" spans="1:47" s="124" customFormat="1" ht="16">
      <c r="A8" s="129"/>
      <c r="B8" s="147"/>
      <c r="C8" s="148"/>
      <c r="D8" s="149"/>
      <c r="E8" s="149"/>
      <c r="F8" s="145"/>
      <c r="G8" s="145"/>
      <c r="H8" s="145"/>
      <c r="I8" s="146"/>
      <c r="J8" s="135"/>
      <c r="K8" s="135"/>
      <c r="L8" s="135"/>
      <c r="M8" s="135"/>
      <c r="N8" s="135"/>
      <c r="O8" s="135"/>
      <c r="P8" s="135"/>
      <c r="Q8" s="135"/>
      <c r="R8" s="135"/>
      <c r="S8" s="135"/>
      <c r="T8" s="135"/>
      <c r="U8" s="135"/>
      <c r="V8" s="135"/>
      <c r="W8" s="135"/>
      <c r="AD8" s="136"/>
      <c r="AE8" s="137"/>
      <c r="AF8" s="136"/>
      <c r="AR8" s="135"/>
      <c r="AS8" s="135"/>
      <c r="AT8" s="135"/>
      <c r="AU8" s="135"/>
    </row>
    <row r="9" spans="1:47" s="124" customFormat="1" ht="16">
      <c r="A9" s="129"/>
      <c r="B9" s="150" t="s">
        <v>11</v>
      </c>
      <c r="C9" s="151"/>
      <c r="D9" s="151"/>
      <c r="E9" s="152" t="s">
        <v>10</v>
      </c>
      <c r="F9" s="139">
        <f>IF(TRIM(Job_Number)="", "", Job_Number)</f>
        <v>1911</v>
      </c>
      <c r="G9" s="139"/>
      <c r="H9" s="139"/>
      <c r="I9" s="153"/>
      <c r="J9" s="135"/>
      <c r="K9" s="135"/>
      <c r="L9" s="135"/>
      <c r="M9" s="135"/>
      <c r="N9" s="135"/>
      <c r="O9" s="135"/>
      <c r="P9" s="135"/>
      <c r="Q9" s="135"/>
      <c r="R9" s="135"/>
      <c r="S9" s="135"/>
      <c r="T9" s="135"/>
      <c r="U9" s="135"/>
      <c r="V9" s="135"/>
      <c r="W9" s="135"/>
      <c r="AD9" s="136"/>
      <c r="AE9" s="137"/>
      <c r="AF9" s="136"/>
      <c r="AR9" s="135"/>
      <c r="AS9" s="135"/>
      <c r="AT9" s="135"/>
      <c r="AU9" s="135"/>
    </row>
    <row r="10" spans="1:47" s="124" customFormat="1" ht="14" customHeight="1">
      <c r="A10" s="129"/>
      <c r="B10" s="150" t="s">
        <v>9</v>
      </c>
      <c r="C10" s="154" t="s">
        <v>372</v>
      </c>
      <c r="D10" s="154"/>
      <c r="E10" s="152" t="s">
        <v>8</v>
      </c>
      <c r="F10" s="155" t="str">
        <f>IF(TRIM(Job_Name)="", "", Job_Name)</f>
        <v>Fakington</v>
      </c>
      <c r="G10" s="155"/>
      <c r="H10" s="155"/>
      <c r="I10" s="156"/>
      <c r="J10" s="135"/>
      <c r="K10" s="135"/>
      <c r="L10" s="135"/>
      <c r="M10" s="135"/>
      <c r="N10" s="135"/>
      <c r="O10" s="135"/>
      <c r="P10" s="135"/>
      <c r="Q10" s="135"/>
      <c r="R10" s="135"/>
      <c r="S10" s="135"/>
      <c r="T10" s="135"/>
      <c r="U10" s="135"/>
      <c r="V10" s="135"/>
      <c r="W10" s="123"/>
      <c r="AR10" s="135"/>
      <c r="AS10" s="135"/>
      <c r="AT10" s="135"/>
      <c r="AU10" s="135"/>
    </row>
    <row r="11" spans="1:47" s="124" customFormat="1" ht="17">
      <c r="A11" s="129"/>
      <c r="B11" s="157"/>
      <c r="C11" s="154"/>
      <c r="D11" s="154"/>
      <c r="E11" s="158"/>
      <c r="I11" s="159"/>
      <c r="J11" s="135"/>
      <c r="K11" s="135"/>
      <c r="L11" s="135"/>
      <c r="M11" s="135"/>
      <c r="N11" s="135"/>
      <c r="O11" s="135"/>
      <c r="P11" s="135"/>
      <c r="Q11" s="135"/>
      <c r="R11" s="135"/>
      <c r="S11" s="135"/>
      <c r="T11" s="135"/>
      <c r="U11" s="135"/>
      <c r="V11" s="135"/>
      <c r="W11" s="135"/>
      <c r="AD11" s="160"/>
      <c r="AR11" s="135"/>
      <c r="AS11" s="135"/>
      <c r="AT11" s="135"/>
      <c r="AU11" s="135"/>
    </row>
    <row r="12" spans="1:47" s="124" customFormat="1" ht="22" customHeight="1">
      <c r="A12" s="129"/>
      <c r="B12" s="150" t="s">
        <v>7</v>
      </c>
      <c r="C12" s="154"/>
      <c r="D12" s="154"/>
      <c r="E12" s="152" t="s">
        <v>6</v>
      </c>
      <c r="F12" s="161"/>
      <c r="G12" s="161"/>
      <c r="H12" s="161"/>
      <c r="I12" s="162"/>
      <c r="J12" s="135"/>
      <c r="K12" s="135"/>
      <c r="L12" s="135"/>
      <c r="M12" s="135"/>
      <c r="N12" s="135"/>
      <c r="O12" s="135"/>
      <c r="P12" s="135"/>
      <c r="Q12" s="135"/>
      <c r="R12" s="135"/>
      <c r="S12" s="135"/>
      <c r="T12" s="135"/>
      <c r="U12" s="135"/>
      <c r="V12" s="135"/>
      <c r="W12" s="135"/>
      <c r="AR12" s="135"/>
      <c r="AS12" s="135"/>
      <c r="AT12" s="135"/>
      <c r="AU12" s="135"/>
    </row>
    <row r="13" spans="1:47" s="124" customFormat="1" ht="16">
      <c r="A13" s="129"/>
      <c r="B13" s="163"/>
      <c r="C13" s="154"/>
      <c r="D13" s="154"/>
      <c r="F13" s="164"/>
      <c r="G13" s="165"/>
      <c r="H13" s="165"/>
      <c r="I13" s="166"/>
      <c r="J13" s="135"/>
      <c r="K13" s="135"/>
      <c r="L13" s="135"/>
      <c r="M13" s="135"/>
      <c r="N13" s="135"/>
      <c r="O13" s="135"/>
      <c r="P13" s="135"/>
      <c r="Q13" s="135"/>
      <c r="R13" s="135"/>
      <c r="S13" s="135"/>
      <c r="T13" s="135"/>
      <c r="U13" s="135"/>
      <c r="V13" s="135"/>
      <c r="W13" s="135"/>
      <c r="AR13" s="135"/>
      <c r="AS13" s="135"/>
      <c r="AT13" s="135"/>
      <c r="AU13" s="135"/>
    </row>
    <row r="14" spans="1:47" s="124" customFormat="1" ht="16">
      <c r="A14" s="129"/>
      <c r="B14" s="163"/>
      <c r="C14" s="167"/>
      <c r="D14" s="167"/>
      <c r="E14" s="152" t="s">
        <v>262</v>
      </c>
      <c r="F14" s="164"/>
      <c r="G14" s="165"/>
      <c r="H14" s="165"/>
      <c r="I14" s="166"/>
      <c r="J14" s="135"/>
      <c r="K14" s="135"/>
      <c r="L14" s="135"/>
      <c r="M14" s="135"/>
      <c r="N14" s="135"/>
      <c r="O14" s="135"/>
      <c r="P14" s="135"/>
      <c r="Q14" s="135"/>
      <c r="R14" s="135"/>
      <c r="S14" s="135"/>
      <c r="T14" s="135"/>
      <c r="U14" s="135"/>
      <c r="V14" s="135"/>
      <c r="W14" s="135"/>
      <c r="X14" s="135"/>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row>
    <row r="15" spans="1:47" s="124" customFormat="1" ht="16">
      <c r="A15" s="129"/>
      <c r="B15" s="24"/>
      <c r="C15" s="50"/>
      <c r="D15" s="50"/>
      <c r="I15" s="159"/>
      <c r="J15" s="135"/>
      <c r="K15" s="135"/>
      <c r="L15" s="135"/>
      <c r="M15" s="135"/>
      <c r="N15" s="135"/>
      <c r="O15" s="135"/>
      <c r="P15" s="135"/>
      <c r="Q15" s="135"/>
      <c r="R15" s="135"/>
      <c r="S15" s="135"/>
      <c r="T15" s="135"/>
      <c r="U15" s="135"/>
      <c r="V15" s="135"/>
      <c r="W15" s="135"/>
      <c r="X15" s="135"/>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row>
    <row r="16" spans="1:47" s="125" customFormat="1" ht="23" customHeight="1">
      <c r="A16" s="118"/>
      <c r="B16" s="168" t="s">
        <v>5</v>
      </c>
      <c r="C16" s="50"/>
      <c r="D16" s="50"/>
      <c r="E16" s="50"/>
      <c r="F16" s="50"/>
      <c r="G16" s="169"/>
      <c r="H16" s="170"/>
      <c r="I16" s="171"/>
      <c r="J16" s="123"/>
      <c r="K16" s="123"/>
      <c r="L16" s="123"/>
      <c r="M16" s="123"/>
      <c r="N16" s="123"/>
      <c r="O16" s="123"/>
      <c r="P16" s="123"/>
      <c r="Q16" s="123"/>
      <c r="R16" s="123"/>
      <c r="S16" s="123"/>
      <c r="T16" s="123"/>
      <c r="U16" s="123"/>
      <c r="V16" s="123"/>
      <c r="W16" s="123"/>
      <c r="X16" s="123"/>
      <c r="Y16" s="123"/>
      <c r="Z16" s="123"/>
      <c r="AA16" s="123"/>
      <c r="AB16" s="123"/>
      <c r="AC16" s="123"/>
      <c r="AD16" s="123"/>
      <c r="AE16" s="123"/>
      <c r="AF16" s="123"/>
      <c r="AG16" s="123"/>
      <c r="AH16" s="123"/>
      <c r="AI16" s="123"/>
      <c r="AJ16" s="123"/>
      <c r="AK16" s="123"/>
      <c r="AL16" s="123"/>
      <c r="AM16" s="123"/>
      <c r="AN16" s="123"/>
      <c r="AO16" s="123"/>
      <c r="AP16" s="123"/>
      <c r="AQ16" s="123"/>
      <c r="AR16" s="123"/>
      <c r="AS16" s="123"/>
      <c r="AT16" s="123"/>
      <c r="AU16" s="123"/>
    </row>
    <row r="17" spans="1:50" s="125" customFormat="1" ht="15" customHeight="1">
      <c r="A17" s="118"/>
      <c r="B17" s="168"/>
      <c r="C17" s="172"/>
      <c r="D17" s="172"/>
      <c r="E17" s="172"/>
      <c r="F17" s="172"/>
      <c r="G17" s="173"/>
      <c r="H17" s="170"/>
      <c r="I17" s="171"/>
      <c r="J17" s="123"/>
      <c r="K17" s="123"/>
      <c r="L17" s="123"/>
      <c r="M17" s="123"/>
      <c r="N17" s="123"/>
      <c r="O17" s="123"/>
      <c r="P17" s="123"/>
      <c r="Q17" s="123"/>
      <c r="R17" s="123"/>
      <c r="S17" s="123"/>
      <c r="T17" s="123"/>
      <c r="U17" s="123"/>
      <c r="V17" s="123"/>
      <c r="W17" s="123"/>
      <c r="X17" s="123"/>
      <c r="Y17" s="123"/>
      <c r="Z17" s="123"/>
      <c r="AA17" s="123"/>
      <c r="AB17" s="123"/>
      <c r="AC17" s="123"/>
      <c r="AD17" s="123"/>
      <c r="AE17" s="174"/>
      <c r="AF17" s="174"/>
      <c r="AG17" s="174"/>
      <c r="AH17" s="174"/>
      <c r="AI17" s="174"/>
      <c r="AJ17" s="123"/>
      <c r="AK17" s="123"/>
      <c r="AS17" s="123"/>
      <c r="AT17" s="123"/>
      <c r="AU17" s="123"/>
    </row>
    <row r="18" spans="1:50" s="125" customFormat="1" ht="14" customHeight="1">
      <c r="A18" s="118"/>
      <c r="B18" s="168"/>
      <c r="C18" s="175"/>
      <c r="D18" s="175"/>
      <c r="E18" s="175"/>
      <c r="F18" s="175"/>
      <c r="G18" s="175"/>
      <c r="H18" s="175"/>
      <c r="I18" s="176"/>
      <c r="AL18" s="160"/>
    </row>
    <row r="19" spans="1:50" s="125" customFormat="1" ht="13" customHeight="1" thickBot="1">
      <c r="A19" s="118"/>
      <c r="B19" s="168"/>
      <c r="C19" s="175"/>
      <c r="D19" s="175"/>
      <c r="E19" s="175"/>
      <c r="F19" s="175"/>
      <c r="G19" s="175"/>
      <c r="H19" s="175"/>
      <c r="I19" s="176"/>
      <c r="AE19" s="124"/>
      <c r="AF19" s="124"/>
      <c r="AG19" s="124"/>
      <c r="AH19" s="124"/>
      <c r="AI19" s="124"/>
      <c r="AJ19" s="124"/>
      <c r="AK19" s="124"/>
    </row>
    <row r="20" spans="1:50" s="125" customFormat="1" ht="21" customHeight="1">
      <c r="A20" s="118"/>
      <c r="B20" s="168"/>
      <c r="C20" s="177"/>
      <c r="D20" s="177"/>
      <c r="E20" s="177"/>
      <c r="F20" s="177"/>
      <c r="G20" s="177"/>
      <c r="H20" s="177"/>
      <c r="I20" s="178"/>
      <c r="K20" s="179" t="s">
        <v>305</v>
      </c>
      <c r="L20" s="228" cm="1">
        <f t="array" ref="L20:S22">IFERROR(
    _xlfn.WRAPCOLS(
        _xlfn.TOCOL(
            INDEX(
                _xlfn._xlws.FILTER(
                    _xlfn.UNIQUE(_xlfn.HSTACK(LineEntry, DateEntry, PayIDEntry)),
                    _xlfn.BYROW(_xlfn.UNIQUE(_xlfn.HSTACK(LineEntry, DateEntry, PayIDEntry)), _xlfn.LAMBDA(_xlpm.row, AND(_xlpm.row&lt;&gt;"")))
                ),
                _xlfn.SEQUENCE(8,1),
                {1,2,3}
            )
        ),
        3
    ),
    ""
)</f>
        <v>207</v>
      </c>
      <c r="M20" s="229" t="str">
        <v/>
      </c>
      <c r="N20" s="229" t="str">
        <v/>
      </c>
      <c r="O20" s="229" t="str">
        <v/>
      </c>
      <c r="P20" s="229" t="str">
        <v/>
      </c>
      <c r="Q20" s="229" t="str">
        <v/>
      </c>
      <c r="R20" s="229" t="str">
        <v/>
      </c>
      <c r="S20" s="229" t="str">
        <v/>
      </c>
      <c r="T20" s="230"/>
      <c r="U20" s="231" cm="1">
        <f t="array" ref="U20">SUMPRODUCT(--(TRIM(L20:T20)&lt;&gt;""))</f>
        <v>1</v>
      </c>
      <c r="V20" s="232" t="s">
        <v>305</v>
      </c>
      <c r="W20" s="233" cm="1">
        <f t="array" ref="W20:W22">IF(U20=0,"",TRANSPOSE(_xlfn._xlws.SORT(TRANSPOSE(INDEX(L20:T22,_xlfn.SEQUENCE(ROWS(L20:T22)),_xlfn.SEQUENCE(,U20))),1,TRUE)))</f>
        <v>207</v>
      </c>
      <c r="X20" s="233"/>
      <c r="Y20" s="233"/>
      <c r="Z20" s="233"/>
      <c r="AA20" s="233"/>
      <c r="AB20" s="233"/>
      <c r="AC20" s="233"/>
      <c r="AD20" s="233"/>
      <c r="AE20" s="233"/>
      <c r="AL20" s="124"/>
      <c r="AM20" s="124"/>
      <c r="AN20" s="124"/>
      <c r="AO20" s="124"/>
      <c r="AP20" s="124"/>
      <c r="AQ20" s="124"/>
      <c r="AR20" s="124"/>
    </row>
    <row r="21" spans="1:50" s="125" customFormat="1" ht="15" customHeight="1">
      <c r="A21" s="118"/>
      <c r="B21" s="168"/>
      <c r="C21" s="177"/>
      <c r="D21" s="177"/>
      <c r="E21" s="177"/>
      <c r="F21" s="177"/>
      <c r="G21" s="177"/>
      <c r="H21" s="177"/>
      <c r="I21" s="178"/>
      <c r="K21" s="179" t="s">
        <v>306</v>
      </c>
      <c r="L21" s="234">
        <v>45717</v>
      </c>
      <c r="M21" s="235" t="str">
        <v/>
      </c>
      <c r="N21" s="235" t="str">
        <v/>
      </c>
      <c r="O21" s="235" t="str">
        <v/>
      </c>
      <c r="P21" s="235" t="str">
        <v/>
      </c>
      <c r="Q21" s="235" t="str">
        <v/>
      </c>
      <c r="R21" s="235" t="str">
        <v/>
      </c>
      <c r="S21" s="235" t="str">
        <v/>
      </c>
      <c r="T21" s="236"/>
      <c r="U21" s="231"/>
      <c r="V21" s="232" t="s">
        <v>306</v>
      </c>
      <c r="W21" s="237">
        <v>45717</v>
      </c>
      <c r="X21" s="237"/>
      <c r="Y21" s="237"/>
      <c r="Z21" s="237"/>
      <c r="AA21" s="237"/>
      <c r="AB21" s="237"/>
      <c r="AC21" s="237"/>
      <c r="AD21" s="237"/>
      <c r="AE21" s="237"/>
      <c r="AL21" s="180"/>
    </row>
    <row r="22" spans="1:50" ht="30" customHeight="1" thickBot="1">
      <c r="A22" s="103"/>
      <c r="B22" s="181"/>
      <c r="C22" s="182"/>
      <c r="D22" s="183"/>
      <c r="E22" s="183"/>
      <c r="F22" s="183"/>
      <c r="G22" s="183"/>
      <c r="H22" s="183"/>
      <c r="I22" s="184"/>
      <c r="K22" s="179" t="s">
        <v>307</v>
      </c>
      <c r="L22" s="238" t="str">
        <v>VISA 2459</v>
      </c>
      <c r="M22" s="239" t="str">
        <v/>
      </c>
      <c r="N22" s="239" t="str">
        <v/>
      </c>
      <c r="O22" s="239" t="str">
        <v/>
      </c>
      <c r="P22" s="239" t="str">
        <v/>
      </c>
      <c r="Q22" s="239" t="str">
        <v/>
      </c>
      <c r="R22" s="239" t="str">
        <v/>
      </c>
      <c r="S22" s="239" t="str">
        <v/>
      </c>
      <c r="T22" s="240"/>
      <c r="U22" s="241"/>
      <c r="V22" s="232" t="s">
        <v>307</v>
      </c>
      <c r="W22" s="242" t="str">
        <v>VISA 2459</v>
      </c>
      <c r="X22" s="242"/>
      <c r="Y22" s="242"/>
      <c r="Z22" s="242"/>
      <c r="AA22" s="242"/>
      <c r="AB22" s="242"/>
      <c r="AC22" s="242"/>
      <c r="AD22" s="242"/>
      <c r="AE22" s="243"/>
      <c r="AL22" s="125"/>
      <c r="AM22" s="125"/>
      <c r="AN22" s="125"/>
      <c r="AO22" s="125"/>
      <c r="AP22" s="125"/>
      <c r="AQ22" s="125"/>
      <c r="AR22" s="125"/>
      <c r="AS22" s="185"/>
      <c r="AT22" s="185"/>
      <c r="AU22" s="185"/>
      <c r="AV22" s="185"/>
      <c r="AW22" s="185"/>
      <c r="AX22" s="185"/>
    </row>
    <row r="23" spans="1:50" s="124" customFormat="1" ht="16" customHeight="1" thickBot="1">
      <c r="A23" s="129"/>
      <c r="B23" s="186" t="s">
        <v>4</v>
      </c>
      <c r="C23" s="187" t="s">
        <v>3</v>
      </c>
      <c r="D23" s="188"/>
      <c r="E23" s="189" t="s">
        <v>11</v>
      </c>
      <c r="F23" s="189" t="s">
        <v>17</v>
      </c>
      <c r="G23" s="189" t="s">
        <v>2</v>
      </c>
      <c r="H23" s="189" t="s">
        <v>1</v>
      </c>
      <c r="I23" s="190" t="s">
        <v>0</v>
      </c>
      <c r="L23" s="244"/>
      <c r="M23" s="244"/>
      <c r="N23" s="244"/>
      <c r="O23" s="244"/>
      <c r="P23" s="244"/>
      <c r="Q23" s="244"/>
      <c r="R23" s="244"/>
      <c r="S23" s="244"/>
      <c r="T23" s="244"/>
      <c r="U23" s="244"/>
      <c r="V23" s="244"/>
      <c r="W23" s="245" t="s">
        <v>299</v>
      </c>
      <c r="X23" s="245" t="s">
        <v>304</v>
      </c>
      <c r="Y23" s="245" t="s">
        <v>300</v>
      </c>
      <c r="Z23" s="245" t="s">
        <v>301</v>
      </c>
      <c r="AA23" s="245" t="s">
        <v>302</v>
      </c>
      <c r="AB23" s="245" t="s">
        <v>303</v>
      </c>
      <c r="AC23" s="245" t="s">
        <v>312</v>
      </c>
      <c r="AD23" s="245" t="s">
        <v>311</v>
      </c>
      <c r="AE23" s="245" t="s">
        <v>358</v>
      </c>
      <c r="AL23" s="102"/>
      <c r="AM23" s="102"/>
      <c r="AN23" s="102"/>
      <c r="AO23" s="102"/>
      <c r="AP23" s="102"/>
      <c r="AQ23" s="102"/>
      <c r="AR23" s="102"/>
    </row>
    <row r="24" spans="1:50" s="124" customFormat="1" ht="16" customHeight="1">
      <c r="A24" s="129"/>
      <c r="B24" s="271">
        <v>207</v>
      </c>
      <c r="C24" s="276" t="s">
        <v>370</v>
      </c>
      <c r="D24" s="277"/>
      <c r="E24" s="272">
        <v>45717</v>
      </c>
      <c r="F24" s="273" t="s">
        <v>369</v>
      </c>
      <c r="G24" s="274">
        <v>2</v>
      </c>
      <c r="H24" s="275">
        <v>1200</v>
      </c>
      <c r="I24" s="227">
        <f>G24*H24</f>
        <v>2400</v>
      </c>
      <c r="L24" s="244"/>
      <c r="M24" s="244"/>
      <c r="N24" s="244"/>
      <c r="O24" s="244"/>
      <c r="P24" s="244"/>
      <c r="Q24" s="244"/>
      <c r="R24" s="244"/>
      <c r="S24" s="244"/>
      <c r="T24" s="244"/>
      <c r="U24" s="244"/>
      <c r="V24" s="244"/>
      <c r="W24" s="246">
        <f>IF($B24="", "", IF(AND($I24, $B24=W$20, $E24=W$21, $F24=W$22, SUM($I$24)&gt;0), $I24, ""))</f>
        <v>2400</v>
      </c>
      <c r="X24" s="246" t="str">
        <f>IF($B24="", "", IF(AND($I24, $B24=X$20, $E24=X$21, $F24=X$22, SUM($I$24)&gt;0), $I24, ""))</f>
        <v/>
      </c>
      <c r="Y24" s="246" t="str">
        <f>IF($B24="", "", IF(AND($I24, $B24=Y$20, $E24=Y$21, $F24=Y$22, SUM($I$24)&gt;0), $I24, ""))</f>
        <v/>
      </c>
      <c r="Z24" s="246" t="str">
        <f>IF($B24="", "", IF(AND($I24, $B24=Z$20, $E24=Z$21, $F24=Z$22, SUM($I$24)&gt;0), $I24, ""))</f>
        <v/>
      </c>
      <c r="AA24" s="246" t="str">
        <f>IF($B24="", "", IF(AND($I24, $B24=AA$20, $E24=AA$21, $F24=AA$22, SUM($I$24)&gt;0), $I24, ""))</f>
        <v/>
      </c>
      <c r="AB24" s="246" t="str">
        <f>IF($B24="", "", IF(AND($I24, $B24=AB$20, $E24=AB$21, $F24=AB$22, SUM($I$24)&gt;0), $I24, ""))</f>
        <v/>
      </c>
      <c r="AC24" s="246" t="str">
        <f>IF($B24="", "", IF(AND($I24, $B24=AC$20, $E24=AC$21, $F24=AC$22, SUM($I$24)&gt;0), $I24, ""))</f>
        <v/>
      </c>
      <c r="AD24" s="246" t="str">
        <f>IF($B24="", "", IF(AND($I24, $B24=AD$20, $E24=AD$21, $F24=AD$22, SUM($I$24)&gt;0), $I24, ""))</f>
        <v/>
      </c>
      <c r="AE24" s="246" t="str">
        <f>IF(AND(B24="", E24="", F24=""), "", IF(OR(B24="", E24="", F24=""), I24, ""))</f>
        <v/>
      </c>
    </row>
    <row r="25" spans="1:50" s="124" customFormat="1" ht="16" customHeight="1">
      <c r="A25" s="129"/>
      <c r="B25" s="31"/>
      <c r="C25" s="59"/>
      <c r="D25" s="60"/>
      <c r="E25" s="30"/>
      <c r="F25" s="32"/>
      <c r="G25" s="2"/>
      <c r="H25" s="1"/>
      <c r="I25" s="227">
        <f t="shared" ref="I25:I34" si="0">G25*H25</f>
        <v>0</v>
      </c>
      <c r="L25" s="244"/>
      <c r="M25" s="244"/>
      <c r="N25" s="244"/>
      <c r="O25" s="244"/>
      <c r="P25" s="244"/>
      <c r="Q25" s="244"/>
      <c r="R25" s="244"/>
      <c r="S25" s="244"/>
      <c r="T25" s="244"/>
      <c r="U25" s="244"/>
      <c r="V25" s="244"/>
      <c r="W25" s="246" t="str">
        <f>IF($B25="", "", IF(AND($I25, $B25=W$20, $E25=W$21, $F25=W$22, SUM($I$25)&gt;0), $I25, ""))</f>
        <v/>
      </c>
      <c r="X25" s="246" t="str">
        <f>IF($B25="", "", IF(AND($I25, $B25=X$20, $E25=X$21, $F25=X$22, SUM($I$25)&gt;0), $I25, ""))</f>
        <v/>
      </c>
      <c r="Y25" s="246" t="str">
        <f>IF($B25="", "", IF(AND($I25, $B25=Y$20, $E25=Y$21, $F25=Y$22, SUM($I$25)&gt;0), $I25, ""))</f>
        <v/>
      </c>
      <c r="Z25" s="246" t="str">
        <f>IF($B25="", "", IF(AND($I25, $B25=Z$20, $E25=Z$21, $F25=Z$22, SUM($I$25)&gt;0), $I25, ""))</f>
        <v/>
      </c>
      <c r="AA25" s="246" t="str">
        <f>IF($B25="", "", IF(AND($I25, $B25=AA$20, $E25=AA$21, $F25=AA$22, SUM($I$25)&gt;0), $I25, ""))</f>
        <v/>
      </c>
      <c r="AB25" s="246" t="str">
        <f>IF($B25="", "", IF(AND($I25, $B25=AB$20, $E25=AB$21, $F25=AB$22, SUM($I$25)&gt;0), $I25, ""))</f>
        <v/>
      </c>
      <c r="AC25" s="246" t="str">
        <f>IF($B25="", "", IF(AND($I25, $B25=AC$20, $E25=AC$21, $F25=AC$22, SUM($I$25)&gt;0), $I25, ""))</f>
        <v/>
      </c>
      <c r="AD25" s="246" t="str">
        <f>IF($B25="", "", IF(AND($I25, $B25=AD$20, $E25=AD$21, $F25=AD$22, SUM($I$25)&gt;0), $I25, ""))</f>
        <v/>
      </c>
      <c r="AE25" s="246" t="str">
        <f>IF(AND(B25="", E25="", F25=""), "", IF(OR(B25="", E25="", F25=""), I25, ""))</f>
        <v/>
      </c>
    </row>
    <row r="26" spans="1:50" s="124" customFormat="1" ht="16" customHeight="1">
      <c r="A26" s="129"/>
      <c r="B26" s="31"/>
      <c r="C26" s="59"/>
      <c r="D26" s="60"/>
      <c r="E26" s="30"/>
      <c r="F26" s="32"/>
      <c r="G26" s="2"/>
      <c r="H26" s="1"/>
      <c r="I26" s="227">
        <f t="shared" si="0"/>
        <v>0</v>
      </c>
      <c r="L26" s="244"/>
      <c r="M26" s="244"/>
      <c r="N26" s="244"/>
      <c r="O26" s="244"/>
      <c r="P26" s="244"/>
      <c r="Q26" s="244"/>
      <c r="R26" s="244"/>
      <c r="S26" s="244"/>
      <c r="T26" s="244"/>
      <c r="U26" s="244"/>
      <c r="V26" s="244"/>
      <c r="W26" s="246" t="str">
        <f>IF($B26="", "", IF(AND($I26, $B26=W$20, $E26=W$21, $F26=W$22, SUM($I$26)&gt;0), $I26, ""))</f>
        <v/>
      </c>
      <c r="X26" s="246" t="str">
        <f>IF($B26="", "", IF(AND($I26, $B26=X$20, $E26=X$21, $F26=X$22, SUM($I$26)&gt;0), $I26, ""))</f>
        <v/>
      </c>
      <c r="Y26" s="246" t="str">
        <f>IF($B26="", "", IF(AND($I26, $B26=Y$20, $E26=Y$21, $F26=Y$22, SUM($I$26)&gt;0), $I26, ""))</f>
        <v/>
      </c>
      <c r="Z26" s="246" t="str">
        <f>IF($B26="", "", IF(AND($I26, $B26=Z$20, $E26=Z$21, $F26=Z$22, SUM($I$26)&gt;0), $I26, ""))</f>
        <v/>
      </c>
      <c r="AA26" s="246" t="str">
        <f>IF($B26="", "", IF(AND($I26, $B26=AA$20, $E26=AA$21, $F26=AA$22, SUM($I$26)&gt;0), $I26, ""))</f>
        <v/>
      </c>
      <c r="AB26" s="246" t="str">
        <f>IF($B26="", "", IF(AND($I26, $B26=AB$20, $E26=AB$21, $F26=AB$22, SUM($I$26)&gt;0), $I26, ""))</f>
        <v/>
      </c>
      <c r="AC26" s="246" t="str">
        <f>IF($B26="", "", IF(AND($I26, $B26=AC$20, $E26=AC$21, $F26=AC$22, SUM($I$26)&gt;0), $I26, ""))</f>
        <v/>
      </c>
      <c r="AD26" s="246" t="str">
        <f>IF($B26="", "", IF(AND($I26, $B26=AD$20, $E26=AD$21, $F26=AD$22, SUM($I$26)&gt;0), $I26, ""))</f>
        <v/>
      </c>
      <c r="AE26" s="246" t="str">
        <f>IF(AND(B26="", E26="", F26=""), "", IF(OR(B26="", E26="", F26=""), I26, ""))</f>
        <v/>
      </c>
    </row>
    <row r="27" spans="1:50" s="124" customFormat="1" ht="16">
      <c r="A27" s="129"/>
      <c r="B27" s="31"/>
      <c r="C27" s="59"/>
      <c r="D27" s="60"/>
      <c r="E27" s="30"/>
      <c r="F27" s="32"/>
      <c r="G27" s="2"/>
      <c r="H27" s="1"/>
      <c r="I27" s="227">
        <f t="shared" si="0"/>
        <v>0</v>
      </c>
      <c r="L27" s="244"/>
      <c r="M27" s="244"/>
      <c r="N27" s="244"/>
      <c r="O27" s="244"/>
      <c r="P27" s="244"/>
      <c r="Q27" s="244"/>
      <c r="R27" s="244"/>
      <c r="S27" s="244"/>
      <c r="T27" s="244"/>
      <c r="U27" s="244"/>
      <c r="V27" s="244"/>
      <c r="W27" s="246" t="str">
        <f>IF($B27="", "", IF(AND($I27, $B27=W$20, $E27=W$21, $F27=W$22, SUM($I$27)&gt;0), $I27, ""))</f>
        <v/>
      </c>
      <c r="X27" s="246" t="str">
        <f>IF($B27="", "", IF(AND($I27, $B27=X$20, $E27=X$21, $F27=X$22, SUM($I$27)&gt;0), $I27, ""))</f>
        <v/>
      </c>
      <c r="Y27" s="246" t="str">
        <f>IF($B27="", "", IF(AND($I27, $B27=Y$20, $E27=Y$21, $F27=Y$22, SUM($I$27)&gt;0), $I27, ""))</f>
        <v/>
      </c>
      <c r="Z27" s="246" t="str">
        <f>IF($B27="", "", IF(AND($I27, $B27=Z$20, $E27=Z$21, $F27=Z$22, SUM($I$27)&gt;0), $I27, ""))</f>
        <v/>
      </c>
      <c r="AA27" s="246" t="str">
        <f>IF($B27="", "", IF(AND($I27, $B27=AA$20, $E27=AA$21, $F27=AA$22, SUM($I$27)&gt;0), $I27, ""))</f>
        <v/>
      </c>
      <c r="AB27" s="246" t="str">
        <f>IF($B27="", "", IF(AND($I27, $B27=AB$20, $E27=AB$21, $F27=AB$22, SUM($I$27)&gt;0), $I27, ""))</f>
        <v/>
      </c>
      <c r="AC27" s="246" t="str">
        <f>IF($B27="", "", IF(AND($I27, $B27=AC$20, $E27=AC$21, $F27=AC$22, SUM($I$27)&gt;0), $I27, ""))</f>
        <v/>
      </c>
      <c r="AD27" s="246" t="str">
        <f>IF($B27="", "", IF(AND($I27, $B27=AD$20, $E27=AD$21, $F27=AD$22, SUM($I$27)&gt;0), $I27, ""))</f>
        <v/>
      </c>
      <c r="AE27" s="246" t="str">
        <f>IF(AND(B27="", E27="", F27=""), "", IF(OR(B27="", E27="", F27=""), I27, ""))</f>
        <v/>
      </c>
    </row>
    <row r="28" spans="1:50" s="124" customFormat="1" ht="16" customHeight="1">
      <c r="A28" s="129"/>
      <c r="B28" s="31"/>
      <c r="C28" s="59"/>
      <c r="D28" s="60"/>
      <c r="E28" s="30"/>
      <c r="F28" s="32"/>
      <c r="G28" s="2"/>
      <c r="H28" s="1"/>
      <c r="I28" s="227">
        <f t="shared" si="0"/>
        <v>0</v>
      </c>
      <c r="L28" s="244"/>
      <c r="M28" s="244"/>
      <c r="N28" s="244"/>
      <c r="O28" s="244"/>
      <c r="P28" s="244"/>
      <c r="Q28" s="244"/>
      <c r="R28" s="244"/>
      <c r="S28" s="244"/>
      <c r="T28" s="244"/>
      <c r="U28" s="244"/>
      <c r="V28" s="244"/>
      <c r="W28" s="246" t="str">
        <f>IF($B28="", "", IF(AND($I28, $B28=W$20, $E28=W$21, $F28=W$22, SUM($I$28)&gt;0), $I28, ""))</f>
        <v/>
      </c>
      <c r="X28" s="246" t="str">
        <f>IF($B28="", "", IF(AND($I28, $B28=X$20, $E28=X$21, $F28=X$22, SUM($I$28)&gt;0), $I28, ""))</f>
        <v/>
      </c>
      <c r="Y28" s="246" t="str">
        <f>IF($B28="", "", IF(AND($I28, $B28=Y$20, $E28=Y$21, $F28=Y$22, SUM($I$28)&gt;0), $I28, ""))</f>
        <v/>
      </c>
      <c r="Z28" s="246" t="str">
        <f>IF($B28="", "", IF(AND($I28, $B28=Z$20, $E28=Z$21, $F28=Z$22, SUM($I$28)&gt;0), $I28, ""))</f>
        <v/>
      </c>
      <c r="AA28" s="246" t="str">
        <f>IF($B28="", "", IF(AND($I28, $B28=AA$20, $E28=AA$21, $F28=AA$22, SUM($I$28)&gt;0), $I28, ""))</f>
        <v/>
      </c>
      <c r="AB28" s="246" t="str">
        <f>IF($B28="", "", IF(AND($I28, $B28=AB$20, $E28=AB$21, $F28=AB$22, SUM($I$28)&gt;0), $I28, ""))</f>
        <v/>
      </c>
      <c r="AC28" s="246" t="str">
        <f>IF($B28="", "", IF(AND($I28, $B28=AC$20, $E28=AC$21, $F28=AC$22, SUM($I$28)&gt;0), $I28, ""))</f>
        <v/>
      </c>
      <c r="AD28" s="246" t="str">
        <f>IF($B28="", "", IF(AND($I28, $B28=AD$20, $E28=AD$21, $F28=AD$22, SUM($I$28)&gt;0), $I28, ""))</f>
        <v/>
      </c>
      <c r="AE28" s="246" t="str">
        <f>IF(AND(B28="", E28="", F28=""), "", IF(OR(B28="", E28="", F28=""), I28, ""))</f>
        <v/>
      </c>
    </row>
    <row r="29" spans="1:50" s="124" customFormat="1" ht="16" customHeight="1">
      <c r="A29" s="129"/>
      <c r="B29" s="31"/>
      <c r="C29" s="59"/>
      <c r="D29" s="60"/>
      <c r="E29" s="30"/>
      <c r="F29" s="32"/>
      <c r="G29" s="2"/>
      <c r="H29" s="1"/>
      <c r="I29" s="227">
        <f t="shared" si="0"/>
        <v>0</v>
      </c>
      <c r="L29" s="244"/>
      <c r="M29" s="244"/>
      <c r="N29" s="244"/>
      <c r="O29" s="244"/>
      <c r="P29" s="244"/>
      <c r="Q29" s="244"/>
      <c r="R29" s="244"/>
      <c r="S29" s="244"/>
      <c r="T29" s="244"/>
      <c r="U29" s="244"/>
      <c r="V29" s="244"/>
      <c r="W29" s="246" t="str">
        <f>IF($B29="", "", IF(AND($I29, $B29=W$20, $E29=W$21, $F29=W$22, SUM($I$29)&gt;0), $I29, ""))</f>
        <v/>
      </c>
      <c r="X29" s="246" t="str">
        <f>IF($B29="", "", IF(AND($I29, $B29=X$20, $E29=X$21, $F29=X$22, SUM($I$29)&gt;0), $I29, ""))</f>
        <v/>
      </c>
      <c r="Y29" s="246" t="str">
        <f>IF($B29="", "", IF(AND($I29, $B29=Y$20, $E29=Y$21, $F29=Y$22, SUM($I$29)&gt;0), $I29, ""))</f>
        <v/>
      </c>
      <c r="Z29" s="246" t="str">
        <f>IF($B29="", "", IF(AND($I29, $B29=Z$20, $E29=Z$21, $F29=Z$22, SUM($I$29)&gt;0), $I29, ""))</f>
        <v/>
      </c>
      <c r="AA29" s="246" t="str">
        <f>IF($B29="", "", IF(AND($I29, $B29=AA$20, $E29=AA$21, $F29=AA$22, SUM($I$29)&gt;0), $I29, ""))</f>
        <v/>
      </c>
      <c r="AB29" s="246" t="str">
        <f>IF($B29="", "", IF(AND($I29, $B29=AB$20, $E29=AB$21, $F29=AB$22, SUM($I$29)&gt;0), $I29, ""))</f>
        <v/>
      </c>
      <c r="AC29" s="246" t="str">
        <f>IF($B29="", "", IF(AND($I29, $B29=AC$20, $E29=AC$21, $F29=AC$22, SUM($I$29)&gt;0), $I29, ""))</f>
        <v/>
      </c>
      <c r="AD29" s="246" t="str">
        <f>IF($B29="", "", IF(AND($I29, $B29=AD$20, $E29=AD$21, $F29=AD$22, SUM($I$29)&gt;0), $I29, ""))</f>
        <v/>
      </c>
      <c r="AE29" s="246" t="str">
        <f>IF(AND(B29="", E29="", F29=""), "", IF(OR(B29="", E29="", F29=""), I29, ""))</f>
        <v/>
      </c>
    </row>
    <row r="30" spans="1:50" s="124" customFormat="1" ht="16" customHeight="1">
      <c r="A30" s="129"/>
      <c r="B30" s="31"/>
      <c r="C30" s="59"/>
      <c r="D30" s="60"/>
      <c r="E30" s="30"/>
      <c r="F30" s="32"/>
      <c r="G30" s="2"/>
      <c r="H30" s="1"/>
      <c r="I30" s="227">
        <f t="shared" si="0"/>
        <v>0</v>
      </c>
      <c r="L30" s="244"/>
      <c r="M30" s="244"/>
      <c r="N30" s="244"/>
      <c r="O30" s="244"/>
      <c r="P30" s="244"/>
      <c r="Q30" s="244"/>
      <c r="R30" s="244"/>
      <c r="S30" s="244"/>
      <c r="T30" s="244"/>
      <c r="U30" s="244"/>
      <c r="V30" s="244"/>
      <c r="W30" s="246" t="str">
        <f>IF($B30="", "", IF(AND($I30, $B30=W$20, $E30=W$21, $F30=W$22, SUM($I$30)&gt;0), $I30, ""))</f>
        <v/>
      </c>
      <c r="X30" s="246" t="str">
        <f>IF($B30="", "", IF(AND($I30, $B30=X$20, $E30=X$21, $F30=X$22, SUM($I$30)&gt;0), $I30, ""))</f>
        <v/>
      </c>
      <c r="Y30" s="246" t="str">
        <f>IF($B30="", "", IF(AND($I30, $B30=Y$20, $E30=Y$21, $F30=Y$22, SUM($I$30)&gt;0), $I30, ""))</f>
        <v/>
      </c>
      <c r="Z30" s="246" t="str">
        <f>IF($B30="", "", IF(AND($I30, $B30=Z$20, $E30=Z$21, $F30=Z$22, SUM($I$30)&gt;0), $I30, ""))</f>
        <v/>
      </c>
      <c r="AA30" s="246" t="str">
        <f>IF($B30="", "", IF(AND($I30, $B30=AA$20, $E30=AA$21, $F30=AA$22, SUM($I$30)&gt;0), $I30, ""))</f>
        <v/>
      </c>
      <c r="AB30" s="246" t="str">
        <f>IF($B30="", "", IF(AND($I30, $B30=AB$20, $E30=AB$21, $F30=AB$22, SUM($I$30)&gt;0), $I30, ""))</f>
        <v/>
      </c>
      <c r="AC30" s="246" t="str">
        <f>IF($B30="", "", IF(AND($I30, $B30=AC$20, $E30=AC$21, $F30=AC$22, SUM($I$30)&gt;0), $I30, ""))</f>
        <v/>
      </c>
      <c r="AD30" s="246" t="str">
        <f>IF($B30="", "", IF(AND($I30, $B30=AD$20, $E30=AD$21, $F30=AD$22, SUM($I$30)&gt;0), $I30, ""))</f>
        <v/>
      </c>
      <c r="AE30" s="246" t="str">
        <f>IF(AND(B30="", E30="", F30=""), "", IF(OR(B30="", E30="", F30=""), I30, ""))</f>
        <v/>
      </c>
    </row>
    <row r="31" spans="1:50" s="124" customFormat="1" ht="16" customHeight="1">
      <c r="A31" s="129"/>
      <c r="B31" s="31"/>
      <c r="C31" s="59"/>
      <c r="D31" s="60"/>
      <c r="E31" s="30"/>
      <c r="F31" s="32"/>
      <c r="G31" s="2"/>
      <c r="H31" s="1"/>
      <c r="I31" s="227">
        <f t="shared" si="0"/>
        <v>0</v>
      </c>
      <c r="L31" s="244"/>
      <c r="M31" s="244"/>
      <c r="N31" s="244"/>
      <c r="O31" s="244"/>
      <c r="P31" s="244"/>
      <c r="Q31" s="244"/>
      <c r="R31" s="244"/>
      <c r="S31" s="244"/>
      <c r="T31" s="244"/>
      <c r="U31" s="244"/>
      <c r="V31" s="244"/>
      <c r="W31" s="246" t="str">
        <f>IF($B31="", "", IF(AND($I31, $B31=W$20, $E31=W$21, $F31=W$22, SUM($I$31)&gt;0), $I31, ""))</f>
        <v/>
      </c>
      <c r="X31" s="246" t="str">
        <f>IF($B31="", "", IF(AND($I31, $B31=X$20, $E31=X$21, $F31=X$22, SUM($I$31)&gt;0), $I31, ""))</f>
        <v/>
      </c>
      <c r="Y31" s="246" t="str">
        <f>IF($B31="", "", IF(AND($I31, $B31=Y$20, $E31=Y$21, $F31=Y$22, SUM($I$31)&gt;0), $I31, ""))</f>
        <v/>
      </c>
      <c r="Z31" s="246" t="str">
        <f>IF($B31="", "", IF(AND($I31, $B31=Z$20, $E31=Z$21, $F31=Z$22, SUM($I$31)&gt;0), $I31, ""))</f>
        <v/>
      </c>
      <c r="AA31" s="246" t="str">
        <f>IF($B31="", "", IF(AND($I31, $B31=AA$20, $E31=AA$21, $F31=AA$22, SUM($I$31)&gt;0), $I31, ""))</f>
        <v/>
      </c>
      <c r="AB31" s="246" t="str">
        <f>IF($B31="", "", IF(AND($I31, $B31=AB$20, $E31=AB$21, $F31=AB$22, SUM($I$31)&gt;0), $I31, ""))</f>
        <v/>
      </c>
      <c r="AC31" s="246" t="str">
        <f>IF($B31="", "", IF(AND($I31, $B31=AC$20, $E31=AC$21, $F31=AC$22, SUM($I$31)&gt;0), $I31, ""))</f>
        <v/>
      </c>
      <c r="AD31" s="246" t="str">
        <f>IF($B31="", "", IF(AND($I31, $B31=AD$20, $E31=AD$21, $F31=AD$22, SUM($I$31)&gt;0), $I31, ""))</f>
        <v/>
      </c>
      <c r="AE31" s="246" t="str">
        <f>IF(AND(B31="", E31="", F31=""), "", IF(OR(B31="", E31="", F31=""), I31, ""))</f>
        <v/>
      </c>
    </row>
    <row r="32" spans="1:50" s="124" customFormat="1" ht="16" customHeight="1">
      <c r="A32" s="129"/>
      <c r="B32" s="31"/>
      <c r="C32" s="59"/>
      <c r="D32" s="60"/>
      <c r="E32" s="30"/>
      <c r="F32" s="32"/>
      <c r="G32" s="2"/>
      <c r="H32" s="1"/>
      <c r="I32" s="227">
        <f t="shared" si="0"/>
        <v>0</v>
      </c>
      <c r="L32" s="244"/>
      <c r="M32" s="244"/>
      <c r="N32" s="244"/>
      <c r="O32" s="244"/>
      <c r="P32" s="244"/>
      <c r="Q32" s="244"/>
      <c r="R32" s="244"/>
      <c r="S32" s="244"/>
      <c r="T32" s="244"/>
      <c r="U32" s="244"/>
      <c r="V32" s="244"/>
      <c r="W32" s="246" t="str">
        <f>IF($B32="", "", IF(AND($I32, $B32=W$20, $E32=W$21, $F32=W$22, SUM($I$32)&gt;0), $I32, ""))</f>
        <v/>
      </c>
      <c r="X32" s="246" t="str">
        <f>IF($B32="", "", IF(AND($I32, $B32=X$20, $E32=X$21, $F32=X$22, SUM($I$32)&gt;0), $I32, ""))</f>
        <v/>
      </c>
      <c r="Y32" s="246" t="str">
        <f>IF($B32="", "", IF(AND($I32, $B32=Y$20, $E32=Y$21, $F32=Y$22, SUM($I$32)&gt;0), $I32, ""))</f>
        <v/>
      </c>
      <c r="Z32" s="246" t="str">
        <f>IF($B32="", "", IF(AND($I32, $B32=Z$20, $E32=Z$21, $F32=Z$22, SUM($I$32)&gt;0), $I32, ""))</f>
        <v/>
      </c>
      <c r="AA32" s="246" t="str">
        <f>IF($B32="", "", IF(AND($I32, $B32=AA$20, $E32=AA$21, $F32=AA$22, SUM($I$32)&gt;0), $I32, ""))</f>
        <v/>
      </c>
      <c r="AB32" s="246" t="str">
        <f>IF($B32="", "", IF(AND($I32, $B32=AB$20, $E32=AB$21, $F32=AB$22, SUM($I$32)&gt;0), $I32, ""))</f>
        <v/>
      </c>
      <c r="AC32" s="246" t="str">
        <f>IF($B32="", "", IF(AND($I32, $B32=AC$20, $E32=AC$21, $F32=AC$22, SUM($I$32)&gt;0), $I32, ""))</f>
        <v/>
      </c>
      <c r="AD32" s="246" t="str">
        <f>IF($B32="", "", IF(AND($I32, $B32=AD$20, $E32=AD$21, $F32=AD$22, SUM($I$32)&gt;0), $I32, ""))</f>
        <v/>
      </c>
      <c r="AE32" s="246" t="str">
        <f>IF(AND(B32="", E32="", F32=""), "", IF(OR(B32="", E32="", F32=""), I32, ""))</f>
        <v/>
      </c>
    </row>
    <row r="33" spans="1:42" s="124" customFormat="1" ht="16" customHeight="1">
      <c r="A33" s="129"/>
      <c r="B33" s="31"/>
      <c r="C33" s="59"/>
      <c r="D33" s="60"/>
      <c r="E33" s="30"/>
      <c r="F33" s="32"/>
      <c r="G33" s="2"/>
      <c r="H33" s="1"/>
      <c r="I33" s="227">
        <f t="shared" si="0"/>
        <v>0</v>
      </c>
      <c r="L33" s="244"/>
      <c r="M33" s="244"/>
      <c r="N33" s="244"/>
      <c r="O33" s="244"/>
      <c r="P33" s="244"/>
      <c r="Q33" s="244"/>
      <c r="R33" s="244"/>
      <c r="S33" s="244"/>
      <c r="T33" s="244"/>
      <c r="U33" s="244"/>
      <c r="V33" s="244"/>
      <c r="W33" s="246" t="str">
        <f>IF($B33="", "", IF(AND($I33, $B33=W$20, $E33=W$21, $F33=W$22, SUM($I$33)&gt;0), $I33, ""))</f>
        <v/>
      </c>
      <c r="X33" s="246" t="str">
        <f>IF($B33="", "", IF(AND($I33, $B33=X$20, $E33=X$21, $F33=X$22, SUM($I$33)&gt;0), $I33, ""))</f>
        <v/>
      </c>
      <c r="Y33" s="246" t="str">
        <f>IF($B33="", "", IF(AND($I33, $B33=Y$20, $E33=Y$21, $F33=Y$22, SUM($I$33)&gt;0), $I33, ""))</f>
        <v/>
      </c>
      <c r="Z33" s="246" t="str">
        <f>IF($B33="", "", IF(AND($I33, $B33=Z$20, $E33=Z$21, $F33=Z$22, SUM($I$33)&gt;0), $I33, ""))</f>
        <v/>
      </c>
      <c r="AA33" s="246" t="str">
        <f>IF($B33="", "", IF(AND($I33, $B33=AA$20, $E33=AA$21, $F33=AA$22, SUM($I$33)&gt;0), $I33, ""))</f>
        <v/>
      </c>
      <c r="AB33" s="246" t="str">
        <f>IF($B33="", "", IF(AND($I33, $B33=AB$20, $E33=AB$21, $F33=AB$22, SUM($I$33)&gt;0), $I33, ""))</f>
        <v/>
      </c>
      <c r="AC33" s="246" t="str">
        <f>IF($B33="", "", IF(AND($I33, $B33=AC$20, $E33=AC$21, $F33=AC$22, SUM($I$33)&gt;0), $I33, ""))</f>
        <v/>
      </c>
      <c r="AD33" s="246" t="str">
        <f>IF($B33="", "", IF(AND($I33, $B33=AD$20, $E33=AD$21, $F33=AD$22, SUM($I$33)&gt;0), $I33, ""))</f>
        <v/>
      </c>
      <c r="AE33" s="246" t="str">
        <f>IF(AND(B33="", E33="", F33=""), "", IF(OR(B33="", E33="", F33=""), I33, ""))</f>
        <v/>
      </c>
    </row>
    <row r="34" spans="1:42" s="124" customFormat="1" ht="16" customHeight="1" thickBot="1">
      <c r="A34" s="129"/>
      <c r="B34" s="31"/>
      <c r="C34" s="59"/>
      <c r="D34" s="60"/>
      <c r="E34" s="30"/>
      <c r="F34" s="32"/>
      <c r="G34" s="2"/>
      <c r="H34" s="1"/>
      <c r="I34" s="227">
        <f t="shared" si="0"/>
        <v>0</v>
      </c>
      <c r="L34" s="244"/>
      <c r="M34" s="244"/>
      <c r="N34" s="244"/>
      <c r="O34" s="244"/>
      <c r="P34" s="244"/>
      <c r="Q34" s="244"/>
      <c r="R34" s="244"/>
      <c r="S34" s="244"/>
      <c r="T34" s="244"/>
      <c r="U34" s="244"/>
      <c r="V34" s="244"/>
      <c r="W34" s="246" t="str">
        <f>IF($B34="", "", IF(AND($I34, $B34=W$20, $E34=W$21, $F34=W$22, SUM($I$34)&gt;0), $I34, ""))</f>
        <v/>
      </c>
      <c r="X34" s="246" t="str">
        <f>IF($B34="", "", IF(AND($I34, $B34=X$20, $E34=X$21, $F34=X$22, SUM($I$34)&gt;0), $I34, ""))</f>
        <v/>
      </c>
      <c r="Y34" s="246" t="str">
        <f>IF($B34="", "", IF(AND($I34, $B34=Y$20, $E34=Y$21, $F34=Y$22, SUM($I$34)&gt;0), $I34, ""))</f>
        <v/>
      </c>
      <c r="Z34" s="246" t="str">
        <f>IF($B34="", "", IF(AND($I34, $B34=Z$20, $E34=Z$21, $F34=Z$22, SUM($I$34)&gt;0), $I34, ""))</f>
        <v/>
      </c>
      <c r="AA34" s="246" t="str">
        <f>IF($B34="", "", IF(AND($I34, $B34=AA$20, $E34=AA$21, $F34=AA$22, SUM($I$34)&gt;0), $I34, ""))</f>
        <v/>
      </c>
      <c r="AB34" s="246" t="str">
        <f>IF($B34="", "", IF(AND($I34, $B34=AB$20, $E34=AB$21, $F34=AB$22, SUM($I$34)&gt;0), $I34, ""))</f>
        <v/>
      </c>
      <c r="AC34" s="246" t="str">
        <f>IF($B34="", "", IF(AND($I34, $B34=AC$20, $E34=AC$21, $F34=AC$22, SUM($I$34)&gt;0), $I34, ""))</f>
        <v/>
      </c>
      <c r="AD34" s="246" t="str">
        <f>IF($B34="", "", IF(AND($I34, $B34=AD$20, $E34=AD$21, $F34=AD$22, SUM($I$34)&gt;0), $I34, ""))</f>
        <v/>
      </c>
      <c r="AE34" s="246" t="str">
        <f>IF(AND(B34="", E34="", F34=""), "", IF(OR(B34="", E34="", F34=""), I34, ""))</f>
        <v/>
      </c>
    </row>
    <row r="35" spans="1:42" s="124" customFormat="1" ht="16" customHeight="1" thickBot="1">
      <c r="A35" s="129"/>
      <c r="B35" s="25"/>
      <c r="C35" s="51"/>
      <c r="D35" s="51"/>
      <c r="E35" s="51"/>
      <c r="F35" s="51"/>
      <c r="G35" s="52"/>
      <c r="H35" s="52"/>
      <c r="I35" s="191"/>
      <c r="L35" s="244"/>
      <c r="M35" s="244"/>
      <c r="N35" s="244"/>
      <c r="O35" s="244"/>
      <c r="P35" s="244"/>
      <c r="Q35" s="244"/>
      <c r="R35" s="244"/>
      <c r="S35" s="244"/>
      <c r="T35" s="244"/>
      <c r="U35" s="244"/>
      <c r="V35" s="244"/>
      <c r="W35" s="247">
        <f>IF(SUM($W$24:$W$34), SUM($W$24:$W$34),"")</f>
        <v>2400</v>
      </c>
      <c r="X35" s="248" t="str">
        <f>IF(SUM($X$24:$X$34), SUM($X24:$X34),"")</f>
        <v/>
      </c>
      <c r="Y35" s="249" t="str">
        <f>IF(SUM(Y$24:Y$34), SUM(Y$24:Y$34),"")</f>
        <v/>
      </c>
      <c r="Z35" s="249" t="str">
        <f>IF(SUM(Z$24:Z$34), SUM(Z$24:Z$34),"")</f>
        <v/>
      </c>
      <c r="AA35" s="249" t="str">
        <f t="shared" ref="AA35:AC35" si="1">IF(SUM(AA$24:AA$34), SUM(AA$24:AA$34),"")</f>
        <v/>
      </c>
      <c r="AB35" s="249" t="str">
        <f t="shared" si="1"/>
        <v/>
      </c>
      <c r="AC35" s="249" t="str">
        <f t="shared" si="1"/>
        <v/>
      </c>
      <c r="AD35" s="249" t="str">
        <f>IF(SUM(AD$24:AD$34), SUM(AD$24:AD$34),"")</f>
        <v/>
      </c>
      <c r="AE35" s="250" t="str">
        <f>IF(SUM($AE$24:$AE$34), SUM($AE$24:$AE$34),"")</f>
        <v/>
      </c>
    </row>
    <row r="36" spans="1:42" s="124" customFormat="1" ht="16" customHeight="1" thickBot="1">
      <c r="A36" s="129"/>
      <c r="B36" s="192" t="s">
        <v>260</v>
      </c>
      <c r="C36" s="193"/>
      <c r="D36" s="193"/>
      <c r="E36" s="193"/>
      <c r="F36" s="193"/>
      <c r="G36" s="194" t="s">
        <v>258</v>
      </c>
      <c r="H36" s="195"/>
      <c r="I36" s="222">
        <f>SUM(I23:I34)</f>
        <v>2400</v>
      </c>
      <c r="L36" s="244"/>
      <c r="M36" s="244"/>
      <c r="N36" s="244"/>
      <c r="O36" s="244"/>
      <c r="P36" s="244"/>
      <c r="Q36" s="244"/>
      <c r="R36" s="244"/>
      <c r="S36" s="244"/>
      <c r="T36" s="244"/>
      <c r="U36" s="244"/>
      <c r="V36" s="244"/>
      <c r="W36" s="251" t="s">
        <v>299</v>
      </c>
      <c r="X36" s="252" t="s">
        <v>304</v>
      </c>
      <c r="Y36" s="253" t="s">
        <v>300</v>
      </c>
      <c r="Z36" s="253" t="s">
        <v>301</v>
      </c>
      <c r="AA36" s="253" t="s">
        <v>302</v>
      </c>
      <c r="AB36" s="254" t="s">
        <v>303</v>
      </c>
      <c r="AC36" s="245" t="s">
        <v>312</v>
      </c>
      <c r="AD36" s="245" t="s">
        <v>311</v>
      </c>
      <c r="AE36" s="245" t="s">
        <v>358</v>
      </c>
    </row>
    <row r="37" spans="1:42" s="124" customFormat="1" ht="16" customHeight="1">
      <c r="A37" s="129"/>
      <c r="B37" s="192"/>
      <c r="D37" s="102"/>
      <c r="E37" s="102"/>
      <c r="F37" s="102"/>
      <c r="G37" s="196"/>
      <c r="H37" s="197"/>
      <c r="I37" s="198"/>
      <c r="AH37" s="136"/>
    </row>
    <row r="38" spans="1:42" s="124" customFormat="1" ht="25" customHeight="1">
      <c r="A38" s="129"/>
      <c r="B38" s="192"/>
      <c r="C38" s="199"/>
      <c r="D38" s="199"/>
      <c r="E38" s="199"/>
      <c r="F38" s="199"/>
      <c r="G38" s="196" t="s">
        <v>257</v>
      </c>
      <c r="H38" s="200" t="s">
        <v>259</v>
      </c>
      <c r="I38" s="201"/>
    </row>
    <row r="39" spans="1:42" ht="16" customHeight="1">
      <c r="A39" s="103"/>
      <c r="B39" s="192" t="s">
        <v>261</v>
      </c>
      <c r="C39" s="193"/>
      <c r="D39" s="193"/>
      <c r="E39" s="193"/>
      <c r="F39" s="193"/>
      <c r="G39" s="196" t="s">
        <v>19</v>
      </c>
      <c r="H39" s="200"/>
      <c r="I39" s="202">
        <f>SUM(I36:I38)</f>
        <v>2400</v>
      </c>
      <c r="AI39" s="263" t="str">
        <f>IF(AN52&lt;&gt;I39, "ERROR IN BREAKDOWN!!!", "")</f>
        <v/>
      </c>
      <c r="AL39" s="262" t="str">
        <f>IF(AI39="ERROR IN BREAKDOWN!!!", "Exceeded Max Pay IDs. OR missing details", "")</f>
        <v/>
      </c>
    </row>
    <row r="40" spans="1:42" ht="16" customHeight="1" thickBot="1">
      <c r="B40" s="204"/>
      <c r="C40" s="205"/>
      <c r="D40" s="205"/>
      <c r="E40" s="205"/>
      <c r="F40" s="205"/>
      <c r="G40" s="204"/>
      <c r="H40" s="205"/>
      <c r="I40" s="206"/>
    </row>
    <row r="41" spans="1:42" ht="16" customHeight="1" thickTop="1" thickBot="1">
      <c r="AG41" s="244"/>
      <c r="AH41" s="255"/>
      <c r="AI41" s="207" t="s">
        <v>308</v>
      </c>
      <c r="AJ41" s="208"/>
      <c r="AK41" s="208"/>
      <c r="AL41" s="208"/>
      <c r="AM41" s="208"/>
      <c r="AN41" s="208"/>
      <c r="AO41" s="209"/>
      <c r="AP41" s="124"/>
    </row>
    <row r="42" spans="1:42" ht="16" customHeight="1" thickTop="1">
      <c r="G42" s="210"/>
      <c r="H42" s="210"/>
      <c r="I42" s="210"/>
      <c r="AG42" s="241"/>
      <c r="AH42" s="256" t="s">
        <v>309</v>
      </c>
      <c r="AI42" s="211" t="s">
        <v>4</v>
      </c>
      <c r="AJ42" s="211" t="s">
        <v>15</v>
      </c>
      <c r="AK42" s="211" t="s">
        <v>16</v>
      </c>
      <c r="AL42" s="211" t="s">
        <v>11</v>
      </c>
      <c r="AM42" s="211" t="s">
        <v>17</v>
      </c>
      <c r="AN42" s="211" t="s">
        <v>240</v>
      </c>
      <c r="AO42" s="211" t="s">
        <v>18</v>
      </c>
    </row>
    <row r="43" spans="1:42" ht="16" customHeight="1">
      <c r="G43" s="210"/>
      <c r="H43" s="212"/>
      <c r="I43" s="210"/>
      <c r="AG43" s="241"/>
      <c r="AH43" s="257" t="str">
        <f>IF(SUM($W$24:$W$34), "#A","")</f>
        <v>#A</v>
      </c>
      <c r="AI43" s="223">
        <f>IF('2499-003'!$AH43="#A", W20,"")</f>
        <v>207</v>
      </c>
      <c r="AJ43" s="223" t="str">
        <f>IF('2499-003'!$AH43="#A", Vendor,"")</f>
        <v>DIT Girl</v>
      </c>
      <c r="AK43" s="224" t="str">
        <f>IF('2499-003'!$AH43="#A", Sheet_PO,"")</f>
        <v>2499-003</v>
      </c>
      <c r="AL43" s="225">
        <f>IF('2499-003'!$AH43="#A", W$21,"")</f>
        <v>45717</v>
      </c>
      <c r="AM43" s="224" t="str">
        <f>IF('2499-003'!$AH43="#A", W$22,"")</f>
        <v>VISA 2459</v>
      </c>
      <c r="AN43" s="226">
        <f>IF('2499-003'!$AH43="#A", W$35,"")</f>
        <v>2400</v>
      </c>
      <c r="AO43" s="213" t="str">
        <f>IF('2499-003'!$AH43="#A",
      INDEX(LineNo!$B$1:$B$374, MATCH('2499-003'!$AI43, LineNo!$A$1:$A$374, 0)),
      "")</f>
        <v>DIT Equipment</v>
      </c>
    </row>
    <row r="44" spans="1:42" ht="16" customHeight="1">
      <c r="C44" s="214"/>
      <c r="E44" s="214"/>
      <c r="F44" s="214"/>
      <c r="G44" s="215"/>
      <c r="H44" s="215"/>
      <c r="I44" s="216"/>
      <c r="AG44" s="241"/>
      <c r="AH44" s="258" t="str">
        <f>IF(SUM($X$24:$X$34), "#B", "")</f>
        <v/>
      </c>
      <c r="AI44" s="223" t="str">
        <f>IF('2499-003'!$AH44="#B", X20,"")</f>
        <v/>
      </c>
      <c r="AJ44" s="223" t="str">
        <f>IF('2499-003'!$AH44="#B", Vendor,"")</f>
        <v/>
      </c>
      <c r="AK44" s="224" t="str">
        <f>IF('2499-003'!$AH44="#B", Sheet_PO,"")</f>
        <v/>
      </c>
      <c r="AL44" s="225" t="str">
        <f>IF('2499-003'!$AH44="#B", X21,"")</f>
        <v/>
      </c>
      <c r="AM44" s="224" t="str">
        <f>IF('2499-003'!$AH44="#B", X22,"")</f>
        <v/>
      </c>
      <c r="AN44" s="226" t="str">
        <f>IF('2499-003'!$AH44="#B", X35,"")</f>
        <v/>
      </c>
      <c r="AO44" s="213" t="str">
        <f>IF('2499-003'!$AH44="#B",
      INDEX(LineNo!$B$1:$B$374, MATCH('2499-003'!$AI44, LineNo!$A$1:$A$374, 0)),
      "")</f>
        <v/>
      </c>
    </row>
    <row r="45" spans="1:42" ht="16" customHeight="1">
      <c r="AG45" s="241"/>
      <c r="AH45" s="259" t="str">
        <f>IF(SUM($Y$24:$Y$34), "#C", "")</f>
        <v/>
      </c>
      <c r="AI45" s="223" t="str">
        <f>IF('2499-003'!$AH45="#C", Y20,"")</f>
        <v/>
      </c>
      <c r="AJ45" s="223" t="str">
        <f>IF('2499-003'!$AH45="#C", Vendor,"")</f>
        <v/>
      </c>
      <c r="AK45" s="224" t="str">
        <f>IF('2499-003'!$AH45="#C", Sheet_PO,"")</f>
        <v/>
      </c>
      <c r="AL45" s="225" t="str">
        <f>IF('2499-003'!$AH45="#C", Y21,"")</f>
        <v/>
      </c>
      <c r="AM45" s="224" t="str">
        <f>IF('2499-003'!$AH45="#C", Y22,"")</f>
        <v/>
      </c>
      <c r="AN45" s="226" t="str">
        <f>IF('2499-003'!$AH45="#C", Y35,"")</f>
        <v/>
      </c>
      <c r="AO45" s="213" t="str">
        <f>IF('2499-003'!$AH45="#C",
      INDEX(LineNo!$B$1:$B$374, MATCH('2499-003'!$AI45, LineNo!$A$1:$A$374, 0)),
      "")</f>
        <v/>
      </c>
    </row>
    <row r="46" spans="1:42" ht="16" customHeight="1">
      <c r="AG46" s="241"/>
      <c r="AH46" s="258" t="str">
        <f>IF(SUM($Z$24:$Z$34), "#D", "")</f>
        <v/>
      </c>
      <c r="AI46" s="223" t="str">
        <f>IF('2499-003'!$AH46="#D", Z20,"")</f>
        <v/>
      </c>
      <c r="AJ46" s="223" t="str">
        <f>IF('2499-003'!$AH46="#D", Vendor,"")</f>
        <v/>
      </c>
      <c r="AK46" s="224" t="str">
        <f>IF('2499-003'!$AH46="#D", Sheet_PO,"")</f>
        <v/>
      </c>
      <c r="AL46" s="225" t="str">
        <f>IF('2499-003'!$AH46="#D", Z21,"")</f>
        <v/>
      </c>
      <c r="AM46" s="224" t="str">
        <f>IF('2499-003'!$AH46="#D", Z22,"")</f>
        <v/>
      </c>
      <c r="AN46" s="226" t="str">
        <f>IF('2499-003'!$AH46="#D", Z35,"")</f>
        <v/>
      </c>
      <c r="AO46" s="213" t="str">
        <f>IF('2499-003'!$AH46="#D",
      INDEX(LineNo!$B$1:$B$374, MATCH('2499-003'!$AI46, LineNo!$A$1:$A$374, 0)),
      "")</f>
        <v/>
      </c>
    </row>
    <row r="47" spans="1:42" ht="16" customHeight="1">
      <c r="AG47" s="241"/>
      <c r="AH47" s="259" t="str">
        <f>IF(SUM($AA$24:$AA$34), "#E", "")</f>
        <v/>
      </c>
      <c r="AI47" s="223" t="str">
        <f>IF('2499-003'!$AH47="#E", AA20,"")</f>
        <v/>
      </c>
      <c r="AJ47" s="223" t="str">
        <f>IF('2499-003'!$AH47="#E", Vendor,"")</f>
        <v/>
      </c>
      <c r="AK47" s="224" t="str">
        <f>IF('2499-003'!$AH47="#E", Sheet_PO,"")</f>
        <v/>
      </c>
      <c r="AL47" s="225" t="str">
        <f>IF('2499-003'!$AH47="#E", AA21,"")</f>
        <v/>
      </c>
      <c r="AM47" s="224" t="str">
        <f>IF('2499-003'!$AH47="#E", AA22,"")</f>
        <v/>
      </c>
      <c r="AN47" s="226" t="str">
        <f>IF('2499-003'!$AH47="#E",AA35, "")</f>
        <v/>
      </c>
      <c r="AO47" s="213" t="str">
        <f>IF('2499-003'!$AH47="#E",
      INDEX(LineNo!$B$1:$B$374, MATCH('2499-003'!$AI47, LineNo!$A$1:$A$374, 0)),
      "")</f>
        <v/>
      </c>
    </row>
    <row r="48" spans="1:42" ht="24" customHeight="1">
      <c r="AG48" s="241"/>
      <c r="AH48" s="258" t="str">
        <f>IF(SUM($AB$24:$AB$34), "#F", "")</f>
        <v/>
      </c>
      <c r="AI48" s="223" t="str">
        <f>IF('2499-003'!$AH48="#F", AB20,"")</f>
        <v/>
      </c>
      <c r="AJ48" s="223" t="str">
        <f>IF('2499-003'!$AH48="#F", Vendor,"")</f>
        <v/>
      </c>
      <c r="AK48" s="224" t="str">
        <f>IF('2499-003'!$AH48="#F", Sheet_PO,"")</f>
        <v/>
      </c>
      <c r="AL48" s="225" t="str">
        <f>IF('2499-003'!$AH48="#F", AB21,"")</f>
        <v/>
      </c>
      <c r="AM48" s="224" t="str">
        <f>IF('2499-003'!$AH48="#F", AB22,"")</f>
        <v/>
      </c>
      <c r="AN48" s="226" t="str">
        <f>IF('2499-003'!$AH48="#F", AB35,"")</f>
        <v/>
      </c>
      <c r="AO48" s="213" t="str">
        <f>IF('2499-003'!$AH48="#F",
      INDEX(LineNo!$B$1:$B$374, MATCH('2499-003'!$AI48, LineNo!$A$1:$A$374, 0)),
      "")</f>
        <v/>
      </c>
    </row>
    <row r="49" spans="23:45" ht="16" customHeight="1">
      <c r="W49" s="217"/>
      <c r="X49" s="217"/>
      <c r="Y49" s="218"/>
      <c r="Z49" s="217"/>
      <c r="AA49" s="217"/>
      <c r="AB49" s="217"/>
      <c r="AC49" s="219"/>
      <c r="AD49" s="217"/>
      <c r="AG49" s="241"/>
      <c r="AH49" s="259" t="str">
        <f>IF(SUM($AC$24:$AC$34), "#G", "")</f>
        <v/>
      </c>
      <c r="AI49" s="223" t="str">
        <f>IF('2499-003'!$AH49="#G", AC20,"")</f>
        <v/>
      </c>
      <c r="AJ49" s="223" t="str">
        <f>IF('2499-003'!$AH49="#G", Vendor,"")</f>
        <v/>
      </c>
      <c r="AK49" s="224" t="str">
        <f>IF('2499-003'!$AH49="#G", Sheet_PO,"")</f>
        <v/>
      </c>
      <c r="AL49" s="225" t="str">
        <f>IF('2499-003'!$AH49="#G", AC21,"")</f>
        <v/>
      </c>
      <c r="AM49" s="224" t="str">
        <f>IF('2499-003'!$AH49="#G", AC22,"")</f>
        <v/>
      </c>
      <c r="AN49" s="226" t="str">
        <f>IF('2499-003'!$AH49="#G", AC35,"")</f>
        <v/>
      </c>
      <c r="AO49" s="213" t="str">
        <f>IF('2499-003'!$AH49="#G",
      INDEX(LineNo!$B$1:$B$374, MATCH('2499-003'!$AI49, LineNo!$A$1:$A$374, 0)),
      "")</f>
        <v/>
      </c>
    </row>
    <row r="50" spans="23:45" ht="19">
      <c r="AG50" s="241" t="s">
        <v>359</v>
      </c>
      <c r="AH50" s="258" t="str">
        <f>IF(SUM($AD$24:$AD$34), "#H", "")</f>
        <v/>
      </c>
      <c r="AI50" s="223" t="str">
        <f>IF('2499-003'!$AH50="#H", AD20,"")</f>
        <v/>
      </c>
      <c r="AJ50" s="223" t="str">
        <f>IF('2499-003'!$AH50="#H", Vendor,"")</f>
        <v/>
      </c>
      <c r="AK50" s="224" t="str">
        <f>IF('2499-003'!$AH50="#H", Sheet_PO,"")</f>
        <v/>
      </c>
      <c r="AL50" s="225" t="str">
        <f>IF('2499-003'!$AH50="#H", AD21,"")</f>
        <v/>
      </c>
      <c r="AM50" s="224" t="str">
        <f>IF('2499-003'!$AH50="#H", AD22,"")</f>
        <v/>
      </c>
      <c r="AN50" s="226" t="str">
        <f>IF('2499-003'!$AH50="#H", AD35,"")</f>
        <v/>
      </c>
      <c r="AO50" s="213" t="str">
        <f>IF('2499-003'!$AH50="#H",
      INDEX(LineNo!$B$1:$B$374, MATCH('2499-003'!$AI50, LineNo!$A$1:$A$374, 0)),
      "")</f>
        <v/>
      </c>
      <c r="AQ50" s="203"/>
      <c r="AR50" s="203"/>
      <c r="AS50" s="203"/>
    </row>
    <row r="51" spans="23:45" ht="16" thickBot="1">
      <c r="AG51" s="241" cm="1">
        <f t="array" ref="AG51">SUMPRODUCT(--(AH43:AH50&lt;&gt;""))</f>
        <v>1</v>
      </c>
      <c r="AH51" s="260" t="str">
        <f>IF(SUM($AE$24:$AE$34), "#OTHER", "")</f>
        <v/>
      </c>
      <c r="AI51" s="79"/>
      <c r="AJ51" s="80" t="str">
        <f>IF('2499-003'!$AH51="#OTHER", Vendor,"")</f>
        <v/>
      </c>
      <c r="AK51" s="81" t="str">
        <f>IF('2499-003'!$AH51="#OTHER", Sheet_PO,"")</f>
        <v/>
      </c>
      <c r="AL51" s="82"/>
      <c r="AM51" s="83"/>
      <c r="AN51" s="84" t="str">
        <f>IF('2499-003'!$AH51="#OTHER", AE35,"")</f>
        <v/>
      </c>
      <c r="AO51" s="85" t="str">
        <f>IF('2499-003'!$AH51="#OTHER",
     "Line No., Date, Pay ID required for PO Log",
     "")</f>
        <v/>
      </c>
    </row>
    <row r="52" spans="23:45" hidden="1">
      <c r="AM52" s="241" t="s">
        <v>360</v>
      </c>
      <c r="AN52" s="261">
        <f>SUM(_2499_003_table[ACTUAL])</f>
        <v>2400</v>
      </c>
    </row>
  </sheetData>
  <sheetProtection formatCells="0" formatColumns="0" formatRows="0" insertHyperlinks="0"/>
  <mergeCells count="38">
    <mergeCell ref="C30:D30"/>
    <mergeCell ref="C31:D31"/>
    <mergeCell ref="C32:D32"/>
    <mergeCell ref="C33:D33"/>
    <mergeCell ref="C34:D34"/>
    <mergeCell ref="AI41:AO41"/>
    <mergeCell ref="C24:D24"/>
    <mergeCell ref="C25:D25"/>
    <mergeCell ref="C26:D26"/>
    <mergeCell ref="C27:D27"/>
    <mergeCell ref="C28:D28"/>
    <mergeCell ref="C29:D29"/>
    <mergeCell ref="C18:E18"/>
    <mergeCell ref="F18:I18"/>
    <mergeCell ref="C19:E19"/>
    <mergeCell ref="F19:I19"/>
    <mergeCell ref="B22:I22"/>
    <mergeCell ref="C23:D23"/>
    <mergeCell ref="C11:D11"/>
    <mergeCell ref="C12:D12"/>
    <mergeCell ref="C13:D13"/>
    <mergeCell ref="F13:I13"/>
    <mergeCell ref="C14:D14"/>
    <mergeCell ref="F14:I14"/>
    <mergeCell ref="B7:C7"/>
    <mergeCell ref="D7:E7"/>
    <mergeCell ref="C9:D9"/>
    <mergeCell ref="F9:I9"/>
    <mergeCell ref="C10:D10"/>
    <mergeCell ref="F10:I10"/>
    <mergeCell ref="G1:I1"/>
    <mergeCell ref="B2:C2"/>
    <mergeCell ref="D2:G2"/>
    <mergeCell ref="G3:I3"/>
    <mergeCell ref="B4:G4"/>
    <mergeCell ref="C5:D5"/>
    <mergeCell ref="E5:H6"/>
    <mergeCell ref="C6:D6"/>
  </mergeCells>
  <conditionalFormatting sqref="AO51">
    <cfRule type="containsText" dxfId="1" priority="2" operator="containsText" text="zzzz">
      <formula>NOT(ISERROR(SEARCH("zzzz",AO51)))</formula>
    </cfRule>
  </conditionalFormatting>
  <conditionalFormatting sqref="AO43:AO50">
    <cfRule type="containsText" dxfId="0" priority="1" operator="containsText" text="zzzz">
      <formula>NOT(ISERROR(SEARCH("zzzz",AO43)))</formula>
    </cfRule>
  </conditionalFormatting>
  <printOptions horizontalCentered="1"/>
  <pageMargins left="0.75" right="0.75" top="0.5" bottom="0.5" header="0.5" footer="0.5"/>
  <pageSetup scale="81" orientation="portrait" r:id="rId1"/>
  <headerFooter alignWithMargins="0"/>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78</vt:i4>
      </vt:variant>
    </vt:vector>
  </HeadingPairs>
  <TitlesOfParts>
    <vt:vector size="87" baseType="lpstr">
      <vt:lpstr>Instructions</vt:lpstr>
      <vt:lpstr>LineNo</vt:lpstr>
      <vt:lpstr>POData</vt:lpstr>
      <vt:lpstr>POIndex</vt:lpstr>
      <vt:lpstr>POLog</vt:lpstr>
      <vt:lpstr>TemplatePO</vt:lpstr>
      <vt:lpstr>2499-001</vt:lpstr>
      <vt:lpstr>2499-002</vt:lpstr>
      <vt:lpstr>2499-003</vt:lpstr>
      <vt:lpstr>'2499-001'!count</vt:lpstr>
      <vt:lpstr>'2499-002'!count</vt:lpstr>
      <vt:lpstr>'2499-003'!count</vt:lpstr>
      <vt:lpstr>TemplatePO!count</vt:lpstr>
      <vt:lpstr>'2499-001'!DateEntry</vt:lpstr>
      <vt:lpstr>'2499-002'!DateEntry</vt:lpstr>
      <vt:lpstr>'2499-003'!DateEntry</vt:lpstr>
      <vt:lpstr>DateEntry</vt:lpstr>
      <vt:lpstr>'2499-001'!DateEntryOld</vt:lpstr>
      <vt:lpstr>'2499-002'!DateEntryOld</vt:lpstr>
      <vt:lpstr>'2499-003'!DateEntryOld</vt:lpstr>
      <vt:lpstr>DateEntryOld</vt:lpstr>
      <vt:lpstr>'2499-001'!DateEntryOld3</vt:lpstr>
      <vt:lpstr>'2499-002'!DateEntryOld3</vt:lpstr>
      <vt:lpstr>'2499-003'!DateEntryOld3</vt:lpstr>
      <vt:lpstr>DateEntryOld3</vt:lpstr>
      <vt:lpstr>End</vt:lpstr>
      <vt:lpstr>Job_Name</vt:lpstr>
      <vt:lpstr>Job_Number</vt:lpstr>
      <vt:lpstr>Line</vt:lpstr>
      <vt:lpstr>'2499-001'!LineEntry</vt:lpstr>
      <vt:lpstr>'2499-002'!LineEntry</vt:lpstr>
      <vt:lpstr>'2499-003'!LineEntry</vt:lpstr>
      <vt:lpstr>TemplatePO!LineEntry</vt:lpstr>
      <vt:lpstr>'2499-001'!LineEntryOLD</vt:lpstr>
      <vt:lpstr>'2499-002'!LineEntryOLD</vt:lpstr>
      <vt:lpstr>'2499-003'!LineEntryOLD</vt:lpstr>
      <vt:lpstr>LineEntryOLD</vt:lpstr>
      <vt:lpstr>'2499-001'!LineEntryOLD2</vt:lpstr>
      <vt:lpstr>'2499-002'!LineEntryOLD2</vt:lpstr>
      <vt:lpstr>'2499-003'!LineEntryOLD2</vt:lpstr>
      <vt:lpstr>LineEntryOLD2</vt:lpstr>
      <vt:lpstr>'2499-001'!LineEntryOld3</vt:lpstr>
      <vt:lpstr>'2499-002'!LineEntryOld3</vt:lpstr>
      <vt:lpstr>'2499-003'!LineEntryOld3</vt:lpstr>
      <vt:lpstr>LineEntryOld3</vt:lpstr>
      <vt:lpstr>'2499-001'!OLD</vt:lpstr>
      <vt:lpstr>'2499-002'!OLD</vt:lpstr>
      <vt:lpstr>'2499-003'!OLD</vt:lpstr>
      <vt:lpstr>OLD</vt:lpstr>
      <vt:lpstr>'2499-001'!PAYEE</vt:lpstr>
      <vt:lpstr>'2499-002'!PAYEE</vt:lpstr>
      <vt:lpstr>'2499-003'!PAYEE</vt:lpstr>
      <vt:lpstr>TemplatePO!PAYEE</vt:lpstr>
      <vt:lpstr>'2499-001'!PayIDEntry</vt:lpstr>
      <vt:lpstr>'2499-002'!PayIDEntry</vt:lpstr>
      <vt:lpstr>'2499-003'!PayIDEntry</vt:lpstr>
      <vt:lpstr>PayIDEntry</vt:lpstr>
      <vt:lpstr>'2499-001'!PayIDEntryOLD</vt:lpstr>
      <vt:lpstr>'2499-002'!PayIDEntryOLD</vt:lpstr>
      <vt:lpstr>'2499-003'!PayIDEntryOLD</vt:lpstr>
      <vt:lpstr>PayIDEntryOLD</vt:lpstr>
      <vt:lpstr>'2499-001'!PayIDEntryOld2</vt:lpstr>
      <vt:lpstr>'2499-002'!PayIDEntryOld2</vt:lpstr>
      <vt:lpstr>'2499-003'!PayIDEntryOld2</vt:lpstr>
      <vt:lpstr>PayIDEntryOld2</vt:lpstr>
      <vt:lpstr>'2499-001'!PayIDEntryOld3</vt:lpstr>
      <vt:lpstr>'2499-002'!PayIDEntryOld3</vt:lpstr>
      <vt:lpstr>'2499-003'!PayIDEntryOld3</vt:lpstr>
      <vt:lpstr>PayIDEntryOld3</vt:lpstr>
      <vt:lpstr>PO_range</vt:lpstr>
      <vt:lpstr>POtable_header</vt:lpstr>
      <vt:lpstr>Prefix</vt:lpstr>
      <vt:lpstr>'2499-001'!Print_Area</vt:lpstr>
      <vt:lpstr>'2499-002'!Print_Area</vt:lpstr>
      <vt:lpstr>'2499-003'!Print_Area</vt:lpstr>
      <vt:lpstr>POLog!Print_Area</vt:lpstr>
      <vt:lpstr>TemplatePO!Print_Area</vt:lpstr>
      <vt:lpstr>ProductionCompany</vt:lpstr>
      <vt:lpstr>'2499-001'!Sheet_PO</vt:lpstr>
      <vt:lpstr>'2499-002'!Sheet_PO</vt:lpstr>
      <vt:lpstr>'2499-003'!Sheet_PO</vt:lpstr>
      <vt:lpstr>Sheet_PO</vt:lpstr>
      <vt:lpstr>Start</vt:lpstr>
      <vt:lpstr>'2499-001'!Vendor</vt:lpstr>
      <vt:lpstr>'2499-002'!Vendor</vt:lpstr>
      <vt:lpstr>'2499-003'!Vendor</vt:lpstr>
      <vt:lpstr>Vendor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Parkhill</dc:creator>
  <cp:keywords/>
  <dc:description/>
  <cp:lastModifiedBy>Joshua Parkhill</cp:lastModifiedBy>
  <cp:lastPrinted>2024-08-21T04:15:37Z</cp:lastPrinted>
  <dcterms:created xsi:type="dcterms:W3CDTF">2024-07-31T22:19:32Z</dcterms:created>
  <dcterms:modified xsi:type="dcterms:W3CDTF">2025-03-02T21:55:19Z</dcterms:modified>
  <cp:category/>
</cp:coreProperties>
</file>