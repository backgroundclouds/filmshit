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202300"/>
  <mc:AlternateContent xmlns:mc="http://schemas.openxmlformats.org/markup-compatibility/2006">
    <mc:Choice Requires="x15">
      <x15ac:absPath xmlns:x15ac="http://schemas.microsoft.com/office/spreadsheetml/2010/11/ac" url="/Users/joshparkhill/Projects/filmshit/app/static/files/working/"/>
    </mc:Choice>
  </mc:AlternateContent>
  <xr:revisionPtr revIDLastSave="0" documentId="8_{C2502D57-00D2-294A-9225-0227B06A1B6B}" xr6:coauthVersionLast="47" xr6:coauthVersionMax="47" xr10:uidLastSave="{00000000-0000-0000-0000-000000000000}"/>
  <bookViews>
    <workbookView xWindow="1200" yWindow="1740" windowWidth="20040" windowHeight="20080" activeTab="1" xr2:uid="{6792D60A-C911-104F-9CF3-2E413496123A}"/>
    <workbookView xWindow="-560" yWindow="800" windowWidth="27900" windowHeight="19480" activeTab="3" xr2:uid="{F53C5A8A-5863-CA49-A26A-71321E44290F}"/>
  </bookViews>
  <sheets>
    <sheet name="Instructions" sheetId="610" r:id="rId1"/>
    <sheet name="Line No" sheetId="3" r:id="rId2"/>
    <sheet name="PO DATA" sheetId="6" r:id="rId3"/>
    <sheet name="Sheet138" sheetId="747" r:id="rId4"/>
    <sheet name="TEMPLATE-SHEET" sheetId="4" r:id="rId5"/>
    <sheet name="PO Log" sheetId="2" r:id="rId6"/>
    <sheet name="TEMPLATE-SHEET (2)" sheetId="746" r:id="rId7"/>
  </sheets>
  <definedNames>
    <definedName name="_xleta.CODE" hidden="1" xlm="1">#NAME?</definedName>
    <definedName name="_xleta.DATE" hidden="1" xlm="1">#NAME?</definedName>
    <definedName name="_xleta.FILTER" hidden="1" xlm="1">#NAME?</definedName>
    <definedName name="_xleta.HSTACK" hidden="1" xlm="1">#NAME?</definedName>
    <definedName name="_xleta.IF" hidden="1" xlm="1">#NAME?</definedName>
    <definedName name="_xleta.INDEX" hidden="1" xlm="1">#NAME?</definedName>
    <definedName name="_xleta.ISBLANK" hidden="1" xlm="1">#NAME?</definedName>
    <definedName name="_xleta.LOG" hidden="1" xlm="1">#NAME?</definedName>
    <definedName name="_xleta.MATCH" hidden="1" xlm="1">#NAME?</definedName>
    <definedName name="_xleta.N" hidden="1" xlm="1">#NAME?</definedName>
    <definedName name="_xleta.SEQUENCE" hidden="1" xlm="1">#NAME?</definedName>
    <definedName name="_xleta.SORT" hidden="1" xlm="1">#NAME?</definedName>
    <definedName name="_xleta.SUM" hidden="1" xlm="1">#NAME?</definedName>
    <definedName name="_xleta.T" hidden="1" xlm="1">#NAME?</definedName>
    <definedName name="_xleta.UNIQUE" hidden="1" xlm="1">#NAME?</definedName>
    <definedName name="_xleta.WRAPCOLS" hidden="1" xlm="1">#NAME?</definedName>
    <definedName name="_xlpm.row" hidden="1" xlm="1">#NAME?</definedName>
    <definedName name="DateEntry" localSheetId="6">'TEMPLATE-SHEET (2)'!$E$24:$E$35</definedName>
    <definedName name="DateEntry">'TEMPLATE-SHEET'!$E$24:$E$35</definedName>
    <definedName name="End">'PO DATA'!$C$17</definedName>
    <definedName name="Job_Name">'PO DATA'!$D$2</definedName>
    <definedName name="Job_Number">'PO DATA'!$D$3</definedName>
    <definedName name="Line">'Line No'!$A$1:$B$360</definedName>
    <definedName name="LineEntry" localSheetId="4">'TEMPLATE-SHEET'!$B$24:$B$35</definedName>
    <definedName name="LineEntry" localSheetId="6">'TEMPLATE-SHEET (2)'!$B$24:$B$35</definedName>
    <definedName name="PAY_ID" localSheetId="6">'TEMPLATE-SHEET (2)'!#REF!</definedName>
    <definedName name="PAY_ID">'TEMPLATE-SHEET'!#REF!</definedName>
    <definedName name="PayIDEntry" localSheetId="6">'TEMPLATE-SHEET (2)'!$F$24:$F$35</definedName>
    <definedName name="PayIDEntry">'TEMPLATE-SHEET'!$F$24:$F$35</definedName>
    <definedName name="PO_LOG_name" localSheetId="6">PO_LOG[#All]</definedName>
    <definedName name="PO_LOG_name">PO_LOG[#All]</definedName>
    <definedName name="POtable">'PO DATA'!$F$14:$F$124</definedName>
    <definedName name="POtable_header">'PO DATA'!$F$14</definedName>
    <definedName name="Prefix">'PO DATA'!$B$15</definedName>
    <definedName name="_xlnm.Print_Area" localSheetId="5">'PO Log'!$A$8:$E$130</definedName>
    <definedName name="_xlnm.Print_Area" localSheetId="4">'TEMPLATE-SHEET'!$B$1:$I$47</definedName>
    <definedName name="_xlnm.Print_Area" localSheetId="6">'TEMPLATE-SHEET (2)'!$B$1:$I$47</definedName>
    <definedName name="Sheet_PO" localSheetId="6">'TEMPLATE-SHEET (2)'!$G$3</definedName>
    <definedName name="Sheet_PO">'TEMPLATE-SHEET'!$G$3</definedName>
    <definedName name="Sheet_PO1">#REF!</definedName>
    <definedName name="Start">'PO DATA'!$B$17</definedName>
    <definedName name="Vendor" localSheetId="6">'TEMPLATE-SHEET (2)'!$C$10</definedName>
    <definedName name="Vendor">'TEMPLATE-SHEET'!$C$10</definedName>
    <definedName name="Z_8CEFEE3B_E906_4903_9850_D32C8D742297_.wvu.PrintArea" localSheetId="4" hidden="1">'TEMPLATE-SHEET'!$B$1:$I$46</definedName>
    <definedName name="Z_8CEFEE3B_E906_4903_9850_D32C8D742297_.wvu.PrintArea" localSheetId="6" hidden="1">'TEMPLATE-SHEET (2)'!$B$1:$I$46</definedName>
    <definedName name="Z_C1355A62_F1E2_4388_B529_AB508DE122C3_.wvu.PrintArea" localSheetId="4" hidden="1">'TEMPLATE-SHEET'!$B$1:$I$46</definedName>
    <definedName name="Z_C1355A62_F1E2_4388_B529_AB508DE122C3_.wvu.PrintArea" localSheetId="6" hidden="1">'TEMPLATE-SHEET (2)'!$B$1:$I$46</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5" i="2" l="1"/>
  <c r="G19" i="2"/>
  <c r="G9" i="2"/>
  <c r="N50" i="4"/>
  <c r="O49" i="4"/>
  <c r="L49" i="4"/>
  <c r="P49" i="4" s="1"/>
  <c r="L48" i="4"/>
  <c r="P48" i="4" s="1"/>
  <c r="L47" i="4"/>
  <c r="M47" i="4" s="1"/>
  <c r="O52" i="746"/>
  <c r="Q49" i="746"/>
  <c r="P49" i="746"/>
  <c r="O49" i="746"/>
  <c r="N49" i="746"/>
  <c r="M49" i="746"/>
  <c r="L49" i="746"/>
  <c r="R49" i="746" s="1"/>
  <c r="Q48" i="746"/>
  <c r="P48" i="746"/>
  <c r="O48" i="746"/>
  <c r="N48" i="746"/>
  <c r="M48" i="746"/>
  <c r="L48" i="746"/>
  <c r="R48" i="746" s="1"/>
  <c r="Q47" i="746"/>
  <c r="P47" i="746"/>
  <c r="O47" i="746"/>
  <c r="N47" i="746"/>
  <c r="M47" i="746"/>
  <c r="L47" i="746"/>
  <c r="R47" i="746" s="1"/>
  <c r="F46" i="746"/>
  <c r="N41" i="746"/>
  <c r="R35" i="746"/>
  <c r="Q35" i="746"/>
  <c r="P35" i="746"/>
  <c r="O35" i="746"/>
  <c r="N35" i="746"/>
  <c r="M35" i="746"/>
  <c r="L35" i="746"/>
  <c r="I35" i="746"/>
  <c r="I34" i="746"/>
  <c r="I33" i="746"/>
  <c r="I32" i="746"/>
  <c r="I31" i="746"/>
  <c r="I30" i="746"/>
  <c r="I29" i="746"/>
  <c r="I28" i="746"/>
  <c r="I27" i="746"/>
  <c r="I26" i="746"/>
  <c r="I25" i="746"/>
  <c r="I24" i="746"/>
  <c r="T20" i="746" a="1"/>
  <c r="T20" i="746" s="1"/>
  <c r="Z20" i="746" s="1" a="1"/>
  <c r="Z20" i="746" s="1"/>
  <c r="AA20" i="746" s="1" a="1"/>
  <c r="AA20" i="746" s="1"/>
  <c r="L20" i="746" a="1"/>
  <c r="P13" i="746" a="1"/>
  <c r="P13" i="746" s="1"/>
  <c r="P12" i="746" a="1"/>
  <c r="P12" i="746" s="1"/>
  <c r="S11" i="746" a="1"/>
  <c r="S11" i="746" s="1"/>
  <c r="P11" i="746" a="1"/>
  <c r="P11" i="746" s="1"/>
  <c r="P10" i="746" a="1"/>
  <c r="P10" i="746" s="1"/>
  <c r="F10" i="746"/>
  <c r="W9" i="746" a="1"/>
  <c r="W9" i="746" s="1"/>
  <c r="P9" i="746" a="1"/>
  <c r="P9" i="746" s="1"/>
  <c r="F9" i="746"/>
  <c r="C9" i="746"/>
  <c r="P8" i="746" a="1"/>
  <c r="P8" i="746" s="1"/>
  <c r="P7" i="746" a="1"/>
  <c r="P7" i="746" s="1"/>
  <c r="W5" i="746" a="1"/>
  <c r="W5" i="746" s="1"/>
  <c r="AF4" i="746" a="1"/>
  <c r="AF4" i="746" s="1"/>
  <c r="AD4" i="746" a="1"/>
  <c r="AD4" i="746" s="1"/>
  <c r="S4" i="746" a="1"/>
  <c r="O4" i="746" s="1" a="1"/>
  <c r="M4" i="746" a="1"/>
  <c r="M4" i="746" s="1"/>
  <c r="N4" i="746" s="1" a="1"/>
  <c r="N4" i="746" s="1"/>
  <c r="R35" i="4"/>
  <c r="G14" i="2"/>
  <c r="G13" i="2"/>
  <c r="G10" i="2"/>
  <c r="P47" i="4" l="1"/>
  <c r="Q49" i="4"/>
  <c r="R49" i="4"/>
  <c r="N49" i="4"/>
  <c r="S49" i="4"/>
  <c r="M48" i="4"/>
  <c r="M49" i="4"/>
  <c r="S47" i="4"/>
  <c r="S48" i="4"/>
  <c r="O48" i="4"/>
  <c r="N48" i="4"/>
  <c r="R48" i="4"/>
  <c r="O47" i="4"/>
  <c r="N47" i="4"/>
  <c r="Q33" i="746"/>
  <c r="Q48" i="4"/>
  <c r="R47" i="4"/>
  <c r="Q47" i="4"/>
  <c r="I37" i="746"/>
  <c r="I40" i="746" s="1"/>
  <c r="S4" i="746"/>
  <c r="P6" i="746" a="1"/>
  <c r="P6" i="746" s="1"/>
  <c r="O4" i="746"/>
  <c r="P4" i="746" s="1" a="1"/>
  <c r="P4" i="746" s="1"/>
  <c r="P5" i="746" a="1"/>
  <c r="P5" i="746" s="1"/>
  <c r="N25" i="746"/>
  <c r="Q26" i="746"/>
  <c r="M28" i="746"/>
  <c r="P29" i="746"/>
  <c r="O32" i="746"/>
  <c r="O25" i="746"/>
  <c r="N28" i="746"/>
  <c r="Q29" i="746"/>
  <c r="M31" i="746"/>
  <c r="P32" i="746"/>
  <c r="O24" i="746"/>
  <c r="N27" i="746"/>
  <c r="Q28" i="746"/>
  <c r="M30" i="746"/>
  <c r="P31" i="746"/>
  <c r="O34" i="746"/>
  <c r="P24" i="746"/>
  <c r="O27" i="746"/>
  <c r="N30" i="746"/>
  <c r="Q31" i="746"/>
  <c r="M33" i="746"/>
  <c r="P34" i="746"/>
  <c r="Q24" i="746"/>
  <c r="M26" i="746"/>
  <c r="P27" i="746"/>
  <c r="O30" i="746"/>
  <c r="N33" i="746"/>
  <c r="Q34" i="746"/>
  <c r="O41" i="746"/>
  <c r="C47" i="746" a="1"/>
  <c r="C47" i="746" s="1"/>
  <c r="M24" i="746"/>
  <c r="N26" i="746"/>
  <c r="Q27" i="746"/>
  <c r="M29" i="746"/>
  <c r="P30" i="746"/>
  <c r="O33" i="746"/>
  <c r="P41" i="746"/>
  <c r="L20" i="746"/>
  <c r="N24" i="746"/>
  <c r="Q25" i="746"/>
  <c r="M27" i="746"/>
  <c r="P28" i="746"/>
  <c r="O31" i="746"/>
  <c r="N34" i="746"/>
  <c r="O26" i="746"/>
  <c r="N29" i="746"/>
  <c r="Q30" i="746"/>
  <c r="M32" i="746"/>
  <c r="P33" i="746"/>
  <c r="P25" i="746"/>
  <c r="O28" i="746"/>
  <c r="N31" i="746"/>
  <c r="Q32" i="746"/>
  <c r="M34" i="746"/>
  <c r="M25" i="746"/>
  <c r="P26" i="746"/>
  <c r="O29" i="746"/>
  <c r="N32" i="746"/>
  <c r="L28" i="746" l="1"/>
  <c r="L25" i="746"/>
  <c r="L30" i="746"/>
  <c r="L32" i="746"/>
  <c r="L29" i="746"/>
  <c r="L27" i="746"/>
  <c r="L26" i="746"/>
  <c r="L33" i="746"/>
  <c r="L34" i="746"/>
  <c r="L24" i="746"/>
  <c r="L31" i="746"/>
  <c r="P36" i="746"/>
  <c r="N45" i="746"/>
  <c r="Q45" i="746"/>
  <c r="M45" i="746"/>
  <c r="P45" i="746"/>
  <c r="O45" i="746"/>
  <c r="L45" i="746"/>
  <c r="R45" i="746" s="1"/>
  <c r="L46" i="746"/>
  <c r="R46" i="746" s="1"/>
  <c r="O46" i="746"/>
  <c r="P46" i="746"/>
  <c r="Q46" i="746"/>
  <c r="N46" i="746"/>
  <c r="M46" i="746"/>
  <c r="Q36" i="746"/>
  <c r="N42" i="746"/>
  <c r="O42" i="746"/>
  <c r="M36" i="746"/>
  <c r="Q42" i="746"/>
  <c r="P42" i="746"/>
  <c r="M42" i="746"/>
  <c r="L42" i="746"/>
  <c r="R42" i="746" s="1"/>
  <c r="P44" i="746"/>
  <c r="O36" i="746"/>
  <c r="Q44" i="746" s="1"/>
  <c r="O44" i="746"/>
  <c r="N44" i="746"/>
  <c r="M44" i="746"/>
  <c r="L44" i="746"/>
  <c r="R44" i="746" s="1"/>
  <c r="N43" i="746"/>
  <c r="Q43" i="746"/>
  <c r="M43" i="746"/>
  <c r="L43" i="746"/>
  <c r="R43" i="746" s="1"/>
  <c r="N36" i="746"/>
  <c r="P43" i="746"/>
  <c r="O43" i="746"/>
  <c r="L41" i="746" l="1"/>
  <c r="R41" i="746" s="1"/>
  <c r="L36" i="746"/>
  <c r="Q41" i="746" s="1"/>
  <c r="M41" i="746"/>
  <c r="F46" i="4" l="1"/>
  <c r="T20" i="4" a="1"/>
  <c r="T20" i="4" s="1"/>
  <c r="Z20" i="4" s="1" a="1"/>
  <c r="Z20" i="4" s="1"/>
  <c r="AA20" i="4" s="1" a="1"/>
  <c r="AA20" i="4" s="1"/>
  <c r="M35" i="4"/>
  <c r="N35" i="4"/>
  <c r="O35" i="4"/>
  <c r="P35" i="4"/>
  <c r="Q35" i="4"/>
  <c r="L35" i="4"/>
  <c r="I24" i="4"/>
  <c r="L20" i="4" a="1"/>
  <c r="AF4" i="4" a="1"/>
  <c r="AF4" i="4" s="1"/>
  <c r="AD4" i="4" a="1"/>
  <c r="AD4" i="4" s="1"/>
  <c r="S4" i="4" a="1"/>
  <c r="S4" i="4" s="1"/>
  <c r="W5" i="4" a="1"/>
  <c r="W5" i="4" s="1"/>
  <c r="W9" i="4" a="1"/>
  <c r="W9" i="4" s="1"/>
  <c r="S11" i="4" a="1"/>
  <c r="S11" i="4" s="1"/>
  <c r="M4" i="4" a="1"/>
  <c r="M4" i="4" s="1"/>
  <c r="N4" i="4" s="1" a="1"/>
  <c r="N4" i="4" s="1"/>
  <c r="L20" i="4" l="1"/>
  <c r="L24" i="4" s="1"/>
  <c r="O24" i="4"/>
  <c r="C47" i="4" a="1"/>
  <c r="C47" i="4" s="1"/>
  <c r="N24" i="4"/>
  <c r="P24" i="4"/>
  <c r="Q24" i="4"/>
  <c r="O4" i="4" a="1"/>
  <c r="O4" i="4" s="1"/>
  <c r="P4" i="4" s="1" a="1"/>
  <c r="P4" i="4" s="1"/>
  <c r="M24" i="4"/>
  <c r="P8" i="4" a="1"/>
  <c r="P8" i="4" s="1"/>
  <c r="P7" i="4" a="1"/>
  <c r="P7" i="4" s="1"/>
  <c r="P9" i="4" a="1"/>
  <c r="P9" i="4" s="1"/>
  <c r="P10" i="4" a="1"/>
  <c r="P10" i="4" s="1"/>
  <c r="P11" i="4" a="1"/>
  <c r="P11" i="4" s="1"/>
  <c r="P12" i="4" a="1"/>
  <c r="P12" i="4" s="1"/>
  <c r="P13" i="4" a="1"/>
  <c r="P13" i="4" s="1"/>
  <c r="P6" i="4" l="1" a="1"/>
  <c r="P6" i="4" s="1"/>
  <c r="P5" i="4" a="1"/>
  <c r="P5" i="4" s="1"/>
  <c r="I35" i="4" l="1"/>
  <c r="I34" i="4"/>
  <c r="I33" i="4"/>
  <c r="I32" i="4"/>
  <c r="I31" i="4"/>
  <c r="I30" i="4"/>
  <c r="I29" i="4"/>
  <c r="I28" i="4"/>
  <c r="I27" i="4"/>
  <c r="I26" i="4"/>
  <c r="I25" i="4"/>
  <c r="P28" i="4" l="1"/>
  <c r="Q28" i="4"/>
  <c r="L28" i="4"/>
  <c r="N28" i="4"/>
  <c r="O28" i="4"/>
  <c r="M28" i="4"/>
  <c r="L29" i="4"/>
  <c r="M29" i="4"/>
  <c r="N29" i="4"/>
  <c r="O29" i="4"/>
  <c r="P29" i="4"/>
  <c r="Q29" i="4"/>
  <c r="P30" i="4"/>
  <c r="Q30" i="4"/>
  <c r="L30" i="4"/>
  <c r="M30" i="4"/>
  <c r="O30" i="4"/>
  <c r="N30" i="4"/>
  <c r="L31" i="4"/>
  <c r="M31" i="4"/>
  <c r="N31" i="4"/>
  <c r="O31" i="4"/>
  <c r="P31" i="4"/>
  <c r="Q31" i="4"/>
  <c r="L32" i="4"/>
  <c r="Q32" i="4"/>
  <c r="P32" i="4"/>
  <c r="N32" i="4"/>
  <c r="M32" i="4"/>
  <c r="O32" i="4"/>
  <c r="M33" i="4"/>
  <c r="O33" i="4"/>
  <c r="N33" i="4"/>
  <c r="P33" i="4"/>
  <c r="Q33" i="4"/>
  <c r="L33" i="4"/>
  <c r="Q34" i="4"/>
  <c r="P34" i="4"/>
  <c r="M34" i="4"/>
  <c r="O34" i="4"/>
  <c r="L34" i="4"/>
  <c r="N34" i="4"/>
  <c r="Q25" i="4"/>
  <c r="M25" i="4"/>
  <c r="L25" i="4"/>
  <c r="N25" i="4"/>
  <c r="O25" i="4"/>
  <c r="P25" i="4"/>
  <c r="P27" i="4"/>
  <c r="Q27" i="4"/>
  <c r="L27" i="4"/>
  <c r="O27" i="4"/>
  <c r="N27" i="4"/>
  <c r="M27" i="4"/>
  <c r="O26" i="4"/>
  <c r="N26" i="4"/>
  <c r="L26" i="4"/>
  <c r="Q26" i="4"/>
  <c r="M26" i="4"/>
  <c r="P26" i="4"/>
  <c r="I37" i="4"/>
  <c r="I40" i="4" s="1"/>
  <c r="G49" i="2"/>
  <c r="G50" i="2"/>
  <c r="G51" i="2"/>
  <c r="G52" i="2"/>
  <c r="G53" i="2"/>
  <c r="G211" i="2"/>
  <c r="L44" i="4" l="1"/>
  <c r="L45" i="4"/>
  <c r="L43" i="4"/>
  <c r="L42" i="4"/>
  <c r="L41" i="4"/>
  <c r="L46" i="4"/>
  <c r="O36" i="4"/>
  <c r="L36" i="4"/>
  <c r="P36" i="4"/>
  <c r="M36" i="4"/>
  <c r="N36" i="4"/>
  <c r="Q36" i="4"/>
  <c r="C9" i="4"/>
  <c r="F213" i="2"/>
  <c r="G191" i="2"/>
  <c r="G190" i="2"/>
  <c r="G205" i="2"/>
  <c r="G204" i="2"/>
  <c r="G206" i="2"/>
  <c r="G207" i="2"/>
  <c r="G203" i="2"/>
  <c r="G202" i="2"/>
  <c r="G201" i="2"/>
  <c r="G200" i="2"/>
  <c r="G199" i="2"/>
  <c r="G198" i="2"/>
  <c r="G197" i="2"/>
  <c r="G196" i="2"/>
  <c r="G195" i="2"/>
  <c r="G194" i="2"/>
  <c r="G193" i="2"/>
  <c r="G192" i="2"/>
  <c r="G208" i="2"/>
  <c r="G189" i="2"/>
  <c r="Q46" i="4" l="1"/>
  <c r="R46" i="4"/>
  <c r="N46" i="4"/>
  <c r="O46" i="4"/>
  <c r="P46" i="4"/>
  <c r="M43" i="4"/>
  <c r="S43" i="4" s="1"/>
  <c r="P43" i="4"/>
  <c r="Q43" i="4"/>
  <c r="R43" i="4"/>
  <c r="N43" i="4"/>
  <c r="O43" i="4"/>
  <c r="P41" i="4"/>
  <c r="Q41" i="4"/>
  <c r="R41" i="4"/>
  <c r="N41" i="4"/>
  <c r="O41" i="4"/>
  <c r="P42" i="4"/>
  <c r="Q42" i="4"/>
  <c r="R42" i="4"/>
  <c r="N42" i="4"/>
  <c r="O42" i="4"/>
  <c r="R45" i="4"/>
  <c r="N45" i="4"/>
  <c r="O45" i="4"/>
  <c r="P45" i="4"/>
  <c r="Q45" i="4"/>
  <c r="N44" i="4"/>
  <c r="O44" i="4"/>
  <c r="M44" i="4"/>
  <c r="S44" i="4" s="1"/>
  <c r="P44" i="4"/>
  <c r="Q44" i="4"/>
  <c r="R44" i="4"/>
  <c r="S46" i="4"/>
  <c r="M46" i="4"/>
  <c r="M41" i="4"/>
  <c r="S41" i="4" s="1"/>
  <c r="M42" i="4"/>
  <c r="S42" i="4" s="1"/>
  <c r="S45" i="4"/>
  <c r="M45" i="4"/>
  <c r="G188" i="2"/>
  <c r="G187" i="2"/>
  <c r="G186" i="2"/>
  <c r="G185" i="2"/>
  <c r="G184" i="2"/>
  <c r="G183" i="2"/>
  <c r="G176" i="2"/>
  <c r="G123" i="2"/>
  <c r="G170" i="2"/>
  <c r="G169" i="2"/>
  <c r="G136" i="2"/>
  <c r="G135" i="2"/>
  <c r="G122" i="2"/>
  <c r="G121" i="2"/>
  <c r="G120" i="2"/>
  <c r="G103" i="2"/>
  <c r="G102" i="2"/>
  <c r="G83" i="2"/>
  <c r="G82" i="2"/>
  <c r="G80" i="2"/>
  <c r="G79" i="2"/>
  <c r="G87" i="2" l="1"/>
  <c r="G78" i="2"/>
  <c r="G161" i="2"/>
  <c r="G159" i="2"/>
  <c r="G160" i="2"/>
  <c r="G165" i="2"/>
  <c r="G178" i="2"/>
  <c r="G180" i="2"/>
  <c r="G177" i="2"/>
  <c r="G179" i="2"/>
  <c r="G175" i="2"/>
  <c r="G154" i="2"/>
  <c r="G155" i="2"/>
  <c r="G173" i="2"/>
  <c r="G124" i="2"/>
  <c r="G88" i="2"/>
  <c r="G85" i="2"/>
  <c r="G147" i="2"/>
  <c r="G11" i="2" l="1"/>
  <c r="G12" i="2"/>
  <c r="G81" i="2" l="1"/>
  <c r="G146" i="2"/>
  <c r="G168" i="2"/>
  <c r="G76" i="2"/>
  <c r="G163" i="2"/>
  <c r="G162" i="2"/>
  <c r="G148" i="2"/>
  <c r="G158" i="2"/>
  <c r="G157" i="2"/>
  <c r="G156" i="2"/>
  <c r="G164" i="2"/>
  <c r="G60" i="2"/>
  <c r="G77" i="2"/>
  <c r="G75" i="2"/>
  <c r="G34" i="2"/>
  <c r="G28" i="2"/>
  <c r="G33" i="2"/>
  <c r="G26" i="2"/>
  <c r="G30" i="2"/>
  <c r="G27" i="2"/>
  <c r="G174" i="2"/>
  <c r="G145" i="2"/>
  <c r="G144" i="2"/>
  <c r="G143" i="2"/>
  <c r="G142" i="2"/>
  <c r="G141" i="2"/>
  <c r="G140" i="2"/>
  <c r="G139" i="2"/>
  <c r="G138" i="2"/>
  <c r="G137" i="2"/>
  <c r="G182" i="2"/>
  <c r="G134" i="2"/>
  <c r="G133" i="2"/>
  <c r="G132" i="2"/>
  <c r="G131" i="2"/>
  <c r="G130" i="2"/>
  <c r="G84" i="2"/>
  <c r="G129" i="2"/>
  <c r="G128" i="2"/>
  <c r="G127" i="2"/>
  <c r="G126" i="2"/>
  <c r="G125" i="2"/>
  <c r="G167" i="2"/>
  <c r="G166" i="2"/>
  <c r="G181" i="2"/>
  <c r="G172" i="2"/>
  <c r="G119" i="2"/>
  <c r="G118" i="2"/>
  <c r="G117" i="2"/>
  <c r="G116" i="2"/>
  <c r="G115" i="2"/>
  <c r="G113" i="2"/>
  <c r="G112" i="2"/>
  <c r="G111" i="2"/>
  <c r="G110" i="2"/>
  <c r="G114" i="2"/>
  <c r="G171" i="2"/>
  <c r="G106" i="2"/>
  <c r="G105" i="2"/>
  <c r="G104" i="2"/>
  <c r="G109" i="2"/>
  <c r="G101" i="2"/>
  <c r="G100" i="2"/>
  <c r="G99" i="2"/>
  <c r="G98" i="2"/>
  <c r="G97" i="2"/>
  <c r="G96" i="2"/>
  <c r="G95" i="2"/>
  <c r="G94" i="2"/>
  <c r="G93" i="2"/>
  <c r="G92" i="2"/>
  <c r="G91" i="2"/>
  <c r="G90" i="2"/>
  <c r="G89" i="2"/>
  <c r="G65" i="2"/>
  <c r="G64" i="2"/>
  <c r="G62" i="2"/>
  <c r="G153" i="2"/>
  <c r="G59" i="2"/>
  <c r="G58" i="2"/>
  <c r="G57" i="2"/>
  <c r="G56" i="2"/>
  <c r="G151" i="2"/>
  <c r="G54" i="2"/>
  <c r="G210" i="2"/>
  <c r="G209" i="2"/>
  <c r="G74" i="2"/>
  <c r="G72" i="2"/>
  <c r="G71" i="2"/>
  <c r="G73" i="2"/>
  <c r="G46" i="2"/>
  <c r="G44" i="2"/>
  <c r="G45" i="2"/>
  <c r="G43" i="2"/>
  <c r="G70" i="2"/>
  <c r="G69" i="2"/>
  <c r="G42" i="2"/>
  <c r="G61" i="2"/>
  <c r="G41" i="2"/>
  <c r="G63" i="2"/>
  <c r="G40" i="2"/>
  <c r="G150" i="2"/>
  <c r="G149" i="2"/>
  <c r="G107" i="2"/>
  <c r="G39" i="2"/>
  <c r="G38" i="2"/>
  <c r="G68" i="2"/>
  <c r="G67" i="2"/>
  <c r="G152" i="2"/>
  <c r="G37" i="2"/>
  <c r="G48" i="2"/>
  <c r="G47" i="2"/>
  <c r="G86" i="2"/>
  <c r="G35" i="2"/>
  <c r="G36" i="2"/>
  <c r="G66" i="2"/>
  <c r="G25" i="2"/>
  <c r="G32" i="2"/>
  <c r="G31" i="2"/>
  <c r="G29" i="2"/>
  <c r="G22" i="2"/>
  <c r="G24" i="2"/>
  <c r="G23" i="2"/>
  <c r="G21" i="2"/>
  <c r="G20" i="2"/>
  <c r="G55" i="2"/>
  <c r="G18" i="2"/>
  <c r="G16" i="2"/>
  <c r="G17" i="2"/>
  <c r="G108" i="2"/>
  <c r="F15" i="6" l="1" a="1"/>
  <c r="F15" i="6" s="1"/>
  <c r="F10" i="4"/>
  <c r="F9" i="4"/>
  <c r="A5" i="2"/>
  <c r="A6"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<sst xmlns="http://schemas.openxmlformats.org/spreadsheetml/2006/main" count="554" uniqueCount="340">
  <si>
    <t>AMOUNT</t>
  </si>
  <si>
    <t>COST</t>
  </si>
  <si>
    <t>QUANTITY</t>
  </si>
  <si>
    <t>DESCRIPTION</t>
  </si>
  <si>
    <t>LINE</t>
  </si>
  <si>
    <t>CASH</t>
  </si>
  <si>
    <t>NOTES:</t>
  </si>
  <si>
    <t>TERMS</t>
  </si>
  <si>
    <t>ADDRESS</t>
  </si>
  <si>
    <t>JOB NAME</t>
  </si>
  <si>
    <t>TO</t>
  </si>
  <si>
    <t>JOB NO.</t>
  </si>
  <si>
    <t>DATE</t>
  </si>
  <si>
    <t>P.O. NO.</t>
  </si>
  <si>
    <t>PURCHASE ORDER / CHECK REQUEST</t>
  </si>
  <si>
    <t>PURCHASE ORDER LOG</t>
  </si>
  <si>
    <t>PAYEE</t>
  </si>
  <si>
    <t>PO</t>
  </si>
  <si>
    <t>PAY ID</t>
  </si>
  <si>
    <t>LINE DESCRIPTION</t>
  </si>
  <si>
    <t>NOTES</t>
  </si>
  <si>
    <t>TOTAL</t>
  </si>
  <si>
    <t>A</t>
  </si>
  <si>
    <t>PRE-PRO &amp; WRAP CREW</t>
  </si>
  <si>
    <t>Line Producer</t>
  </si>
  <si>
    <t>Assistant Director</t>
  </si>
  <si>
    <t>Director of Photography</t>
  </si>
  <si>
    <t>2nd Unit DP</t>
  </si>
  <si>
    <t>1st AC</t>
  </si>
  <si>
    <t>2nd AC</t>
  </si>
  <si>
    <t>Phantom Tech</t>
  </si>
  <si>
    <t>DIT</t>
  </si>
  <si>
    <t>Crane Operator</t>
  </si>
  <si>
    <t>Crane Tech</t>
  </si>
  <si>
    <t>Gaffer</t>
  </si>
  <si>
    <t>BB Electric</t>
  </si>
  <si>
    <t>3rd Electric</t>
  </si>
  <si>
    <t>4th Electric/Driver</t>
  </si>
  <si>
    <t>Package Truck Driver</t>
  </si>
  <si>
    <t>Key Grip</t>
  </si>
  <si>
    <t>BB Grip</t>
  </si>
  <si>
    <t>3rd Grip</t>
  </si>
  <si>
    <t>4th Grip/Driver</t>
  </si>
  <si>
    <t>addt'l Grips</t>
  </si>
  <si>
    <t>Sound Mixer</t>
  </si>
  <si>
    <t>Boom Operator</t>
  </si>
  <si>
    <t>Key Makeup</t>
  </si>
  <si>
    <t>Key Hair</t>
  </si>
  <si>
    <t>2nd Makeup/2nd Hair</t>
  </si>
  <si>
    <t>Key Stylist</t>
  </si>
  <si>
    <t>Stylist Assistant</t>
  </si>
  <si>
    <t>Script Supervisor</t>
  </si>
  <si>
    <t>Manicurist</t>
  </si>
  <si>
    <t>Stills Digitech</t>
  </si>
  <si>
    <t>VTR Operator</t>
  </si>
  <si>
    <t>Bolt Tech</t>
  </si>
  <si>
    <t>Bolt Op</t>
  </si>
  <si>
    <t>Cam Car Arm Op + Tech</t>
  </si>
  <si>
    <t>Camera Car Driver</t>
  </si>
  <si>
    <t>ALM</t>
  </si>
  <si>
    <t>Location Manager</t>
  </si>
  <si>
    <t>Production Supervisor</t>
  </si>
  <si>
    <t>Commercial Coordinator</t>
  </si>
  <si>
    <t>Talent Coordinator</t>
  </si>
  <si>
    <t>Medic/First Aid</t>
  </si>
  <si>
    <t>Craft Service</t>
  </si>
  <si>
    <t>Lifeguard</t>
  </si>
  <si>
    <t>Choreographer</t>
  </si>
  <si>
    <t>Drivers</t>
  </si>
  <si>
    <t>Teamsters</t>
  </si>
  <si>
    <t>Production Assistants</t>
  </si>
  <si>
    <t>Steadicam Operator</t>
  </si>
  <si>
    <t>4th Electric</t>
  </si>
  <si>
    <t>4th Grip</t>
  </si>
  <si>
    <t>Generator Operator</t>
  </si>
  <si>
    <t>Key Hair/Makeup</t>
  </si>
  <si>
    <t>Asst Hair/Makeup</t>
  </si>
  <si>
    <t>Stills Asst</t>
  </si>
  <si>
    <t>VTR Asst</t>
  </si>
  <si>
    <t>2nd AD</t>
  </si>
  <si>
    <t>Craft Assistant</t>
  </si>
  <si>
    <t>Police</t>
  </si>
  <si>
    <t>C</t>
  </si>
  <si>
    <t>PRE-PRODUCTION &amp; WRAP EXPENSES</t>
  </si>
  <si>
    <t>Auto Rentals</t>
  </si>
  <si>
    <t>Rehearsal Space</t>
  </si>
  <si>
    <t>Pre Pro Expenses</t>
  </si>
  <si>
    <t>Messengers</t>
  </si>
  <si>
    <t>Trucking</t>
  </si>
  <si>
    <t>Deliveries &amp; Taxis</t>
  </si>
  <si>
    <t>Working Meals</t>
  </si>
  <si>
    <t>Background Casting</t>
  </si>
  <si>
    <t>Casting Director</t>
  </si>
  <si>
    <t>Casting Facilities</t>
  </si>
  <si>
    <t>Pre Pro Meals</t>
  </si>
  <si>
    <t>Location Scouting Expenses</t>
  </si>
  <si>
    <t>D</t>
  </si>
  <si>
    <t>LOCATION EXPENSES</t>
  </si>
  <si>
    <t>Location Fees - House/Grocery Store</t>
  </si>
  <si>
    <t>Permit Fees</t>
  </si>
  <si>
    <t>Basecamp</t>
  </si>
  <si>
    <t>Crew Shuttles</t>
  </si>
  <si>
    <t>Dressing Room Vehicles</t>
  </si>
  <si>
    <t>Honeywagon/Restrooms</t>
  </si>
  <si>
    <t>Parking, Tolls, &amp; Gas</t>
  </si>
  <si>
    <t>Grip &amp; Electric Trucks</t>
  </si>
  <si>
    <t>Camera Truck</t>
  </si>
  <si>
    <t>Production Truck</t>
  </si>
  <si>
    <t>Wardrobe Truck</t>
  </si>
  <si>
    <t>Location Prep</t>
  </si>
  <si>
    <t>Van Rentals</t>
  </si>
  <si>
    <t>Van Rentals - Client/Agency/Chauffers</t>
  </si>
  <si>
    <t>Security</t>
  </si>
  <si>
    <t>Breakfast</t>
  </si>
  <si>
    <t>Lunch</t>
  </si>
  <si>
    <t>Dinner</t>
  </si>
  <si>
    <t>BG Meals</t>
  </si>
  <si>
    <t>Kit Rental</t>
  </si>
  <si>
    <t>BG Holding</t>
  </si>
  <si>
    <t>Preight Craft</t>
  </si>
  <si>
    <t>Prelight Meals</t>
  </si>
  <si>
    <t>E</t>
  </si>
  <si>
    <t>PROPS, WARDROBE &amp; ANIMALS</t>
  </si>
  <si>
    <t>Food Truck Rental</t>
  </si>
  <si>
    <t>Home Ec Supplies</t>
  </si>
  <si>
    <t>Wardrobe Rentals</t>
  </si>
  <si>
    <t>Aniamls &amp; Trainers</t>
  </si>
  <si>
    <t>Humane Rep</t>
  </si>
  <si>
    <t>Transportation</t>
  </si>
  <si>
    <t>Wardrobe Misc. Costs</t>
  </si>
  <si>
    <t>F</t>
  </si>
  <si>
    <t>STUDIO RENTAL &amp; EXPENSES</t>
  </si>
  <si>
    <t xml:space="preserve">Rental For Build Days </t>
  </si>
  <si>
    <t>Build OT Hours</t>
  </si>
  <si>
    <t>Rental for Pre-Lite Days</t>
  </si>
  <si>
    <t>Pre-Lite OT Hours</t>
  </si>
  <si>
    <t>Rental for Shoot Days</t>
  </si>
  <si>
    <t>Shoot OT Hours</t>
  </si>
  <si>
    <t>Rental for Strike Days</t>
  </si>
  <si>
    <t>Strike OT Hours</t>
  </si>
  <si>
    <t>Generator and Operator</t>
  </si>
  <si>
    <t>Air Conditioning</t>
  </si>
  <si>
    <t>Power Charges</t>
  </si>
  <si>
    <t>Misc Studio Charges</t>
  </si>
  <si>
    <t>G</t>
  </si>
  <si>
    <t>SET CONSTRUCTION CREW</t>
  </si>
  <si>
    <t>Production Designer</t>
  </si>
  <si>
    <t>Buyer/Shopper</t>
  </si>
  <si>
    <t>Prop Master</t>
  </si>
  <si>
    <t>Leadman</t>
  </si>
  <si>
    <t>Driver/Set Dresser</t>
  </si>
  <si>
    <t>Set Dresser</t>
  </si>
  <si>
    <t>Prop Assistant</t>
  </si>
  <si>
    <t>Art Dept Coordinator</t>
  </si>
  <si>
    <t>Food Stylist Assistant Prep Day</t>
  </si>
  <si>
    <t>PA</t>
  </si>
  <si>
    <t>Food Stylist Assists</t>
  </si>
  <si>
    <t>SPFX Asst</t>
  </si>
  <si>
    <t>H</t>
  </si>
  <si>
    <t>SET CONSTRUCTION MATERIALS</t>
  </si>
  <si>
    <t>Prop Rentals &amp; Purchsses</t>
  </si>
  <si>
    <t>Set Dressing Rentals &amp; Purchases</t>
  </si>
  <si>
    <t>Custom Props</t>
  </si>
  <si>
    <t>Construction</t>
  </si>
  <si>
    <t>Backdrops</t>
  </si>
  <si>
    <t>Food Truck</t>
  </si>
  <si>
    <t>Food Props</t>
  </si>
  <si>
    <t>Practical Sand and Clean up</t>
  </si>
  <si>
    <t>Food Stylist Ground Transport</t>
  </si>
  <si>
    <t>Art Dept Trucking</t>
  </si>
  <si>
    <t>Parking and fuel</t>
  </si>
  <si>
    <t>Kits and Meals</t>
  </si>
  <si>
    <t>I</t>
  </si>
  <si>
    <t>EQUIPMENT RENTAL</t>
  </si>
  <si>
    <t>Camera Rental</t>
  </si>
  <si>
    <t>Sound Rental</t>
  </si>
  <si>
    <t>Lighting Rental</t>
  </si>
  <si>
    <t>Grip Rental</t>
  </si>
  <si>
    <t>Generator Rental</t>
  </si>
  <si>
    <t>Crane + Remote Head Rental</t>
  </si>
  <si>
    <t>VTR Rental</t>
  </si>
  <si>
    <t>Walkie Talkie Rental</t>
  </si>
  <si>
    <t>Dolly Rental</t>
  </si>
  <si>
    <t>Slider</t>
  </si>
  <si>
    <t>Steadicam</t>
  </si>
  <si>
    <t>Production Supplies</t>
  </si>
  <si>
    <t>Location Supplies</t>
  </si>
  <si>
    <t>Expendables</t>
  </si>
  <si>
    <t>DIT Equipment</t>
  </si>
  <si>
    <t>Stills Equipment</t>
  </si>
  <si>
    <t>Package Truck</t>
  </si>
  <si>
    <t>Phantom Camera Kit</t>
  </si>
  <si>
    <t>J</t>
  </si>
  <si>
    <t>FILMSTOCK, DEVELOP &amp; PRINT</t>
  </si>
  <si>
    <t>Hard Drives</t>
  </si>
  <si>
    <t>Transcodes</t>
  </si>
  <si>
    <t>Slingshot Dailies</t>
  </si>
  <si>
    <t>Film Stock</t>
  </si>
  <si>
    <t>Processing</t>
  </si>
  <si>
    <t>Drives</t>
  </si>
  <si>
    <t>K</t>
  </si>
  <si>
    <t>MISCELLANEOUS COSTS</t>
  </si>
  <si>
    <t>Storage Space</t>
  </si>
  <si>
    <t>Shipping</t>
  </si>
  <si>
    <t>Tax Waivers</t>
  </si>
  <si>
    <t>DGA AD Letter</t>
  </si>
  <si>
    <t>Work Permits / LMIA</t>
  </si>
  <si>
    <t>Portable Wifi</t>
  </si>
  <si>
    <t>Wire Rigging Equipment</t>
  </si>
  <si>
    <t>Photographer Fees</t>
  </si>
  <si>
    <t>Photographer Assist</t>
  </si>
  <si>
    <t>L</t>
  </si>
  <si>
    <t>DIRECTOR/CREATIVE FEES</t>
  </si>
  <si>
    <t>Director Prep</t>
  </si>
  <si>
    <t>Director Shoot</t>
  </si>
  <si>
    <t>Director Follow-up Shoots</t>
  </si>
  <si>
    <t>Creative Director</t>
  </si>
  <si>
    <t>Writers</t>
  </si>
  <si>
    <t>M</t>
  </si>
  <si>
    <t xml:space="preserve">TALENT                                                                                           </t>
  </si>
  <si>
    <t>O/C Principals</t>
  </si>
  <si>
    <t>General Extras</t>
  </si>
  <si>
    <t>Extras Wardrobe Allowance</t>
  </si>
  <si>
    <t>Extras Casting fee</t>
  </si>
  <si>
    <t>Extras Payroll Service</t>
  </si>
  <si>
    <t>Extras Covid Testing</t>
  </si>
  <si>
    <t>Hand Models</t>
  </si>
  <si>
    <t>Voice Over</t>
  </si>
  <si>
    <t>Fitting Fees</t>
  </si>
  <si>
    <t>Audition Fees</t>
  </si>
  <si>
    <t>Talent</t>
  </si>
  <si>
    <t>Talent Payroll Service</t>
  </si>
  <si>
    <t>Talent Wardrobe Allowance</t>
  </si>
  <si>
    <t>N</t>
  </si>
  <si>
    <t>Other</t>
  </si>
  <si>
    <t>Director Flights</t>
  </si>
  <si>
    <t>Per Diems</t>
  </si>
  <si>
    <t>Director Hotels</t>
  </si>
  <si>
    <t>O</t>
  </si>
  <si>
    <t>P</t>
  </si>
  <si>
    <t>Covid Expenses</t>
  </si>
  <si>
    <t>Covid Testing Stipend</t>
  </si>
  <si>
    <t>ACTUAL</t>
  </si>
  <si>
    <t>{{PO_NUMBER}}</t>
  </si>
  <si>
    <t>*Enter Job Name + Number*</t>
  </si>
  <si>
    <t>Job Name:</t>
  </si>
  <si>
    <t>Job Number:</t>
  </si>
  <si>
    <t>*At Start of job define a PO Range*</t>
  </si>
  <si>
    <t>PO Table</t>
  </si>
  <si>
    <t>*Start by defining PO Prefix (typically job #)</t>
  </si>
  <si>
    <t>For Example</t>
  </si>
  <si>
    <t>*Then define, range of POs needed. *For example*</t>
  </si>
  <si>
    <t>*Sheet will generate PO Range</t>
  </si>
  <si>
    <t>2403-001</t>
  </si>
  <si>
    <t>2403-050</t>
  </si>
  <si>
    <t>Enter PO Prefix Here</t>
  </si>
  <si>
    <t>Enter PO Range Here</t>
  </si>
  <si>
    <t>Emergency Button Only</t>
  </si>
  <si>
    <t>Client/Agency - Supplies</t>
  </si>
  <si>
    <t>Client/Agency - Craft Service</t>
  </si>
  <si>
    <t>Client Agency - Giftbags, Dinner, Gifts</t>
  </si>
  <si>
    <t>Production Company</t>
  </si>
  <si>
    <t>Address</t>
  </si>
  <si>
    <t>TAX</t>
  </si>
  <si>
    <t>SUBTOTAL</t>
  </si>
  <si>
    <t>(Enter if needed)</t>
  </si>
  <si>
    <t>Ordered By</t>
  </si>
  <si>
    <t>Authorized By</t>
  </si>
  <si>
    <t>SS or TIN</t>
  </si>
  <si>
    <t>PO Generation</t>
  </si>
  <si>
    <t>This workbook Primarily has 2 purposes. 1 to generate PO pages. 2. For PO pages to work in synchronocity with the PO Log. Without requiring the double entry of.</t>
  </si>
  <si>
    <t>Fluid PO Log PO Genereator</t>
  </si>
  <si>
    <t>Line No</t>
  </si>
  <si>
    <t>⦿</t>
  </si>
  <si>
    <t xml:space="preserve">In the line No Page, copy the line numbers from your job. </t>
  </si>
  <si>
    <t>Be aware there is also a section for CS Sections as well. Should you need to line items to general Cs Section.For example CS17 Travel, etc</t>
  </si>
  <si>
    <t>In the PO Generation tab, you can create as many PO pages as are needed for your job</t>
  </si>
  <si>
    <t>The PO Generation will you use the PO Page from the Template Sheet to do so</t>
  </si>
  <si>
    <t>Please make sure the Template Sheet is up to your standards before generatining. Ie, template page has the company logo, company address, etc. Add currency conversion if needed, etc,.</t>
  </si>
  <si>
    <t>Determine what kind of numeration your company is using for their Pos</t>
  </si>
  <si>
    <t>PO Range</t>
  </si>
  <si>
    <t xml:space="preserve">What is the range of POs you will need for your job. </t>
  </si>
  <si>
    <t>If there is a prefix for the range, enter the prefix in the prefix cell. If the company is using just a linear start number, and end number, leave the prefix cell blank</t>
  </si>
  <si>
    <r>
      <t xml:space="preserve">Do not modify the {{PO_NUMBER}} cell on the </t>
    </r>
    <r>
      <rPr>
        <sz val="12"/>
        <color rgb="FFFF0000"/>
        <rFont val="Aptos Narrow (Body)"/>
      </rPr>
      <t>Template-Sheet</t>
    </r>
  </si>
  <si>
    <t>Enter Job No and PO No on the PO Generation Page. This will automatically populate to the Template Sheet, and all proceeding PO pages.</t>
  </si>
  <si>
    <t>Enter range needed. Will immediately display in PO Table. If PO Table displays of PO numeration is correct to yuoe aatisfaction, click Generate Pos</t>
  </si>
  <si>
    <t>In the event you need additional Pos, simply enter the range needed. And subsequently click Generate Pos</t>
  </si>
  <si>
    <t>In the event you need to delete a large amount of Pos, repeat the process, but hit Delete all POs instead</t>
  </si>
  <si>
    <t>Export Pos</t>
  </si>
  <si>
    <t>At the wrap of your job, when POs need to be PDF'd accordingly, the export PO option tries to make this easier.</t>
  </si>
  <si>
    <t>In the Export PO Tab</t>
  </si>
  <si>
    <t>Hit Export</t>
  </si>
  <si>
    <t>The excel, will generate a PDF of every PO page seperatly, output to the folder that the PO Book is currently in.</t>
  </si>
  <si>
    <r>
      <t xml:space="preserve">This is a beta feature. If it doesn't work, you may need to modify the Macro yourself. Under developer tab, macros, </t>
    </r>
    <r>
      <rPr>
        <sz val="12"/>
        <color rgb="FFFF0000"/>
        <rFont val="Aptos Narrow (Body)"/>
      </rPr>
      <t>MACRO NAME</t>
    </r>
  </si>
  <si>
    <t>Each PDF file name will be that of its tab name, ie its PO</t>
  </si>
  <si>
    <t>From here, exported PDF POs can simply be dragged into the proper folders in your Finder window</t>
  </si>
  <si>
    <t>PO Log</t>
  </si>
  <si>
    <t>The true purpose of this workbook is to work in syncronbicity tandem with your PO Log</t>
  </si>
  <si>
    <t>To achieve this the PO Log is locked, and should not be edited.</t>
  </si>
  <si>
    <t>Upon editing each PO page. For every addition, the appropriate additon will be updated in the log.</t>
  </si>
  <si>
    <t>What happens: When a PO page, has multiple items, belonging to the same the Line No. It will be reflected in the log.</t>
  </si>
  <si>
    <t>If these PO Page Entries belong to different dates, or diffferent Pay IDs, the PO log will split them up accordingly</t>
  </si>
  <si>
    <t>Dates should be used for the purpose of tracking costs across statements. Ie check dates, CC dates, etc,.</t>
  </si>
  <si>
    <t>For this purpose you should leave dates on prospective items, quotes, bills, blank, as there is no tracking purpose and they can only create confusion.</t>
  </si>
  <si>
    <t>The PO Log works best as a PO Book reference device, that can be copied in its entirety, and pasted into your budget file</t>
  </si>
  <si>
    <t>The formatting of the PO log allows for highlighting, cell color changes, but not modifications. For PM's that like to note additionals in the line description, you should do this in your True Budget/Hot Budget file.</t>
  </si>
  <si>
    <t>UniqueRegister</t>
  </si>
  <si>
    <t>SortCounter</t>
  </si>
  <si>
    <t>Sort</t>
  </si>
  <si>
    <t>Description</t>
  </si>
  <si>
    <t>Misc</t>
  </si>
  <si>
    <t>CC 2456</t>
  </si>
  <si>
    <t>#A</t>
  </si>
  <si>
    <t>#C</t>
  </si>
  <si>
    <t>#D</t>
  </si>
  <si>
    <t>#E</t>
  </si>
  <si>
    <t>#F</t>
  </si>
  <si>
    <t>#G</t>
  </si>
  <si>
    <t>3 ColUniqueRegister</t>
  </si>
  <si>
    <t>UNIQUE(HSTACK(LineEntry, DateEntry, PayIDEntry))</t>
  </si>
  <si>
    <t>works</t>
  </si>
  <si>
    <t>IFERROR(
INDEX(
UNIQUE(HSTACK(LineEntry,DateEntry,PayIDEntry)),
SEQUENCE(6,1),
{1,2,3}
),
""
)</t>
  </si>
  <si>
    <t>WORKS</t>
  </si>
  <si>
    <t>NO</t>
  </si>
  <si>
    <t>#B</t>
  </si>
  <si>
    <t>nothing</t>
  </si>
  <si>
    <t>CHK 101</t>
  </si>
  <si>
    <t>Line</t>
  </si>
  <si>
    <t>Date</t>
  </si>
  <si>
    <t>PayID</t>
  </si>
  <si>
    <t>PO LOG PREVIEW</t>
  </si>
  <si>
    <t>Vendor</t>
  </si>
  <si>
    <t>Unique Register</t>
  </si>
  <si>
    <t>Sort Counter</t>
  </si>
  <si>
    <t>IFERROR(
    TOCOL(
        INDEX(
            FILTER(
                UNIQUE(HSTACK(LineEntry, DateEntry, PayIDEntry)),
                BYROW(UNIQUE(HSTACK(LineEntry, DateEntry, PayIDEntry)), LAMBDA(row, SUM(row)&lt;&gt;0))
            ),
            SEQUENCE(6,1),
            {1,2,3}
        )
    ),
    ""
)</t>
  </si>
  <si>
    <t>INDEX(B24:B34,(MATCH(L22,F24:F34,0)))</t>
  </si>
  <si>
    <t>#OTHER</t>
  </si>
  <si>
    <t>#H</t>
  </si>
  <si>
    <t>Line Producer Grease</t>
  </si>
  <si>
    <t>HHEADER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</si>
</sst>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m/d/yy;@"/>
    <numFmt numFmtId="165" formatCode="[&lt;=9999999]###\-####;\(###\)\ ###\-####"/>
    <numFmt numFmtId="166" formatCode="_(#,##0.00_);[Red]\(#,##0.00\)"/>
    <numFmt numFmtId="167" formatCode="0;\(0\);&quot;&quot;"/>
    <numFmt numFmtId="168" formatCode="000"/>
    <numFmt numFmtId="169" formatCode="m/d/yyyy;@"/>
  </numFmts>
  <fonts count="74">
    <font>
      <sz val="12"/>
      <color theme="1"/>
      <name val="Aptos Narrow"/>
      <family val="2"/>
      <scheme val="minor"/>
    </font>
    <font>
      <b/>
      <sz val="12"/>
      <color theme="0"/>
      <name val="Aptos Narrow"/>
      <family val="2"/>
      <scheme val="minor"/>
    </font>
    <font>
      <sz val="12"/>
      <color rgb="FFFF0000"/>
      <name val="Aptos Narrow"/>
      <family val="2"/>
      <scheme val="minor"/>
    </font>
    <font>
      <sz val="10"/>
      <name val="Arial"/>
      <family val="2"/>
    </font>
    <font>
      <sz val="10"/>
      <color theme="1" tint="0.249977111117893"/>
      <name val="Aptos Narrow"/>
      <family val="1"/>
      <scheme val="minor"/>
    </font>
    <font>
      <b/>
      <sz val="10"/>
      <color theme="1" tint="0.249977111117893"/>
      <name val="Aptos Narrow"/>
      <family val="1"/>
      <scheme val="minor"/>
    </font>
    <font>
      <i/>
      <sz val="6"/>
      <color theme="1" tint="0.249977111117893"/>
      <name val="Aptos Narrow"/>
      <family val="1"/>
      <scheme val="minor"/>
    </font>
    <font>
      <sz val="10"/>
      <name val="Aptos Narrow"/>
      <family val="1"/>
      <scheme val="minor"/>
    </font>
    <font>
      <b/>
      <sz val="8"/>
      <color theme="1" tint="0.249977111117893"/>
      <name val="Aptos Narrow"/>
      <family val="1"/>
      <scheme val="minor"/>
    </font>
    <font>
      <b/>
      <sz val="12"/>
      <color theme="1" tint="0.249977111117893"/>
      <name val="Aptos Narrow"/>
      <family val="1"/>
      <scheme val="minor"/>
    </font>
    <font>
      <b/>
      <sz val="12"/>
      <color theme="1" tint="0.249977111117893"/>
      <name val="Aptos Display"/>
      <family val="1"/>
      <scheme val="major"/>
    </font>
    <font>
      <sz val="8"/>
      <color theme="1" tint="0.249977111117893"/>
      <name val="Aptos Narrow"/>
      <family val="1"/>
      <scheme val="minor"/>
    </font>
    <font>
      <sz val="12"/>
      <color theme="1" tint="0.249977111117893"/>
      <name val="Aptos Narrow"/>
      <family val="1"/>
      <scheme val="minor"/>
    </font>
    <font>
      <b/>
      <sz val="12"/>
      <color theme="1" tint="0.249977111117893"/>
      <name val="Arial"/>
      <family val="2"/>
    </font>
    <font>
      <b/>
      <sz val="10"/>
      <name val="Aptos Display"/>
      <family val="1"/>
      <scheme val="major"/>
    </font>
    <font>
      <sz val="12"/>
      <color rgb="FF0000FF"/>
      <name val="Aptos Narrow"/>
      <family val="1"/>
      <scheme val="minor"/>
    </font>
    <font>
      <sz val="12"/>
      <name val="Aptos Narrow"/>
      <family val="1"/>
      <scheme val="minor"/>
    </font>
    <font>
      <sz val="11"/>
      <name val="Garamond"/>
      <family val="1"/>
    </font>
    <font>
      <b/>
      <sz val="11"/>
      <name val="Garamond"/>
      <family val="1"/>
    </font>
    <font>
      <sz val="11"/>
      <color theme="1" tint="0.249977111117893"/>
      <name val="Garamond"/>
      <family val="1"/>
    </font>
    <font>
      <sz val="11"/>
      <name val="Aptos Display"/>
      <family val="1"/>
      <scheme val="major"/>
    </font>
    <font>
      <sz val="12"/>
      <name val="Aptos Display"/>
      <family val="1"/>
      <scheme val="major"/>
    </font>
    <font>
      <sz val="8"/>
      <name val="Aptos Narrow"/>
      <family val="1"/>
      <scheme val="minor"/>
    </font>
    <font>
      <b/>
      <sz val="15"/>
      <name val="Aptos Display"/>
      <family val="1"/>
      <scheme val="major"/>
    </font>
    <font>
      <b/>
      <sz val="15"/>
      <color theme="1" tint="0.249977111117893"/>
      <name val="Aptos Narrow"/>
      <family val="1"/>
      <scheme val="minor"/>
    </font>
    <font>
      <b/>
      <sz val="16"/>
      <color theme="1" tint="0.249977111117893"/>
      <name val="Aptos Narrow"/>
      <family val="1"/>
      <scheme val="minor"/>
    </font>
    <font>
      <sz val="11"/>
      <color theme="1" tint="0.249977111117893"/>
      <name val="Aptos Narrow"/>
      <family val="1"/>
      <scheme val="minor"/>
    </font>
    <font>
      <b/>
      <sz val="11"/>
      <color theme="1" tint="0.249977111117893"/>
      <name val="Aptos Narrow"/>
      <family val="1"/>
      <scheme val="minor"/>
    </font>
    <font>
      <b/>
      <sz val="23"/>
      <name val="Aptos Display"/>
      <family val="1"/>
      <scheme val="major"/>
    </font>
    <font>
      <b/>
      <sz val="30"/>
      <color theme="1" tint="0.249977111117893"/>
      <name val="Aptos Display"/>
      <family val="1"/>
      <scheme val="major"/>
    </font>
    <font>
      <sz val="11"/>
      <color theme="1"/>
      <name val="Arial"/>
      <family val="2"/>
    </font>
    <font>
      <b/>
      <sz val="18"/>
      <color theme="1"/>
      <name val="Arial"/>
      <family val="2"/>
    </font>
    <font>
      <b/>
      <sz val="11"/>
      <color theme="1"/>
      <name val="Arial"/>
      <family val="2"/>
    </font>
    <font>
      <sz val="10"/>
      <name val="Geneva"/>
      <family val="2"/>
    </font>
    <font>
      <b/>
      <sz val="9"/>
      <color indexed="12"/>
      <name val="Helv"/>
    </font>
    <font>
      <sz val="9"/>
      <name val="Helv"/>
      <family val="2"/>
    </font>
    <font>
      <b/>
      <sz val="9"/>
      <color indexed="17"/>
      <name val="Helv"/>
    </font>
    <font>
      <sz val="9"/>
      <color indexed="8"/>
      <name val="Helv"/>
    </font>
    <font>
      <sz val="9"/>
      <color indexed="10"/>
      <name val="Helv"/>
      <family val="2"/>
    </font>
    <font>
      <sz val="9"/>
      <color indexed="12"/>
      <name val="Helv"/>
    </font>
    <font>
      <b/>
      <sz val="12"/>
      <color theme="1"/>
      <name val="Aptos Narrow"/>
      <scheme val="minor"/>
    </font>
    <font>
      <i/>
      <sz val="12"/>
      <color theme="1"/>
      <name val="Aptos Narrow"/>
      <scheme val="minor"/>
    </font>
    <font>
      <sz val="12"/>
      <color rgb="FF000000"/>
      <name val="Aptos Narrow"/>
      <family val="2"/>
      <scheme val="minor"/>
    </font>
    <font>
      <sz val="12"/>
      <name val="Arial"/>
      <family val="2"/>
    </font>
    <font>
      <sz val="12"/>
      <color rgb="FF000000"/>
      <name val="Arial"/>
      <family val="2"/>
    </font>
    <font>
      <b/>
      <sz val="12"/>
      <color theme="0"/>
      <name val="Arial"/>
      <family val="2"/>
    </font>
    <font>
      <b/>
      <sz val="12"/>
      <color theme="1"/>
      <name val="Arial"/>
      <family val="2"/>
    </font>
    <font>
      <sz val="12"/>
      <color rgb="FFFF0000"/>
      <name val="Arial"/>
      <family val="2"/>
    </font>
    <font>
      <sz val="12"/>
      <color theme="1"/>
      <name val="Arial"/>
      <family val="2"/>
    </font>
    <font>
      <sz val="12"/>
      <color rgb="FFC00000"/>
      <name val="Arial"/>
      <family val="2"/>
    </font>
    <font>
      <b/>
      <sz val="12"/>
      <name val="Arial"/>
      <family val="2"/>
    </font>
    <font>
      <b/>
      <sz val="12"/>
      <color theme="1" tint="0.249977111117893"/>
      <name val="Aptos Narrow"/>
      <scheme val="minor"/>
    </font>
    <font>
      <sz val="12"/>
      <name val="Aptos Narrow"/>
      <family val="2"/>
      <scheme val="minor"/>
    </font>
    <font>
      <b/>
      <sz val="12"/>
      <color rgb="FFFFFFFF"/>
      <name val="Arial"/>
      <family val="2"/>
    </font>
    <font>
      <b/>
      <sz val="12"/>
      <color rgb="FF000000"/>
      <name val="Arial"/>
      <family val="2"/>
    </font>
    <font>
      <sz val="12"/>
      <color rgb="FF000000"/>
      <name val="Aptos Narrow"/>
    </font>
    <font>
      <sz val="14.3"/>
      <color rgb="FF000000"/>
      <name val="Aptos Narrow"/>
    </font>
    <font>
      <b/>
      <sz val="12"/>
      <color rgb="FFFF0000"/>
      <name val="Aptos Narrow"/>
      <scheme val="minor"/>
    </font>
    <font>
      <sz val="12"/>
      <color theme="6" tint="-0.499984740745262"/>
      <name val="Arial"/>
      <family val="2"/>
    </font>
    <font>
      <b/>
      <sz val="12"/>
      <name val="Aptos Narrow"/>
      <scheme val="minor"/>
    </font>
    <font>
      <u/>
      <sz val="18"/>
      <color theme="1"/>
      <name val="Aptos Display"/>
      <scheme val="major"/>
    </font>
    <font>
      <u/>
      <sz val="16"/>
      <color theme="1"/>
      <name val="Aptos Display"/>
      <scheme val="major"/>
    </font>
    <font>
      <sz val="12"/>
      <color rgb="FFFF0000"/>
      <name val="Aptos Narrow (Body)"/>
    </font>
    <font>
      <sz val="10"/>
      <color theme="1"/>
      <name val="Arial Unicode MS"/>
      <family val="2"/>
    </font>
    <font>
      <sz val="8"/>
      <color theme="1"/>
      <name val="Aptos Narrow"/>
      <family val="1"/>
      <scheme val="minor"/>
    </font>
    <font>
      <sz val="12"/>
      <color theme="1"/>
      <name val="Aptos Narrow"/>
      <family val="1"/>
      <scheme val="minor"/>
    </font>
    <font>
      <b/>
      <sz val="10"/>
      <color theme="1" tint="0.249977111117893"/>
      <name val="Aptos Narrow"/>
      <scheme val="minor"/>
    </font>
    <font>
      <b/>
      <sz val="8"/>
      <color theme="1" tint="0.249977111117893"/>
      <name val="Aptos Narrow"/>
      <scheme val="minor"/>
    </font>
    <font>
      <i/>
      <sz val="8"/>
      <color theme="1" tint="0.249977111117893"/>
      <name val="Aptos Narrow"/>
      <scheme val="minor"/>
    </font>
    <font>
      <b/>
      <sz val="14"/>
      <color theme="1" tint="0.249977111117893"/>
      <name val="Aptos Narrow"/>
      <scheme val="minor"/>
    </font>
    <font>
      <sz val="9"/>
      <name val="Arial"/>
      <family val="2"/>
    </font>
    <font>
      <sz val="9"/>
      <color theme="1" tint="0.249977111117893"/>
      <name val="Aptos Narrow"/>
      <family val="1"/>
      <scheme val="minor"/>
    </font>
    <font>
      <b/>
      <sz val="9"/>
      <name val="Arial"/>
      <family val="2"/>
    </font>
    <font>
      <b/>
      <sz val="12"/>
      <color theme="2" tint="-0.249977111117893"/>
      <name val="Arial"/>
      <family val="2"/>
    </font>
  </fonts>
  <fills count="11">
    <fill>
      <patternFill patternType="none"/>
    </fill>
    <fill>
      <patternFill patternType="gray125"/>
    </fill>
    <fill>
      <patternFill patternType="solid">
        <fgColor indexed="9"/>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BFBFBF"/>
        <bgColor indexed="64"/>
      </patternFill>
    </fill>
    <fill>
      <patternFill patternType="solid">
        <fgColor theme="0" tint="-0.249977111117893"/>
        <bgColor indexed="64"/>
      </patternFill>
    </fill>
    <fill>
      <patternFill patternType="solid">
        <fgColor theme="4"/>
        <bgColor theme="4"/>
      </patternFill>
    </fill>
    <fill>
      <patternFill patternType="solid">
        <fgColor theme="2" tint="-9.9978637043366805E-2"/>
        <bgColor indexed="64"/>
      </patternFill>
    </fill>
  </fills>
  <borders count="88">
    <border>
      <left/>
      <right/>
      <top/>
      <bottom/>
      <diagonal/>
    </border>
    <border>
      <left/>
      <right/>
      <top/>
      <bottom style="thin">
        <color theme="0" tint="-0.499984740745262"/>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top style="thin">
        <color auto="1"/>
      </top>
      <bottom style="thin">
        <color auto="1"/>
      </bottom>
      <diagonal/>
    </border>
    <border>
      <left/>
      <right/>
      <top/>
      <bottom style="thin">
        <color auto="1"/>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top style="thin">
        <color auto="1"/>
      </top>
      <bottom style="dotted">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style="double">
        <color indexed="64"/>
      </right>
      <top style="thin">
        <color indexed="64"/>
      </top>
      <bottom/>
      <diagonal/>
    </border>
    <border>
      <left/>
      <right style="double">
        <color indexed="64"/>
      </right>
      <top style="thin">
        <color indexed="64"/>
      </top>
      <bottom style="thin">
        <color indexed="64"/>
      </bottom>
      <diagonal/>
    </border>
    <border>
      <left/>
      <right style="double">
        <color indexed="64"/>
      </right>
      <top/>
      <bottom/>
      <diagonal/>
    </border>
    <border>
      <left/>
      <right style="double">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double">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00000"/>
      </left>
      <right style="medium">
        <color rgb="FFC00000"/>
      </right>
      <top style="medium">
        <color rgb="FFC00000"/>
      </top>
      <bottom style="medium">
        <color rgb="FFC00000"/>
      </bottom>
      <diagonal/>
    </border>
    <border>
      <left style="medium">
        <color theme="1"/>
      </left>
      <right style="medium">
        <color theme="1"/>
      </right>
      <top style="medium">
        <color theme="1"/>
      </top>
      <bottom style="medium">
        <color theme="1"/>
      </bottom>
      <diagonal/>
    </border>
    <border>
      <left style="medium">
        <color theme="1"/>
      </left>
      <right style="medium">
        <color theme="1"/>
      </right>
      <top style="dashed">
        <color theme="1"/>
      </top>
      <bottom style="medium">
        <color theme="1"/>
      </bottom>
      <diagonal/>
    </border>
    <border>
      <left/>
      <right/>
      <top style="medium">
        <color indexed="64"/>
      </top>
      <bottom style="medium">
        <color indexed="64"/>
      </bottom>
      <diagonal/>
    </border>
    <border>
      <left/>
      <right/>
      <top style="dashed">
        <color theme="1"/>
      </top>
      <bottom style="dashed">
        <color theme="1"/>
      </bottom>
      <diagonal/>
    </border>
    <border>
      <left/>
      <right style="dashed">
        <color theme="1"/>
      </right>
      <top style="dashed">
        <color theme="1"/>
      </top>
      <bottom style="dashed">
        <color theme="1"/>
      </bottom>
      <diagonal/>
    </border>
    <border>
      <left/>
      <right/>
      <top style="dashed">
        <color theme="1"/>
      </top>
      <bottom/>
      <diagonal/>
    </border>
    <border>
      <left style="dashed">
        <color theme="1"/>
      </left>
      <right/>
      <top style="dashed">
        <color theme="1"/>
      </top>
      <bottom/>
      <diagonal/>
    </border>
    <border>
      <left style="dashed">
        <color theme="1"/>
      </left>
      <right/>
      <top/>
      <bottom style="dashed">
        <color theme="1"/>
      </bottom>
      <diagonal/>
    </border>
    <border>
      <left/>
      <right style="dashed">
        <color theme="1"/>
      </right>
      <top style="dashed">
        <color theme="1"/>
      </top>
      <bottom/>
      <diagonal/>
    </border>
    <border>
      <left style="medium">
        <color theme="1"/>
      </left>
      <right style="medium">
        <color theme="6" tint="-0.499984740745262"/>
      </right>
      <top style="medium">
        <color theme="1"/>
      </top>
      <bottom style="medium">
        <color theme="1"/>
      </bottom>
      <diagonal/>
    </border>
    <border>
      <left style="medium">
        <color theme="6" tint="-0.499984740745262"/>
      </left>
      <right style="medium">
        <color theme="1"/>
      </right>
      <top style="medium">
        <color theme="1"/>
      </top>
      <bottom style="medium">
        <color theme="1"/>
      </bottom>
      <diagonal/>
    </border>
    <border>
      <left style="medium">
        <color theme="1"/>
      </left>
      <right style="medium">
        <color theme="1"/>
      </right>
      <top style="medium">
        <color theme="1"/>
      </top>
      <bottom/>
      <diagonal/>
    </border>
    <border>
      <left style="medium">
        <color theme="1"/>
      </left>
      <right style="medium">
        <color theme="1"/>
      </right>
      <top style="thin">
        <color theme="4" tint="0.39997558519241921"/>
      </top>
      <bottom/>
      <diagonal/>
    </border>
    <border>
      <left style="medium">
        <color theme="1"/>
      </left>
      <right style="medium">
        <color theme="1"/>
      </right>
      <top style="dashed">
        <color theme="1"/>
      </top>
      <bottom/>
      <diagonal/>
    </border>
    <border>
      <left style="thin">
        <color auto="1"/>
      </left>
      <right style="thin">
        <color indexed="64"/>
      </right>
      <top/>
      <bottom/>
      <diagonal/>
    </border>
    <border>
      <left/>
      <right style="thin">
        <color auto="1"/>
      </right>
      <top style="thin">
        <color auto="1"/>
      </top>
      <bottom/>
      <diagonal/>
    </border>
    <border>
      <left/>
      <right style="thin">
        <color auto="1"/>
      </right>
      <top/>
      <bottom/>
      <diagonal/>
    </border>
    <border>
      <left style="thin">
        <color indexed="64"/>
      </left>
      <right style="thin">
        <color indexed="64"/>
      </right>
      <top style="thin">
        <color indexed="64"/>
      </top>
      <bottom style="thin">
        <color auto="1"/>
      </bottom>
      <diagonal/>
    </border>
    <border>
      <left/>
      <right/>
      <top style="thin">
        <color auto="1"/>
      </top>
      <bottom/>
      <diagonal/>
    </border>
    <border>
      <left style="thin">
        <color auto="1"/>
      </left>
      <right/>
      <top/>
      <bottom/>
      <diagonal/>
    </border>
    <border>
      <left/>
      <right style="thin">
        <color auto="1"/>
      </right>
      <top/>
      <bottom style="thin">
        <color indexed="64"/>
      </bottom>
      <diagonal/>
    </border>
    <border>
      <left style="thin">
        <color theme="0" tint="-0.14996795556505021"/>
      </left>
      <right/>
      <top style="thin">
        <color indexed="64"/>
      </top>
      <bottom style="thin">
        <color theme="0" tint="-0.14996795556505021"/>
      </bottom>
      <diagonal/>
    </border>
    <border>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thin">
        <color theme="0" tint="-0.14996795556505021"/>
      </left>
      <right/>
      <top style="thin">
        <color theme="0" tint="-0.14996795556505021"/>
      </top>
      <bottom style="thin">
        <color indexed="64"/>
      </bottom>
      <diagonal/>
    </border>
    <border>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theme="0" tint="-0.14996795556505021"/>
      </bottom>
      <diagonal/>
    </border>
    <border>
      <left/>
      <right style="medium">
        <color indexed="64"/>
      </right>
      <top style="medium">
        <color indexed="64"/>
      </top>
      <bottom style="thin">
        <color theme="0" tint="-0.14996795556505021"/>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auto="1"/>
      </top>
      <bottom style="dotted">
        <color indexed="64"/>
      </bottom>
      <diagonal/>
    </border>
    <border>
      <left/>
      <right style="medium">
        <color indexed="64"/>
      </right>
      <top style="dotted">
        <color indexed="64"/>
      </top>
      <bottom style="dotted">
        <color indexed="64"/>
      </bottom>
      <diagonal/>
    </border>
    <border>
      <left style="medium">
        <color indexed="64"/>
      </left>
      <right style="thin">
        <color theme="0" tint="-0.14996795556505021"/>
      </right>
      <top style="thin">
        <color indexed="64"/>
      </top>
      <bottom style="thin">
        <color theme="0" tint="-0.14996795556505021"/>
      </bottom>
      <diagonal/>
    </border>
    <border>
      <left style="thin">
        <color theme="0" tint="-0.14996795556505021"/>
      </left>
      <right style="medium">
        <color indexed="64"/>
      </right>
      <top style="thin">
        <color indexed="64"/>
      </top>
      <bottom style="thin">
        <color theme="0" tint="-0.14996795556505021"/>
      </bottom>
      <diagonal/>
    </border>
    <border>
      <left style="medium">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indexed="64"/>
      </right>
      <top style="thin">
        <color theme="0" tint="-0.14996795556505021"/>
      </top>
      <bottom style="thin">
        <color theme="0" tint="-0.14996795556505021"/>
      </bottom>
      <diagonal/>
    </border>
    <border>
      <left style="medium">
        <color indexed="64"/>
      </left>
      <right style="thin">
        <color theme="0" tint="-0.14996795556505021"/>
      </right>
      <top style="thin">
        <color theme="0" tint="-0.14996795556505021"/>
      </top>
      <bottom style="thin">
        <color indexed="64"/>
      </bottom>
      <diagonal/>
    </border>
    <border>
      <left style="thin">
        <color theme="0" tint="-0.14996795556505021"/>
      </left>
      <right style="medium">
        <color indexed="64"/>
      </right>
      <top style="thin">
        <color theme="0" tint="-0.14996795556505021"/>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auto="1"/>
      </top>
      <bottom style="medium">
        <color indexed="64"/>
      </bottom>
      <diagonal/>
    </border>
    <border>
      <left style="thin">
        <color indexed="64"/>
      </left>
      <right style="thin">
        <color indexed="64"/>
      </right>
      <top style="thin">
        <color auto="1"/>
      </top>
      <bottom style="medium">
        <color indexed="64"/>
      </bottom>
      <diagonal/>
    </border>
    <border>
      <left style="thin">
        <color indexed="64"/>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auto="1"/>
      </left>
      <right style="thin">
        <color auto="1"/>
      </right>
      <top/>
      <bottom style="thin">
        <color theme="4" tint="0.39997558519241921"/>
      </bottom>
      <diagonal/>
    </border>
    <border>
      <left/>
      <right style="thin">
        <color auto="1"/>
      </right>
      <top/>
      <bottom style="thin">
        <color theme="4" tint="0.39997558519241921"/>
      </bottom>
      <diagonal/>
    </border>
    <border>
      <left style="thin">
        <color auto="1"/>
      </left>
      <right/>
      <top/>
      <bottom style="thin">
        <color theme="4" tint="0.39997558519241921"/>
      </bottom>
      <diagonal/>
    </border>
    <border>
      <left/>
      <right/>
      <top/>
      <bottom style="thin">
        <color theme="4" tint="0.39997558519241921"/>
      </bottom>
      <diagonal/>
    </border>
  </borders>
  <cellStyleXfs count="3">
    <xf numFmtId="0" fontId="0" fillId="0" borderId="0"/>
    <xf numFmtId="0" fontId="3" fillId="0" borderId="0"/>
    <xf numFmtId="0" fontId="33" fillId="0" borderId="0"/>
  </cellStyleXfs>
  <cellXfs count="301">
    <xf numFmtId="0" fontId="0" fillId="0" borderId="0" xfId="0"/>
    <xf numFmtId="0" fontId="4" fillId="0" borderId="0" xfId="1" applyFont="1"/>
    <xf numFmtId="44" fontId="8" fillId="2" borderId="1" xfId="1" applyNumberFormat="1" applyFont="1" applyFill="1" applyBorder="1" applyAlignment="1" applyProtection="1">
      <alignment horizontal="center"/>
      <protection locked="0"/>
    </xf>
    <xf numFmtId="0" fontId="11" fillId="0" borderId="0" xfId="1" applyFont="1"/>
    <xf numFmtId="0" fontId="12" fillId="0" borderId="0" xfId="1" applyFont="1"/>
    <xf numFmtId="0" fontId="12" fillId="4" borderId="2" xfId="1" applyFont="1" applyFill="1" applyBorder="1" applyAlignment="1" applyProtection="1">
      <alignment horizontal="center"/>
      <protection locked="0"/>
    </xf>
    <xf numFmtId="0" fontId="12" fillId="4" borderId="3" xfId="1" applyFont="1" applyFill="1" applyBorder="1" applyAlignment="1" applyProtection="1">
      <alignment horizontal="center"/>
      <protection locked="0"/>
    </xf>
    <xf numFmtId="0" fontId="16" fillId="3" borderId="9" xfId="1" applyFont="1" applyFill="1" applyBorder="1" applyProtection="1">
      <protection locked="0"/>
    </xf>
    <xf numFmtId="0" fontId="0" fillId="6" borderId="0" xfId="0" applyFill="1" applyProtection="1">
      <protection hidden="1"/>
    </xf>
    <xf numFmtId="0" fontId="0" fillId="0" borderId="0" xfId="0" applyProtection="1">
      <protection hidden="1"/>
    </xf>
    <xf numFmtId="0" fontId="30" fillId="0" borderId="0" xfId="0" applyFont="1" applyProtection="1">
      <protection hidden="1"/>
    </xf>
    <xf numFmtId="0" fontId="30" fillId="0" borderId="0" xfId="0" applyFont="1" applyAlignment="1" applyProtection="1">
      <alignment horizontal="right"/>
      <protection hidden="1"/>
    </xf>
    <xf numFmtId="164" fontId="30" fillId="0" borderId="0" xfId="0" applyNumberFormat="1" applyFont="1" applyProtection="1">
      <protection hidden="1"/>
    </xf>
    <xf numFmtId="40" fontId="30" fillId="0" borderId="0" xfId="0" applyNumberFormat="1" applyFont="1" applyProtection="1">
      <protection hidden="1"/>
    </xf>
    <xf numFmtId="0" fontId="32" fillId="0" borderId="0" xfId="0" applyFont="1" applyProtection="1">
      <protection hidden="1"/>
    </xf>
    <xf numFmtId="164" fontId="30" fillId="0" borderId="0" xfId="0" applyNumberFormat="1" applyFont="1" applyAlignment="1" applyProtection="1">
      <alignment horizontal="center"/>
      <protection hidden="1"/>
    </xf>
    <xf numFmtId="0" fontId="30" fillId="0" borderId="6" xfId="0" applyFont="1" applyBorder="1" applyProtection="1">
      <protection hidden="1"/>
    </xf>
    <xf numFmtId="0" fontId="30" fillId="0" borderId="6" xfId="0" applyFont="1" applyBorder="1" applyAlignment="1" applyProtection="1">
      <alignment horizontal="right"/>
      <protection hidden="1"/>
    </xf>
    <xf numFmtId="164" fontId="30" fillId="0" borderId="6" xfId="0" applyNumberFormat="1" applyFont="1" applyBorder="1" applyProtection="1">
      <protection hidden="1"/>
    </xf>
    <xf numFmtId="40" fontId="30" fillId="0" borderId="6" xfId="0" applyNumberFormat="1" applyFont="1" applyBorder="1" applyProtection="1">
      <protection hidden="1"/>
    </xf>
    <xf numFmtId="0" fontId="34" fillId="0" borderId="11" xfId="2" applyFont="1" applyBorder="1" applyAlignment="1" applyProtection="1">
      <alignment horizontal="center"/>
      <protection hidden="1"/>
    </xf>
    <xf numFmtId="0" fontId="34" fillId="0" borderId="5" xfId="2" applyFont="1" applyBorder="1" applyProtection="1">
      <protection locked="0" hidden="1"/>
    </xf>
    <xf numFmtId="0" fontId="35" fillId="0" borderId="5" xfId="2" applyFont="1" applyBorder="1" applyProtection="1">
      <protection locked="0"/>
    </xf>
    <xf numFmtId="0" fontId="36" fillId="0" borderId="11" xfId="2" applyFont="1" applyBorder="1" applyAlignment="1" applyProtection="1">
      <alignment horizontal="center"/>
      <protection hidden="1"/>
    </xf>
    <xf numFmtId="0" fontId="35" fillId="0" borderId="10" xfId="2" applyFont="1" applyBorder="1" applyProtection="1">
      <protection locked="0"/>
    </xf>
    <xf numFmtId="0" fontId="35" fillId="0" borderId="5" xfId="0" applyFont="1" applyBorder="1"/>
    <xf numFmtId="0" fontId="35" fillId="0" borderId="5" xfId="0" applyFont="1" applyBorder="1" applyProtection="1">
      <protection locked="0"/>
    </xf>
    <xf numFmtId="0" fontId="36" fillId="0" borderId="12" xfId="2" applyFont="1" applyBorder="1" applyAlignment="1" applyProtection="1">
      <alignment horizontal="center"/>
      <protection hidden="1"/>
    </xf>
    <xf numFmtId="0" fontId="35" fillId="0" borderId="13" xfId="0" applyFont="1" applyBorder="1" applyProtection="1">
      <protection locked="0"/>
    </xf>
    <xf numFmtId="0" fontId="35" fillId="0" borderId="14" xfId="2" applyFont="1" applyBorder="1" applyProtection="1">
      <protection locked="0"/>
    </xf>
    <xf numFmtId="0" fontId="35" fillId="0" borderId="6" xfId="0" applyFont="1" applyBorder="1" applyProtection="1">
      <protection locked="0"/>
    </xf>
    <xf numFmtId="0" fontId="34" fillId="0" borderId="5" xfId="2" applyFont="1" applyBorder="1" applyProtection="1">
      <protection locked="0"/>
    </xf>
    <xf numFmtId="167" fontId="35" fillId="0" borderId="5" xfId="0" applyNumberFormat="1" applyFont="1" applyBorder="1" applyProtection="1">
      <protection locked="0"/>
    </xf>
    <xf numFmtId="0" fontId="0" fillId="0" borderId="15" xfId="0" applyBorder="1"/>
    <xf numFmtId="0" fontId="0" fillId="0" borderId="16" xfId="0" applyBorder="1"/>
    <xf numFmtId="0" fontId="0" fillId="0" borderId="17" xfId="0" applyBorder="1"/>
    <xf numFmtId="0" fontId="37" fillId="0" borderId="16" xfId="2" applyFont="1" applyBorder="1" applyProtection="1">
      <protection locked="0"/>
    </xf>
    <xf numFmtId="167" fontId="35" fillId="0" borderId="18" xfId="0" applyNumberFormat="1" applyFont="1" applyBorder="1"/>
    <xf numFmtId="167" fontId="35" fillId="0" borderId="18" xfId="0" applyNumberFormat="1" applyFont="1" applyBorder="1" applyProtection="1">
      <protection locked="0"/>
    </xf>
    <xf numFmtId="167" fontId="35" fillId="0" borderId="6" xfId="0" applyNumberFormat="1" applyFont="1" applyBorder="1" applyProtection="1">
      <protection locked="0"/>
    </xf>
    <xf numFmtId="0" fontId="34" fillId="0" borderId="19" xfId="2" applyFont="1" applyBorder="1" applyAlignment="1" applyProtection="1">
      <alignment horizontal="center"/>
      <protection hidden="1"/>
    </xf>
    <xf numFmtId="0" fontId="34" fillId="0" borderId="20" xfId="2" applyFont="1" applyBorder="1" applyProtection="1">
      <protection locked="0" hidden="1"/>
    </xf>
    <xf numFmtId="167" fontId="35" fillId="0" borderId="5" xfId="0" applyNumberFormat="1" applyFont="1" applyBorder="1"/>
    <xf numFmtId="0" fontId="35" fillId="0" borderId="10" xfId="0" applyFont="1" applyBorder="1" applyProtection="1">
      <protection locked="0"/>
    </xf>
    <xf numFmtId="0" fontId="38" fillId="0" borderId="5" xfId="0" applyFont="1" applyBorder="1" applyAlignment="1">
      <alignment horizontal="right"/>
    </xf>
    <xf numFmtId="0" fontId="36" fillId="0" borderId="10" xfId="2" applyFont="1" applyBorder="1" applyAlignment="1" applyProtection="1">
      <alignment horizontal="center"/>
      <protection hidden="1"/>
    </xf>
    <xf numFmtId="2" fontId="34" fillId="0" borderId="11" xfId="2" applyNumberFormat="1" applyFont="1" applyBorder="1" applyAlignment="1" applyProtection="1">
      <alignment horizontal="center"/>
      <protection hidden="1"/>
    </xf>
    <xf numFmtId="1" fontId="36" fillId="0" borderId="12" xfId="2" applyNumberFormat="1" applyFont="1" applyBorder="1" applyAlignment="1" applyProtection="1">
      <alignment horizontal="center"/>
      <protection hidden="1"/>
    </xf>
    <xf numFmtId="4" fontId="34" fillId="0" borderId="11" xfId="2" applyNumberFormat="1" applyFont="1" applyBorder="1" applyAlignment="1" applyProtection="1">
      <alignment horizontal="center"/>
      <protection hidden="1"/>
    </xf>
    <xf numFmtId="1" fontId="36" fillId="0" borderId="14" xfId="2" applyNumberFormat="1" applyFont="1" applyBorder="1" applyAlignment="1" applyProtection="1">
      <alignment horizontal="center"/>
      <protection hidden="1"/>
    </xf>
    <xf numFmtId="1" fontId="36" fillId="0" borderId="10" xfId="2" applyNumberFormat="1" applyFont="1" applyBorder="1" applyAlignment="1" applyProtection="1">
      <alignment horizontal="center"/>
      <protection hidden="1"/>
    </xf>
    <xf numFmtId="38" fontId="35" fillId="0" borderId="21" xfId="0" applyNumberFormat="1" applyFont="1" applyBorder="1" applyProtection="1">
      <protection hidden="1"/>
    </xf>
    <xf numFmtId="38" fontId="35" fillId="0" borderId="21" xfId="2" applyNumberFormat="1" applyFont="1" applyBorder="1" applyProtection="1">
      <protection hidden="1"/>
    </xf>
    <xf numFmtId="0" fontId="35" fillId="0" borderId="10" xfId="2" applyFont="1" applyBorder="1" applyProtection="1">
      <protection locked="0" hidden="1"/>
    </xf>
    <xf numFmtId="0" fontId="39" fillId="0" borderId="5" xfId="2" applyFont="1" applyBorder="1" applyProtection="1">
      <protection hidden="1"/>
    </xf>
    <xf numFmtId="0" fontId="35" fillId="0" borderId="6" xfId="2" applyFont="1" applyBorder="1" applyProtection="1">
      <protection locked="0"/>
    </xf>
    <xf numFmtId="0" fontId="35" fillId="0" borderId="5" xfId="2" applyFont="1" applyBorder="1" applyProtection="1">
      <protection hidden="1"/>
    </xf>
    <xf numFmtId="0" fontId="35" fillId="0" borderId="14" xfId="0" applyFont="1" applyBorder="1" applyProtection="1">
      <protection locked="0"/>
    </xf>
    <xf numFmtId="0" fontId="40" fillId="0" borderId="0" xfId="0" applyFont="1"/>
    <xf numFmtId="0" fontId="0" fillId="0" borderId="24" xfId="0" applyBorder="1"/>
    <xf numFmtId="0" fontId="40" fillId="10" borderId="0" xfId="0" applyFont="1" applyFill="1"/>
    <xf numFmtId="0" fontId="0" fillId="10" borderId="0" xfId="0" applyFill="1"/>
    <xf numFmtId="0" fontId="40" fillId="10" borderId="23" xfId="0" applyFont="1" applyFill="1" applyBorder="1"/>
    <xf numFmtId="0" fontId="41" fillId="10" borderId="0" xfId="0" applyFont="1" applyFill="1"/>
    <xf numFmtId="0" fontId="40" fillId="0" borderId="25" xfId="0" applyFont="1" applyBorder="1"/>
    <xf numFmtId="0" fontId="40" fillId="10" borderId="28" xfId="0" applyFont="1" applyFill="1" applyBorder="1"/>
    <xf numFmtId="0" fontId="41" fillId="0" borderId="0" xfId="0" applyFont="1"/>
    <xf numFmtId="168" fontId="40" fillId="0" borderId="25" xfId="0" applyNumberFormat="1" applyFont="1" applyBorder="1"/>
    <xf numFmtId="168" fontId="40" fillId="10" borderId="0" xfId="0" applyNumberFormat="1" applyFont="1" applyFill="1"/>
    <xf numFmtId="0" fontId="0" fillId="0" borderId="26" xfId="0" applyBorder="1"/>
    <xf numFmtId="168" fontId="0" fillId="0" borderId="35" xfId="0" applyNumberFormat="1" applyBorder="1"/>
    <xf numFmtId="168" fontId="0" fillId="0" borderId="36" xfId="0" applyNumberFormat="1" applyBorder="1"/>
    <xf numFmtId="168" fontId="42" fillId="0" borderId="37" xfId="0" applyNumberFormat="1" applyFont="1" applyBorder="1"/>
    <xf numFmtId="0" fontId="1" fillId="9" borderId="37" xfId="0" applyFont="1" applyFill="1" applyBorder="1"/>
    <xf numFmtId="0" fontId="0" fillId="0" borderId="38" xfId="0" applyBorder="1"/>
    <xf numFmtId="0" fontId="0" fillId="0" borderId="39" xfId="0" applyBorder="1"/>
    <xf numFmtId="0" fontId="0" fillId="0" borderId="27" xfId="0" applyBorder="1"/>
    <xf numFmtId="40" fontId="0" fillId="0" borderId="11" xfId="0" applyNumberFormat="1" applyBorder="1" applyAlignment="1" applyProtection="1">
      <alignment shrinkToFit="1"/>
      <protection hidden="1"/>
    </xf>
    <xf numFmtId="0" fontId="45" fillId="7" borderId="42" xfId="0" applyFont="1" applyFill="1" applyBorder="1" applyAlignment="1">
      <alignment horizontal="center"/>
    </xf>
    <xf numFmtId="0" fontId="45" fillId="7" borderId="40" xfId="0" applyFont="1" applyFill="1" applyBorder="1" applyAlignment="1">
      <alignment horizontal="center"/>
    </xf>
    <xf numFmtId="164" fontId="45" fillId="7" borderId="40" xfId="0" applyNumberFormat="1" applyFont="1" applyFill="1" applyBorder="1" applyAlignment="1">
      <alignment horizontal="center"/>
    </xf>
    <xf numFmtId="40" fontId="45" fillId="7" borderId="40" xfId="0" applyNumberFormat="1" applyFont="1" applyFill="1" applyBorder="1" applyAlignment="1">
      <alignment horizontal="center"/>
    </xf>
    <xf numFmtId="0" fontId="45" fillId="8" borderId="40" xfId="0" applyFont="1" applyFill="1" applyBorder="1" applyAlignment="1">
      <alignment horizontal="center"/>
    </xf>
    <xf numFmtId="0" fontId="46" fillId="8" borderId="14" xfId="0" applyFont="1" applyFill="1" applyBorder="1" applyAlignment="1" applyProtection="1">
      <alignment horizontal="left"/>
      <protection hidden="1"/>
    </xf>
    <xf numFmtId="0" fontId="46" fillId="0" borderId="11" xfId="0" applyFont="1" applyBorder="1" applyAlignment="1" applyProtection="1">
      <alignment horizontal="center" shrinkToFit="1"/>
      <protection hidden="1"/>
    </xf>
    <xf numFmtId="0" fontId="52" fillId="0" borderId="0" xfId="0" applyFont="1"/>
    <xf numFmtId="0" fontId="15" fillId="3" borderId="6" xfId="1" applyFont="1" applyFill="1" applyBorder="1" applyAlignment="1" applyProtection="1">
      <alignment horizontal="center"/>
      <protection locked="0"/>
    </xf>
    <xf numFmtId="0" fontId="40" fillId="0" borderId="32" xfId="0" applyFont="1" applyBorder="1" applyAlignment="1">
      <alignment horizontal="left"/>
    </xf>
    <xf numFmtId="0" fontId="40" fillId="0" borderId="29" xfId="0" applyFont="1" applyBorder="1" applyAlignment="1">
      <alignment horizontal="left"/>
    </xf>
    <xf numFmtId="0" fontId="40" fillId="0" borderId="30" xfId="0" applyFont="1" applyBorder="1" applyAlignment="1">
      <alignment horizontal="left"/>
    </xf>
    <xf numFmtId="0" fontId="40" fillId="0" borderId="33" xfId="0" applyFont="1" applyBorder="1" applyAlignment="1">
      <alignment horizontal="left"/>
    </xf>
    <xf numFmtId="0" fontId="40" fillId="0" borderId="31" xfId="0" applyFont="1" applyBorder="1" applyAlignment="1">
      <alignment horizontal="left"/>
    </xf>
    <xf numFmtId="0" fontId="40" fillId="0" borderId="34" xfId="0" applyFont="1" applyBorder="1" applyAlignment="1">
      <alignment horizontal="left"/>
    </xf>
    <xf numFmtId="0" fontId="31" fillId="0" borderId="0" xfId="0" applyFont="1" applyAlignment="1" applyProtection="1">
      <alignment horizontal="center"/>
      <protection hidden="1"/>
    </xf>
    <xf numFmtId="0" fontId="16" fillId="3" borderId="8" xfId="1" applyFont="1" applyFill="1" applyBorder="1" applyAlignment="1" applyProtection="1">
      <alignment horizontal="center"/>
      <protection locked="0"/>
    </xf>
    <xf numFmtId="0" fontId="16" fillId="3" borderId="7" xfId="1" applyFont="1" applyFill="1" applyBorder="1" applyAlignment="1" applyProtection="1">
      <alignment horizontal="center"/>
      <protection locked="0"/>
    </xf>
    <xf numFmtId="0" fontId="2" fillId="3" borderId="5" xfId="1" applyFont="1" applyFill="1" applyBorder="1" applyAlignment="1" applyProtection="1">
      <alignment horizontal="center"/>
      <protection locked="0"/>
    </xf>
    <xf numFmtId="0" fontId="12" fillId="4" borderId="2" xfId="1" applyFont="1" applyFill="1" applyBorder="1" applyAlignment="1" applyProtection="1">
      <alignment horizontal="left"/>
      <protection locked="0"/>
    </xf>
    <xf numFmtId="0" fontId="12" fillId="4" borderId="4" xfId="1" applyFont="1" applyFill="1" applyBorder="1" applyAlignment="1" applyProtection="1">
      <alignment horizontal="left"/>
      <protection locked="0"/>
    </xf>
    <xf numFmtId="164" fontId="16" fillId="3" borderId="6" xfId="1" applyNumberFormat="1" applyFont="1" applyFill="1" applyBorder="1" applyAlignment="1" applyProtection="1">
      <alignment horizontal="center"/>
      <protection locked="0"/>
    </xf>
    <xf numFmtId="0" fontId="16" fillId="3" borderId="6" xfId="1" applyFont="1" applyFill="1" applyBorder="1" applyAlignment="1">
      <alignment horizontal="center"/>
    </xf>
    <xf numFmtId="0" fontId="16" fillId="3" borderId="5" xfId="1" applyFont="1" applyFill="1" applyBorder="1" applyAlignment="1" applyProtection="1">
      <alignment horizontal="center"/>
      <protection locked="0"/>
    </xf>
    <xf numFmtId="0" fontId="16" fillId="3" borderId="5" xfId="1" applyFont="1" applyFill="1" applyBorder="1" applyAlignment="1">
      <alignment horizontal="center"/>
    </xf>
    <xf numFmtId="165" fontId="16" fillId="3" borderId="5" xfId="1" applyNumberFormat="1" applyFont="1" applyFill="1" applyBorder="1" applyAlignment="1" applyProtection="1">
      <alignment horizontal="center"/>
      <protection locked="0"/>
    </xf>
    <xf numFmtId="0" fontId="22" fillId="0" borderId="0" xfId="1" applyFont="1" applyAlignment="1">
      <alignment horizontal="left" indent="1"/>
    </xf>
    <xf numFmtId="0" fontId="23" fillId="3" borderId="6" xfId="1" applyFont="1" applyFill="1" applyBorder="1" applyAlignment="1">
      <alignment horizontal="center"/>
    </xf>
    <xf numFmtId="0" fontId="43" fillId="0" borderId="43" xfId="0" applyFont="1" applyFill="1" applyBorder="1" applyAlignment="1">
      <alignment horizontal="left" vertical="center" shrinkToFit="1"/>
    </xf>
    <xf numFmtId="14" fontId="43" fillId="0" borderId="43" xfId="0" applyNumberFormat="1" applyFont="1" applyFill="1" applyBorder="1" applyAlignment="1">
      <alignment horizontal="left" vertical="center" shrinkToFit="1"/>
    </xf>
    <xf numFmtId="0" fontId="50" fillId="0" borderId="43" xfId="0" applyFont="1" applyFill="1" applyBorder="1" applyAlignment="1">
      <alignment horizontal="left" vertical="center" shrinkToFit="1"/>
    </xf>
    <xf numFmtId="166" fontId="43" fillId="0" borderId="43" xfId="0" applyNumberFormat="1" applyFont="1" applyFill="1" applyBorder="1" applyAlignment="1">
      <alignment horizontal="left" vertical="center" shrinkToFit="1"/>
    </xf>
    <xf numFmtId="0" fontId="54" fillId="0" borderId="43" xfId="0" applyFont="1" applyFill="1" applyBorder="1" applyAlignment="1" applyProtection="1">
      <alignment horizontal="right"/>
      <protection locked="0"/>
    </xf>
    <xf numFmtId="0" fontId="54" fillId="0" borderId="43" xfId="0" applyFont="1" applyFill="1" applyBorder="1" applyAlignment="1" applyProtection="1">
      <alignment horizontal="left"/>
      <protection locked="0"/>
    </xf>
    <xf numFmtId="169" fontId="54" fillId="0" borderId="43" xfId="0" applyNumberFormat="1" applyFont="1" applyFill="1" applyBorder="1" applyAlignment="1" applyProtection="1">
      <alignment horizontal="right"/>
      <protection locked="0"/>
    </xf>
    <xf numFmtId="40" fontId="54" fillId="0" borderId="43" xfId="0" applyNumberFormat="1" applyFont="1" applyFill="1" applyBorder="1" applyAlignment="1" applyProtection="1">
      <alignment horizontal="right"/>
      <protection locked="0"/>
    </xf>
    <xf numFmtId="0" fontId="44" fillId="0" borderId="43" xfId="0" applyFont="1" applyFill="1" applyBorder="1" applyAlignment="1">
      <alignment horizontal="left" vertical="center" shrinkToFit="1"/>
    </xf>
    <xf numFmtId="166" fontId="44" fillId="0" borderId="43" xfId="0" applyNumberFormat="1" applyFont="1" applyFill="1" applyBorder="1" applyAlignment="1">
      <alignment horizontal="left" vertical="center" shrinkToFit="1"/>
    </xf>
    <xf numFmtId="0" fontId="53" fillId="0" borderId="43" xfId="0" applyFont="1" applyFill="1" applyBorder="1" applyAlignment="1">
      <alignment horizontal="left" vertical="center" shrinkToFit="1"/>
    </xf>
    <xf numFmtId="0" fontId="47" fillId="0" borderId="43" xfId="0" applyFont="1" applyFill="1" applyBorder="1" applyAlignment="1">
      <alignment horizontal="left" vertical="center" shrinkToFit="1"/>
    </xf>
    <xf numFmtId="14" fontId="47" fillId="0" borderId="43" xfId="0" applyNumberFormat="1" applyFont="1" applyFill="1" applyBorder="1" applyAlignment="1">
      <alignment horizontal="left" vertical="center" shrinkToFit="1"/>
    </xf>
    <xf numFmtId="14" fontId="44" fillId="0" borderId="43" xfId="0" applyNumberFormat="1" applyFont="1" applyFill="1" applyBorder="1" applyAlignment="1">
      <alignment horizontal="left" vertical="center" shrinkToFit="1"/>
    </xf>
    <xf numFmtId="0" fontId="48" fillId="0" borderId="43" xfId="0" applyFont="1" applyFill="1" applyBorder="1" applyAlignment="1">
      <alignment horizontal="left" vertical="center" shrinkToFit="1"/>
    </xf>
    <xf numFmtId="14" fontId="48" fillId="0" borderId="43" xfId="0" applyNumberFormat="1" applyFont="1" applyFill="1" applyBorder="1" applyAlignment="1">
      <alignment horizontal="left" vertical="center" shrinkToFit="1"/>
    </xf>
    <xf numFmtId="0" fontId="42" fillId="0" borderId="43" xfId="0" applyFont="1" applyFill="1" applyBorder="1"/>
    <xf numFmtId="166" fontId="47" fillId="0" borderId="43" xfId="0" applyNumberFormat="1" applyFont="1" applyFill="1" applyBorder="1" applyAlignment="1">
      <alignment horizontal="left" vertical="center" shrinkToFit="1"/>
    </xf>
    <xf numFmtId="14" fontId="49" fillId="0" borderId="43" xfId="0" applyNumberFormat="1" applyFont="1" applyFill="1" applyBorder="1" applyAlignment="1">
      <alignment horizontal="left" vertical="center" shrinkToFit="1"/>
    </xf>
    <xf numFmtId="166" fontId="58" fillId="0" borderId="43" xfId="0" applyNumberFormat="1" applyFont="1" applyFill="1" applyBorder="1" applyAlignment="1">
      <alignment horizontal="left" vertical="center" shrinkToFit="1"/>
    </xf>
    <xf numFmtId="14" fontId="43" fillId="0" borderId="43" xfId="0" applyNumberFormat="1" applyFont="1" applyFill="1" applyBorder="1" applyAlignment="1" applyProtection="1">
      <alignment horizontal="left" vertical="center" shrinkToFit="1"/>
      <protection locked="0"/>
    </xf>
    <xf numFmtId="0" fontId="43" fillId="0" borderId="43" xfId="0" applyFont="1" applyFill="1" applyBorder="1" applyAlignment="1" applyProtection="1">
      <alignment horizontal="left" vertical="center" shrinkToFit="1"/>
      <protection locked="0"/>
    </xf>
    <xf numFmtId="166" fontId="43" fillId="0" borderId="43" xfId="0" applyNumberFormat="1" applyFont="1" applyFill="1" applyBorder="1" applyAlignment="1" applyProtection="1">
      <alignment horizontal="left" vertical="center" shrinkToFit="1"/>
      <protection locked="0"/>
    </xf>
    <xf numFmtId="0" fontId="49" fillId="0" borderId="43" xfId="0" applyFont="1" applyFill="1" applyBorder="1" applyAlignment="1">
      <alignment horizontal="left" vertical="center" shrinkToFit="1"/>
    </xf>
    <xf numFmtId="166" fontId="49" fillId="0" borderId="43" xfId="0" applyNumberFormat="1" applyFont="1" applyFill="1" applyBorder="1" applyAlignment="1">
      <alignment horizontal="left" vertical="center" shrinkToFit="1"/>
    </xf>
    <xf numFmtId="0" fontId="44" fillId="0" borderId="43" xfId="0" applyFont="1" applyFill="1" applyBorder="1" applyAlignment="1" applyProtection="1">
      <alignment horizontal="left" vertical="center" shrinkToFit="1"/>
      <protection locked="0"/>
    </xf>
    <xf numFmtId="0" fontId="49" fillId="0" borderId="43" xfId="0" applyFont="1" applyFill="1" applyBorder="1" applyAlignment="1" applyProtection="1">
      <alignment horizontal="left" vertical="center" shrinkToFit="1"/>
      <protection locked="0"/>
    </xf>
    <xf numFmtId="0" fontId="16" fillId="0" borderId="44" xfId="1" applyFont="1" applyBorder="1" applyAlignment="1">
      <alignment horizontal="center"/>
    </xf>
    <xf numFmtId="0" fontId="16" fillId="0" borderId="41" xfId="1" applyFont="1" applyBorder="1" applyAlignment="1">
      <alignment horizontal="center"/>
    </xf>
    <xf numFmtId="0" fontId="16" fillId="0" borderId="6" xfId="1" applyFont="1" applyBorder="1" applyAlignment="1">
      <alignment horizontal="center"/>
    </xf>
    <xf numFmtId="0" fontId="16" fillId="0" borderId="46" xfId="1" applyFont="1" applyBorder="1" applyAlignment="1">
      <alignment horizontal="center"/>
    </xf>
    <xf numFmtId="0" fontId="4" fillId="0" borderId="20" xfId="1" applyFont="1" applyBorder="1"/>
    <xf numFmtId="0" fontId="4" fillId="0" borderId="45" xfId="1" applyFont="1" applyBorder="1"/>
    <xf numFmtId="0" fontId="26" fillId="0" borderId="0" xfId="1" applyFont="1" applyBorder="1"/>
    <xf numFmtId="0" fontId="4" fillId="0" borderId="0" xfId="1" applyFont="1" applyBorder="1"/>
    <xf numFmtId="0" fontId="4" fillId="0" borderId="0" xfId="1" applyFont="1" applyBorder="1"/>
    <xf numFmtId="0" fontId="24" fillId="0" borderId="0" xfId="1" applyFont="1" applyBorder="1" applyAlignment="1">
      <alignment horizontal="left"/>
    </xf>
    <xf numFmtId="0" fontId="4" fillId="0" borderId="0" xfId="1" applyFont="1" applyBorder="1" applyAlignment="1">
      <alignment horizontal="left"/>
    </xf>
    <xf numFmtId="0" fontId="7" fillId="0" borderId="0" xfId="1" applyFont="1" applyBorder="1" applyAlignment="1">
      <alignment horizontal="right"/>
    </xf>
    <xf numFmtId="0" fontId="11" fillId="0" borderId="45" xfId="1" applyFont="1" applyBorder="1"/>
    <xf numFmtId="0" fontId="11" fillId="0" borderId="0" xfId="1" applyFont="1" applyBorder="1" applyAlignment="1">
      <alignment horizontal="left"/>
    </xf>
    <xf numFmtId="0" fontId="11" fillId="0" borderId="0" xfId="1" applyFont="1" applyBorder="1" applyAlignment="1">
      <alignment horizontal="left"/>
    </xf>
    <xf numFmtId="0" fontId="12" fillId="0" borderId="45" xfId="1" applyFont="1" applyBorder="1"/>
    <xf numFmtId="0" fontId="21" fillId="0" borderId="0" xfId="1" applyFont="1" applyBorder="1" applyAlignment="1">
      <alignment horizontal="left" vertical="top" wrapText="1"/>
    </xf>
    <xf numFmtId="0" fontId="16" fillId="0" borderId="0" xfId="1" applyFont="1" applyBorder="1" applyAlignment="1">
      <alignment horizontal="left" indent="1"/>
    </xf>
    <xf numFmtId="0" fontId="16" fillId="0" borderId="0" xfId="1" applyFont="1" applyBorder="1"/>
    <xf numFmtId="0" fontId="16" fillId="0" borderId="0" xfId="1" applyFont="1" applyBorder="1" applyAlignment="1">
      <alignment horizontal="right"/>
    </xf>
    <xf numFmtId="0" fontId="16" fillId="0" borderId="0" xfId="1" applyFont="1" applyBorder="1" applyAlignment="1">
      <alignment horizontal="left" indent="1"/>
    </xf>
    <xf numFmtId="0" fontId="16" fillId="0" borderId="0" xfId="1" applyFont="1" applyBorder="1"/>
    <xf numFmtId="0" fontId="18" fillId="0" borderId="0" xfId="1" applyFont="1" applyBorder="1" applyAlignment="1">
      <alignment horizontal="right" wrapText="1"/>
    </xf>
    <xf numFmtId="0" fontId="19" fillId="0" borderId="0" xfId="1" applyFont="1" applyBorder="1"/>
    <xf numFmtId="0" fontId="12" fillId="0" borderId="0" xfId="1" applyFont="1" applyBorder="1"/>
    <xf numFmtId="0" fontId="16" fillId="4" borderId="0" xfId="1" applyFont="1" applyFill="1" applyBorder="1" applyAlignment="1">
      <alignment horizontal="left"/>
    </xf>
    <xf numFmtId="0" fontId="16" fillId="3" borderId="0" xfId="1" applyFont="1" applyFill="1" applyBorder="1" applyAlignment="1">
      <alignment horizontal="left"/>
    </xf>
    <xf numFmtId="0" fontId="2" fillId="0" borderId="0" xfId="1" applyFont="1" applyBorder="1" applyAlignment="1" applyProtection="1">
      <alignment horizontal="center"/>
      <protection locked="0"/>
    </xf>
    <xf numFmtId="164" fontId="11" fillId="0" borderId="0" xfId="1" applyNumberFormat="1" applyFont="1" applyBorder="1"/>
    <xf numFmtId="0" fontId="11" fillId="0" borderId="0" xfId="1" applyFont="1" applyBorder="1"/>
    <xf numFmtId="0" fontId="10" fillId="0" borderId="0" xfId="1" applyFont="1" applyBorder="1" applyAlignment="1" applyProtection="1">
      <alignment horizontal="right"/>
      <protection locked="0"/>
    </xf>
    <xf numFmtId="0" fontId="11" fillId="0" borderId="0" xfId="1" applyFont="1" applyBorder="1"/>
    <xf numFmtId="44" fontId="8" fillId="2" borderId="0" xfId="1" applyNumberFormat="1" applyFont="1" applyFill="1" applyBorder="1" applyAlignment="1" applyProtection="1">
      <alignment horizontal="center"/>
      <protection locked="0"/>
    </xf>
    <xf numFmtId="44" fontId="8" fillId="2" borderId="0" xfId="1" applyNumberFormat="1" applyFont="1" applyFill="1" applyBorder="1" applyProtection="1">
      <protection locked="0"/>
    </xf>
    <xf numFmtId="44" fontId="8" fillId="2" borderId="0" xfId="1" applyNumberFormat="1" applyFont="1" applyFill="1" applyBorder="1"/>
    <xf numFmtId="0" fontId="7" fillId="0" borderId="0" xfId="1" applyFont="1" applyBorder="1" applyAlignment="1">
      <alignment horizontal="left" indent="1"/>
    </xf>
    <xf numFmtId="44" fontId="6" fillId="2" borderId="0" xfId="1" applyNumberFormat="1" applyFont="1" applyFill="1" applyBorder="1" applyAlignment="1">
      <alignment horizontal="left" vertical="center"/>
    </xf>
    <xf numFmtId="0" fontId="4" fillId="0" borderId="14" xfId="1" applyFont="1" applyBorder="1"/>
    <xf numFmtId="0" fontId="4" fillId="0" borderId="6" xfId="1" applyFont="1" applyBorder="1"/>
    <xf numFmtId="0" fontId="4" fillId="0" borderId="46" xfId="1" applyFont="1" applyBorder="1"/>
    <xf numFmtId="164" fontId="13" fillId="5" borderId="47" xfId="1" applyNumberFormat="1" applyFont="1" applyFill="1" applyBorder="1" applyAlignment="1">
      <alignment horizontal="center" vertical="center"/>
    </xf>
    <xf numFmtId="164" fontId="13" fillId="5" borderId="48" xfId="1" applyNumberFormat="1" applyFont="1" applyFill="1" applyBorder="1" applyAlignment="1">
      <alignment horizontal="center" vertical="center"/>
    </xf>
    <xf numFmtId="0" fontId="13" fillId="5" borderId="49" xfId="1" applyFont="1" applyFill="1" applyBorder="1" applyAlignment="1">
      <alignment horizontal="center" vertical="center"/>
    </xf>
    <xf numFmtId="0" fontId="4" fillId="4" borderId="50" xfId="1" applyFont="1" applyFill="1" applyBorder="1" applyAlignment="1" applyProtection="1">
      <alignment horizontal="left"/>
      <protection locked="0"/>
    </xf>
    <xf numFmtId="0" fontId="4" fillId="4" borderId="51" xfId="1" applyFont="1" applyFill="1" applyBorder="1" applyAlignment="1" applyProtection="1">
      <alignment horizontal="left"/>
      <protection locked="0"/>
    </xf>
    <xf numFmtId="0" fontId="12" fillId="4" borderId="52" xfId="1" applyFont="1" applyFill="1" applyBorder="1" applyAlignment="1" applyProtection="1">
      <alignment horizontal="center"/>
      <protection locked="0"/>
    </xf>
    <xf numFmtId="0" fontId="12" fillId="4" borderId="50" xfId="1" applyFont="1" applyFill="1" applyBorder="1" applyAlignment="1" applyProtection="1">
      <alignment horizontal="center"/>
      <protection locked="0"/>
    </xf>
    <xf numFmtId="0" fontId="12" fillId="4" borderId="0" xfId="1" applyFont="1" applyFill="1" applyBorder="1" applyProtection="1">
      <protection locked="0"/>
    </xf>
    <xf numFmtId="0" fontId="10" fillId="4" borderId="0" xfId="1" applyFont="1" applyFill="1" applyBorder="1" applyAlignment="1" applyProtection="1">
      <alignment horizontal="right"/>
      <protection locked="0"/>
    </xf>
    <xf numFmtId="0" fontId="15" fillId="3" borderId="0" xfId="1" applyFont="1" applyFill="1" applyBorder="1" applyAlignment="1" applyProtection="1">
      <alignment horizontal="center"/>
      <protection locked="0"/>
    </xf>
    <xf numFmtId="0" fontId="16" fillId="3" borderId="5" xfId="1" applyFont="1" applyFill="1" applyBorder="1" applyAlignment="1">
      <alignment horizontal="left"/>
    </xf>
    <xf numFmtId="0" fontId="15" fillId="3" borderId="5" xfId="1" applyFont="1" applyFill="1" applyBorder="1" applyAlignment="1" applyProtection="1">
      <alignment horizontal="center"/>
      <protection locked="0"/>
    </xf>
    <xf numFmtId="0" fontId="4" fillId="0" borderId="0" xfId="1" applyFont="1" applyFill="1" applyBorder="1"/>
    <xf numFmtId="44" fontId="8" fillId="0" borderId="0" xfId="1" applyNumberFormat="1" applyFont="1" applyFill="1" applyBorder="1"/>
    <xf numFmtId="44" fontId="6" fillId="0" borderId="0" xfId="1" applyNumberFormat="1" applyFont="1" applyFill="1" applyBorder="1" applyAlignment="1">
      <alignment vertical="center"/>
    </xf>
    <xf numFmtId="44" fontId="6" fillId="0" borderId="0" xfId="1" applyNumberFormat="1" applyFont="1" applyFill="1" applyBorder="1" applyAlignment="1">
      <alignment horizontal="left" vertical="center"/>
    </xf>
    <xf numFmtId="0" fontId="28" fillId="0" borderId="54" xfId="1" applyFont="1" applyBorder="1" applyAlignment="1">
      <alignment horizontal="center"/>
    </xf>
    <xf numFmtId="0" fontId="28" fillId="0" borderId="55" xfId="1" applyFont="1" applyBorder="1" applyAlignment="1">
      <alignment horizontal="center"/>
    </xf>
    <xf numFmtId="0" fontId="27" fillId="0" borderId="56" xfId="1" applyFont="1" applyBorder="1"/>
    <xf numFmtId="0" fontId="4" fillId="0" borderId="57" xfId="1" applyFont="1" applyBorder="1"/>
    <xf numFmtId="0" fontId="25" fillId="0" borderId="56" xfId="1" applyFont="1" applyBorder="1" applyAlignment="1">
      <alignment horizontal="left"/>
    </xf>
    <xf numFmtId="0" fontId="23" fillId="3" borderId="58" xfId="1" applyFont="1" applyFill="1" applyBorder="1" applyAlignment="1">
      <alignment horizontal="center"/>
    </xf>
    <xf numFmtId="0" fontId="11" fillId="0" borderId="56" xfId="1" applyFont="1" applyBorder="1" applyAlignment="1">
      <alignment horizontal="left"/>
    </xf>
    <xf numFmtId="0" fontId="11" fillId="0" borderId="57" xfId="1" applyFont="1" applyBorder="1" applyAlignment="1">
      <alignment horizontal="left"/>
    </xf>
    <xf numFmtId="0" fontId="59" fillId="0" borderId="59" xfId="1" applyFont="1" applyBorder="1" applyAlignment="1"/>
    <xf numFmtId="0" fontId="21" fillId="0" borderId="57" xfId="1" applyFont="1" applyBorder="1" applyAlignment="1">
      <alignment horizontal="center"/>
    </xf>
    <xf numFmtId="0" fontId="59" fillId="0" borderId="60" xfId="1" applyFont="1" applyBorder="1" applyAlignment="1"/>
    <xf numFmtId="0" fontId="20" fillId="0" borderId="57" xfId="1" applyFont="1" applyBorder="1" applyAlignment="1">
      <alignment horizontal="center"/>
    </xf>
    <xf numFmtId="0" fontId="16" fillId="0" borderId="56" xfId="1" applyFont="1" applyBorder="1" applyAlignment="1">
      <alignment horizontal="left" indent="1"/>
    </xf>
    <xf numFmtId="0" fontId="16" fillId="0" borderId="57" xfId="1" applyFont="1" applyBorder="1" applyAlignment="1">
      <alignment horizontal="right"/>
    </xf>
    <xf numFmtId="0" fontId="16" fillId="0" borderId="56" xfId="1" applyFont="1" applyBorder="1" applyAlignment="1">
      <alignment horizontal="left" indent="1"/>
    </xf>
    <xf numFmtId="0" fontId="18" fillId="0" borderId="56" xfId="1" applyFont="1" applyBorder="1" applyAlignment="1">
      <alignment horizontal="right" wrapText="1"/>
    </xf>
    <xf numFmtId="0" fontId="16" fillId="3" borderId="58" xfId="1" applyFont="1" applyFill="1" applyBorder="1" applyAlignment="1">
      <alignment horizontal="center"/>
    </xf>
    <xf numFmtId="0" fontId="16" fillId="3" borderId="61" xfId="1" applyFont="1" applyFill="1" applyBorder="1" applyAlignment="1">
      <alignment horizontal="center"/>
    </xf>
    <xf numFmtId="0" fontId="18" fillId="0" borderId="56" xfId="1" applyFont="1" applyBorder="1" applyAlignment="1">
      <alignment horizontal="right"/>
    </xf>
    <xf numFmtId="0" fontId="12" fillId="0" borderId="57" xfId="1" applyFont="1" applyBorder="1"/>
    <xf numFmtId="0" fontId="16" fillId="3" borderId="62" xfId="1" applyFont="1" applyFill="1" applyBorder="1" applyProtection="1">
      <protection locked="0"/>
    </xf>
    <xf numFmtId="0" fontId="17" fillId="0" borderId="56" xfId="1" applyFont="1" applyBorder="1"/>
    <xf numFmtId="0" fontId="16" fillId="3" borderId="63" xfId="1" applyFont="1" applyFill="1" applyBorder="1" applyAlignment="1" applyProtection="1">
      <alignment horizontal="center"/>
      <protection locked="0"/>
    </xf>
    <xf numFmtId="0" fontId="16" fillId="4" borderId="56" xfId="1" applyFont="1" applyFill="1" applyBorder="1"/>
    <xf numFmtId="0" fontId="14" fillId="0" borderId="56" xfId="1" applyFont="1" applyBorder="1" applyAlignment="1">
      <alignment horizontal="right" wrapText="1" indent="1"/>
    </xf>
    <xf numFmtId="0" fontId="15" fillId="3" borderId="58" xfId="1" applyFont="1" applyFill="1" applyBorder="1" applyAlignment="1" applyProtection="1">
      <alignment horizontal="center"/>
      <protection locked="0"/>
    </xf>
    <xf numFmtId="0" fontId="2" fillId="3" borderId="61" xfId="1" applyFont="1" applyFill="1" applyBorder="1" applyAlignment="1" applyProtection="1">
      <alignment horizontal="center"/>
      <protection locked="0"/>
    </xf>
    <xf numFmtId="0" fontId="2" fillId="0" borderId="57" xfId="1" applyFont="1" applyBorder="1" applyAlignment="1" applyProtection="1">
      <alignment horizontal="center"/>
      <protection locked="0"/>
    </xf>
    <xf numFmtId="164" fontId="11" fillId="0" borderId="56" xfId="1" applyNumberFormat="1" applyFont="1" applyBorder="1"/>
    <xf numFmtId="0" fontId="11" fillId="0" borderId="57" xfId="1" applyFont="1" applyBorder="1"/>
    <xf numFmtId="164" fontId="13" fillId="5" borderId="64" xfId="1" applyNumberFormat="1" applyFont="1" applyFill="1" applyBorder="1" applyAlignment="1">
      <alignment horizontal="center" vertical="center"/>
    </xf>
    <xf numFmtId="0" fontId="13" fillId="5" borderId="65" xfId="1" applyFont="1" applyFill="1" applyBorder="1" applyAlignment="1">
      <alignment horizontal="center" vertical="center"/>
    </xf>
    <xf numFmtId="44" fontId="12" fillId="4" borderId="67" xfId="1" applyNumberFormat="1" applyFont="1" applyFill="1" applyBorder="1" applyAlignment="1" applyProtection="1">
      <alignment horizontal="center"/>
      <protection locked="0"/>
    </xf>
    <xf numFmtId="44" fontId="12" fillId="4" borderId="69" xfId="1" applyNumberFormat="1" applyFont="1" applyFill="1" applyBorder="1" applyAlignment="1" applyProtection="1">
      <alignment horizontal="center"/>
      <protection locked="0"/>
    </xf>
    <xf numFmtId="0" fontId="12" fillId="4" borderId="56" xfId="1" applyFont="1" applyFill="1" applyBorder="1" applyProtection="1">
      <protection locked="0"/>
    </xf>
    <xf numFmtId="44" fontId="12" fillId="0" borderId="57" xfId="1" applyNumberFormat="1" applyFont="1" applyBorder="1" applyAlignment="1" applyProtection="1">
      <alignment horizontal="center"/>
      <protection locked="0"/>
    </xf>
    <xf numFmtId="0" fontId="4" fillId="0" borderId="56" xfId="1" applyFont="1" applyBorder="1"/>
    <xf numFmtId="0" fontId="10" fillId="0" borderId="57" xfId="1" applyFont="1" applyBorder="1" applyAlignment="1" applyProtection="1">
      <alignment horizontal="center"/>
      <protection locked="0"/>
    </xf>
    <xf numFmtId="44" fontId="9" fillId="3" borderId="57" xfId="1" applyNumberFormat="1" applyFont="1" applyFill="1" applyBorder="1" applyAlignment="1" applyProtection="1">
      <alignment horizontal="center"/>
      <protection locked="0"/>
    </xf>
    <xf numFmtId="44" fontId="5" fillId="2" borderId="57" xfId="1" applyNumberFormat="1" applyFont="1" applyFill="1" applyBorder="1"/>
    <xf numFmtId="0" fontId="4" fillId="0" borderId="70" xfId="1" applyFont="1" applyFill="1" applyBorder="1"/>
    <xf numFmtId="0" fontId="4" fillId="0" borderId="71" xfId="1" applyFont="1" applyFill="1" applyBorder="1"/>
    <xf numFmtId="0" fontId="4" fillId="0" borderId="72" xfId="1" applyFont="1" applyFill="1" applyBorder="1"/>
    <xf numFmtId="0" fontId="10" fillId="0" borderId="73" xfId="1" applyFont="1" applyBorder="1" applyAlignment="1" applyProtection="1">
      <alignment horizontal="right"/>
      <protection locked="0"/>
    </xf>
    <xf numFmtId="0" fontId="10" fillId="0" borderId="74" xfId="1" applyFont="1" applyBorder="1" applyAlignment="1" applyProtection="1">
      <alignment horizontal="right"/>
      <protection locked="0"/>
    </xf>
    <xf numFmtId="44" fontId="12" fillId="3" borderId="75" xfId="1" applyNumberFormat="1" applyFont="1" applyFill="1" applyBorder="1" applyAlignment="1" applyProtection="1">
      <alignment horizontal="center"/>
      <protection locked="0"/>
    </xf>
    <xf numFmtId="0" fontId="10" fillId="0" borderId="56" xfId="1" applyFont="1" applyBorder="1" applyAlignment="1" applyProtection="1">
      <alignment horizontal="right"/>
      <protection locked="0"/>
    </xf>
    <xf numFmtId="0" fontId="0" fillId="0" borderId="0" xfId="0" applyAlignment="1">
      <alignment horizontal="right"/>
    </xf>
    <xf numFmtId="0" fontId="0" fillId="0" borderId="0" xfId="0" applyAlignment="1">
      <alignment horizontal="left"/>
    </xf>
    <xf numFmtId="0" fontId="60" fillId="0" borderId="0" xfId="0" applyFont="1" applyAlignment="1">
      <alignment horizontal="left"/>
    </xf>
    <xf numFmtId="0" fontId="61" fillId="0" borderId="0" xfId="0" applyFont="1" applyAlignment="1">
      <alignment horizontal="left"/>
    </xf>
    <xf numFmtId="0" fontId="51" fillId="0" borderId="0" xfId="1" applyFont="1"/>
    <xf numFmtId="14" fontId="12" fillId="4" borderId="3" xfId="1" applyNumberFormat="1" applyFont="1" applyFill="1" applyBorder="1" applyAlignment="1" applyProtection="1">
      <alignment horizontal="center"/>
      <protection locked="0"/>
    </xf>
    <xf numFmtId="0" fontId="57" fillId="0" borderId="0" xfId="1" applyFont="1"/>
    <xf numFmtId="0" fontId="51" fillId="0" borderId="53" xfId="1" applyFont="1" applyBorder="1"/>
    <xf numFmtId="0" fontId="63" fillId="0" borderId="0" xfId="0" applyFont="1"/>
    <xf numFmtId="0" fontId="64" fillId="0" borderId="0" xfId="1" applyFont="1"/>
    <xf numFmtId="0" fontId="65" fillId="0" borderId="0" xfId="1" applyFont="1"/>
    <xf numFmtId="0" fontId="66" fillId="0" borderId="0" xfId="1" applyFont="1"/>
    <xf numFmtId="0" fontId="4" fillId="0" borderId="0" xfId="1" applyFont="1" applyAlignment="1"/>
    <xf numFmtId="1" fontId="12" fillId="4" borderId="66" xfId="1" applyNumberFormat="1" applyFont="1" applyFill="1" applyBorder="1" applyAlignment="1" applyProtection="1">
      <alignment horizontal="center"/>
      <protection locked="0"/>
    </xf>
    <xf numFmtId="1" fontId="12" fillId="4" borderId="68" xfId="1" applyNumberFormat="1" applyFont="1" applyFill="1" applyBorder="1" applyAlignment="1" applyProtection="1">
      <alignment horizontal="center"/>
      <protection locked="0"/>
    </xf>
    <xf numFmtId="49" fontId="12" fillId="4" borderId="3" xfId="1" applyNumberFormat="1" applyFont="1" applyFill="1" applyBorder="1" applyAlignment="1" applyProtection="1">
      <alignment horizontal="center"/>
      <protection locked="0"/>
    </xf>
    <xf numFmtId="49" fontId="12" fillId="4" borderId="52" xfId="1" applyNumberFormat="1" applyFont="1" applyFill="1" applyBorder="1" applyAlignment="1" applyProtection="1">
      <alignment horizontal="center"/>
      <protection locked="0"/>
    </xf>
    <xf numFmtId="14" fontId="64" fillId="0" borderId="0" xfId="1" applyNumberFormat="1" applyFont="1"/>
    <xf numFmtId="14" fontId="65" fillId="0" borderId="0" xfId="1" applyNumberFormat="1" applyFont="1"/>
    <xf numFmtId="44" fontId="67" fillId="0" borderId="0" xfId="1" applyNumberFormat="1" applyFont="1" applyFill="1" applyBorder="1"/>
    <xf numFmtId="0" fontId="51" fillId="0" borderId="23" xfId="1" applyFont="1" applyBorder="1"/>
    <xf numFmtId="0" fontId="51" fillId="0" borderId="79" xfId="1" applyFont="1" applyBorder="1"/>
    <xf numFmtId="0" fontId="51" fillId="0" borderId="80" xfId="1" applyFont="1" applyBorder="1"/>
    <xf numFmtId="0" fontId="51" fillId="0" borderId="81" xfId="1" applyFont="1" applyBorder="1"/>
    <xf numFmtId="2" fontId="12" fillId="0" borderId="0" xfId="1" applyNumberFormat="1" applyFont="1"/>
    <xf numFmtId="0" fontId="11" fillId="0" borderId="82" xfId="1" applyFont="1" applyBorder="1" applyAlignment="1">
      <alignment horizontal="center"/>
    </xf>
    <xf numFmtId="14" fontId="11" fillId="0" borderId="83" xfId="1" applyNumberFormat="1" applyFont="1" applyBorder="1" applyAlignment="1">
      <alignment horizontal="center"/>
    </xf>
    <xf numFmtId="0" fontId="4" fillId="0" borderId="83" xfId="1" applyFont="1" applyBorder="1" applyAlignment="1">
      <alignment horizontal="center"/>
    </xf>
    <xf numFmtId="0" fontId="68" fillId="0" borderId="0" xfId="1" applyFont="1" applyFill="1" applyAlignment="1">
      <alignment horizontal="center"/>
    </xf>
    <xf numFmtId="2" fontId="12" fillId="0" borderId="73" xfId="1" applyNumberFormat="1" applyFont="1" applyBorder="1"/>
    <xf numFmtId="2" fontId="12" fillId="0" borderId="76" xfId="1" applyNumberFormat="1" applyFont="1" applyBorder="1"/>
    <xf numFmtId="2" fontId="12" fillId="0" borderId="77" xfId="1" applyNumberFormat="1" applyFont="1" applyBorder="1"/>
    <xf numFmtId="2" fontId="12" fillId="0" borderId="78" xfId="1" applyNumberFormat="1" applyFont="1" applyBorder="1"/>
    <xf numFmtId="0" fontId="4" fillId="0" borderId="0" xfId="1" applyFont="1" applyFill="1" applyBorder="1" applyAlignment="1"/>
    <xf numFmtId="0" fontId="7" fillId="0" borderId="0" xfId="1" applyFont="1" applyFill="1" applyBorder="1" applyAlignment="1"/>
    <xf numFmtId="0" fontId="29" fillId="0" borderId="54" xfId="1" applyFont="1" applyBorder="1" applyAlignment="1"/>
    <xf numFmtId="0" fontId="12" fillId="0" borderId="6" xfId="1" applyFont="1" applyBorder="1" applyAlignment="1">
      <alignment horizontal="center"/>
    </xf>
    <xf numFmtId="0" fontId="45" fillId="7" borderId="84" xfId="0" applyFont="1" applyFill="1" applyBorder="1" applyAlignment="1">
      <alignment horizontal="center"/>
    </xf>
    <xf numFmtId="164" fontId="45" fillId="7" borderId="84" xfId="0" applyNumberFormat="1" applyFont="1" applyFill="1" applyBorder="1" applyAlignment="1">
      <alignment horizontal="center"/>
    </xf>
    <xf numFmtId="40" fontId="45" fillId="7" borderId="84" xfId="0" applyNumberFormat="1" applyFont="1" applyFill="1" applyBorder="1" applyAlignment="1">
      <alignment horizontal="center"/>
    </xf>
    <xf numFmtId="0" fontId="70" fillId="0" borderId="43" xfId="0" applyFont="1" applyBorder="1" applyAlignment="1">
      <alignment horizontal="left" vertical="center" shrinkToFit="1"/>
    </xf>
    <xf numFmtId="14" fontId="70" fillId="0" borderId="43" xfId="0" applyNumberFormat="1" applyFont="1" applyBorder="1" applyAlignment="1">
      <alignment horizontal="left" vertical="center" shrinkToFit="1"/>
    </xf>
    <xf numFmtId="166" fontId="70" fillId="0" borderId="43" xfId="0" applyNumberFormat="1" applyFont="1" applyBorder="1" applyAlignment="1">
      <alignment horizontal="left" vertical="center" shrinkToFit="1"/>
    </xf>
    <xf numFmtId="0" fontId="71" fillId="0" borderId="43" xfId="1" applyFont="1" applyBorder="1"/>
    <xf numFmtId="0" fontId="45" fillId="7" borderId="85" xfId="0" applyFont="1" applyFill="1" applyBorder="1" applyAlignment="1">
      <alignment horizontal="center"/>
    </xf>
    <xf numFmtId="0" fontId="70" fillId="0" borderId="13" xfId="0" applyFont="1" applyBorder="1" applyAlignment="1">
      <alignment horizontal="left" vertical="center" shrinkToFit="1"/>
    </xf>
    <xf numFmtId="0" fontId="45" fillId="8" borderId="86" xfId="0" applyFont="1" applyFill="1" applyBorder="1" applyAlignment="1">
      <alignment horizontal="center"/>
    </xf>
    <xf numFmtId="0" fontId="70" fillId="0" borderId="10" xfId="0" applyFont="1" applyBorder="1" applyAlignment="1">
      <alignment horizontal="left" vertical="center" shrinkToFit="1"/>
    </xf>
    <xf numFmtId="0" fontId="71" fillId="0" borderId="41" xfId="1" applyFont="1" applyBorder="1"/>
    <xf numFmtId="0" fontId="71" fillId="0" borderId="22" xfId="1" applyFont="1" applyBorder="1"/>
    <xf numFmtId="0" fontId="71" fillId="0" borderId="20" xfId="1" applyFont="1" applyBorder="1"/>
    <xf numFmtId="0" fontId="69" fillId="0" borderId="73" xfId="1" applyFont="1" applyBorder="1" applyAlignment="1">
      <alignment horizontal="center"/>
    </xf>
    <xf numFmtId="0" fontId="69" fillId="0" borderId="74" xfId="1" applyFont="1" applyBorder="1" applyAlignment="1">
      <alignment horizontal="center"/>
    </xf>
    <xf numFmtId="0" fontId="69" fillId="0" borderId="75" xfId="1" applyFont="1" applyBorder="1" applyAlignment="1">
      <alignment horizontal="center"/>
    </xf>
    <xf numFmtId="0" fontId="11" fillId="0" borderId="20" xfId="1" applyFont="1" applyBorder="1" applyAlignment="1">
      <alignment horizontal="center"/>
    </xf>
    <xf numFmtId="0" fontId="11" fillId="0" borderId="44" xfId="1" applyFont="1" applyBorder="1"/>
    <xf numFmtId="0" fontId="11" fillId="0" borderId="41" xfId="1" applyFont="1" applyBorder="1"/>
    <xf numFmtId="0" fontId="11" fillId="0" borderId="42" xfId="1" applyFont="1" applyBorder="1"/>
    <xf numFmtId="0" fontId="11" fillId="0" borderId="0" xfId="1" applyFont="1" applyAlignment="1">
      <alignment wrapText="1"/>
    </xf>
    <xf numFmtId="14" fontId="70" fillId="0" borderId="13" xfId="0" applyNumberFormat="1" applyFont="1" applyBorder="1" applyAlignment="1">
      <alignment horizontal="left" vertical="center" shrinkToFit="1"/>
    </xf>
    <xf numFmtId="14" fontId="71" fillId="0" borderId="43" xfId="1" applyNumberFormat="1" applyFont="1" applyBorder="1"/>
    <xf numFmtId="0" fontId="71" fillId="0" borderId="22" xfId="1" applyFont="1" applyFill="1" applyBorder="1"/>
    <xf numFmtId="0" fontId="72" fillId="0" borderId="13" xfId="0" applyFont="1" applyBorder="1" applyAlignment="1">
      <alignment horizontal="left" vertical="center" shrinkToFit="1"/>
    </xf>
    <xf numFmtId="166" fontId="71" fillId="0" borderId="22" xfId="1" applyNumberFormat="1" applyFont="1" applyBorder="1"/>
    <xf numFmtId="0" fontId="73" fillId="7" borderId="87" xfId="0" applyFont="1" applyFill="1" applyBorder="1" applyAlignment="1">
      <alignment horizontal="center"/>
    </xf>
  </cellXfs>
  <cellStyles count="3">
    <cellStyle name="Normal" xfId="0" builtinId="0"/>
    <cellStyle name="Normal 2" xfId="1" xr:uid="{F1FDC4A7-59B1-674E-9761-EE3200EEA20F}"/>
    <cellStyle name="Normal_OFI MV BID v.6.1_1" xfId="2" xr:uid="{B917B692-F88F-6041-949B-558AE934CABD}"/>
  </cellStyles>
  <dxfs count="48">
    <dxf>
      <font>
        <b val="0"/>
        <i val="0"/>
        <strike val="0"/>
        <condense val="0"/>
        <extend val="0"/>
        <outline val="0"/>
        <shadow val="0"/>
        <u val="none"/>
        <vertAlign val="baseline"/>
        <sz val="9"/>
        <color theme="1" tint="0.249977111117893"/>
        <name val="Aptos Narrow"/>
        <family val="1"/>
        <scheme val="minor"/>
      </font>
      <numFmt numFmtId="0" formatCode="General"/>
      <border diagonalUp="0" diagonalDown="0">
        <left style="thin">
          <color indexed="64"/>
        </left>
        <right style="thin">
          <color indexed="64"/>
        </right>
        <top style="thin">
          <color indexed="64"/>
        </top>
        <bottom style="thin">
          <color auto="1"/>
        </bottom>
        <vertical/>
        <horizontal/>
      </border>
    </dxf>
    <dxf>
      <font>
        <b val="0"/>
        <i val="0"/>
        <strike val="0"/>
        <condense val="0"/>
        <extend val="0"/>
        <outline val="0"/>
        <shadow val="0"/>
        <u val="none"/>
        <vertAlign val="baseline"/>
        <sz val="9"/>
        <color theme="1" tint="0.249977111117893"/>
        <name val="Aptos Narrow"/>
        <family val="1"/>
        <scheme val="minor"/>
      </font>
      <border diagonalUp="0" diagonalDown="0">
        <left style="thin">
          <color indexed="64"/>
        </left>
        <right style="thin">
          <color indexed="64"/>
        </right>
        <top style="thin">
          <color indexed="64"/>
        </top>
        <bottom style="thin">
          <color auto="1"/>
        </bottom>
        <vertical/>
        <horizontal/>
      </border>
    </dxf>
    <dxf>
      <font>
        <b val="0"/>
        <i val="0"/>
        <strike val="0"/>
        <condense val="0"/>
        <extend val="0"/>
        <outline val="0"/>
        <shadow val="0"/>
        <u val="none"/>
        <vertAlign val="baseline"/>
        <sz val="9"/>
        <color theme="1" tint="0.249977111117893"/>
        <name val="Aptos Narrow"/>
        <family val="1"/>
        <scheme val="minor"/>
      </font>
      <numFmt numFmtId="166" formatCode="_(#,##0.00_);[Red]\(#,##0.00\)"/>
      <border diagonalUp="0" diagonalDown="0">
        <left style="thin">
          <color indexed="64"/>
        </left>
        <right style="thin">
          <color indexed="64"/>
        </right>
        <top style="thin">
          <color indexed="64"/>
        </top>
        <bottom style="thin">
          <color auto="1"/>
        </bottom>
        <vertical/>
        <horizontal/>
      </border>
    </dxf>
    <dxf>
      <font>
        <b val="0"/>
        <i val="0"/>
        <strike val="0"/>
        <condense val="0"/>
        <extend val="0"/>
        <outline val="0"/>
        <shadow val="0"/>
        <u val="none"/>
        <vertAlign val="baseline"/>
        <sz val="9"/>
        <color theme="1" tint="0.249977111117893"/>
        <name val="Aptos Narrow"/>
        <family val="1"/>
        <scheme val="minor"/>
      </font>
      <numFmt numFmtId="0" formatCode="General"/>
      <border diagonalUp="0" diagonalDown="0">
        <left style="thin">
          <color indexed="64"/>
        </left>
        <right style="thin">
          <color indexed="64"/>
        </right>
        <top style="thin">
          <color indexed="64"/>
        </top>
        <bottom style="thin">
          <color auto="1"/>
        </bottom>
        <vertical/>
        <horizontal/>
      </border>
    </dxf>
    <dxf>
      <numFmt numFmtId="170" formatCode=";;;"/>
    </dxf>
    <dxf>
      <numFmt numFmtId="170" formatCode=";;;"/>
    </dxf>
    <dxf>
      <numFmt numFmtId="170" formatCode=";;;"/>
    </dxf>
    <dxf>
      <font>
        <b val="0"/>
        <i val="0"/>
        <strike val="0"/>
        <condense val="0"/>
        <extend val="0"/>
        <outline val="0"/>
        <shadow val="0"/>
        <u val="none"/>
        <vertAlign val="baseline"/>
        <sz val="9"/>
        <color theme="1" tint="0.249977111117893"/>
        <name val="Aptos Narrow"/>
        <family val="1"/>
        <scheme val="minor"/>
      </font>
      <fill>
        <patternFill patternType="none">
          <fgColor indexed="64"/>
          <bgColor indexed="65"/>
        </patternFill>
      </fill>
      <alignment horizontal="general" vertical="bottom" textRotation="0" wrapText="0" indent="0" justifyLastLine="0" shrinkToFit="0" readingOrder="0"/>
      <border diagonalUp="0" diagonalDown="0">
        <left style="thin">
          <color auto="1"/>
        </left>
        <right style="thin">
          <color auto="1"/>
        </right>
        <top style="thin">
          <color auto="1"/>
        </top>
        <bottom/>
      </border>
      <protection locked="1" hidden="0"/>
    </dxf>
    <dxf>
      <font>
        <b val="0"/>
        <i val="0"/>
        <strike val="0"/>
        <condense val="0"/>
        <extend val="0"/>
        <outline val="0"/>
        <shadow val="0"/>
        <u val="none"/>
        <vertAlign val="baseline"/>
        <sz val="9"/>
        <color theme="1" tint="0.249977111117893"/>
        <name val="Aptos Narrow"/>
        <family val="1"/>
        <scheme val="minor"/>
      </font>
      <border diagonalUp="0" diagonalDown="0">
        <left style="thin">
          <color indexed="64"/>
        </left>
        <right style="thin">
          <color indexed="64"/>
        </right>
        <top style="thin">
          <color indexed="64"/>
        </top>
        <bottom style="thin">
          <color auto="1"/>
        </bottom>
        <vertical/>
        <horizontal/>
      </border>
    </dxf>
    <dxf>
      <font>
        <b val="0"/>
        <i val="0"/>
        <strike val="0"/>
        <condense val="0"/>
        <extend val="0"/>
        <outline val="0"/>
        <shadow val="0"/>
        <u val="none"/>
        <vertAlign val="baseline"/>
        <sz val="9"/>
        <color theme="1" tint="0.249977111117893"/>
        <name val="Aptos Narrow"/>
        <family val="1"/>
        <scheme val="minor"/>
      </font>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tint="0.249977111117893"/>
        <name val="Aptos Narrow"/>
        <family val="1"/>
        <scheme val="minor"/>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theme="1" tint="0.249977111117893"/>
        <name val="Aptos Narrow"/>
        <family val="1"/>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9"/>
        <color theme="1" tint="0.249977111117893"/>
        <name val="Aptos Narrow"/>
        <family val="1"/>
        <scheme val="minor"/>
      </font>
      <border diagonalUp="0" diagonalDown="0">
        <left style="thin">
          <color indexed="64"/>
        </left>
        <right style="thin">
          <color indexed="64"/>
        </right>
        <top style="thin">
          <color indexed="64"/>
        </top>
        <bottom style="thin">
          <color auto="1"/>
        </bottom>
        <vertical/>
        <horizontal/>
      </border>
    </dxf>
    <dxf>
      <font>
        <b val="0"/>
        <i val="0"/>
        <strike val="0"/>
        <condense val="0"/>
        <extend val="0"/>
        <outline val="0"/>
        <shadow val="0"/>
        <u val="none"/>
        <vertAlign val="baseline"/>
        <sz val="9"/>
        <color theme="1" tint="0.249977111117893"/>
        <name val="Aptos Narrow"/>
        <family val="1"/>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9"/>
        <color theme="1" tint="0.249977111117893"/>
        <name val="Aptos Narrow"/>
        <family val="1"/>
        <scheme val="minor"/>
      </font>
      <border diagonalUp="0" diagonalDown="0">
        <left style="thin">
          <color indexed="64"/>
        </left>
        <right style="thin">
          <color indexed="64"/>
        </right>
        <top style="thin">
          <color indexed="64"/>
        </top>
        <bottom style="thin">
          <color auto="1"/>
        </bottom>
        <vertical/>
        <horizontal/>
      </border>
    </dxf>
    <dxf>
      <font>
        <b val="0"/>
        <i val="0"/>
        <strike val="0"/>
        <condense val="0"/>
        <extend val="0"/>
        <outline val="0"/>
        <shadow val="0"/>
        <u val="none"/>
        <vertAlign val="baseline"/>
        <sz val="9"/>
        <color theme="1" tint="0.249977111117893"/>
        <name val="Aptos Narrow"/>
        <family val="1"/>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9"/>
        <color theme="1" tint="0.249977111117893"/>
        <name val="Aptos Narrow"/>
        <family val="1"/>
        <scheme val="minor"/>
      </font>
      <border diagonalUp="0" diagonalDown="0">
        <left style="thin">
          <color indexed="64"/>
        </left>
        <right style="thin">
          <color indexed="64"/>
        </right>
        <top style="thin">
          <color indexed="64"/>
        </top>
        <bottom style="thin">
          <color auto="1"/>
        </bottom>
        <vertical/>
        <horizontal/>
      </border>
    </dxf>
    <dxf>
      <font>
        <b val="0"/>
        <i val="0"/>
        <strike val="0"/>
        <condense val="0"/>
        <extend val="0"/>
        <outline val="0"/>
        <shadow val="0"/>
        <u val="none"/>
        <vertAlign val="baseline"/>
        <sz val="9"/>
        <color theme="1" tint="0.249977111117893"/>
        <name val="Aptos Narrow"/>
        <family val="1"/>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9"/>
        <color theme="1" tint="0.249977111117893"/>
        <name val="Aptos Narrow"/>
        <family val="1"/>
        <scheme val="minor"/>
      </font>
      <border diagonalUp="0" diagonalDown="0">
        <left style="thin">
          <color indexed="64"/>
        </left>
        <right style="thin">
          <color indexed="64"/>
        </right>
        <top style="thin">
          <color indexed="64"/>
        </top>
        <bottom style="thin">
          <color auto="1"/>
        </bottom>
        <vertical/>
        <horizontal/>
      </border>
    </dxf>
    <dxf>
      <font>
        <b val="0"/>
        <i val="0"/>
        <strike val="0"/>
        <condense val="0"/>
        <extend val="0"/>
        <outline val="0"/>
        <shadow val="0"/>
        <u val="none"/>
        <vertAlign val="baseline"/>
        <sz val="9"/>
        <color theme="1" tint="0.249977111117893"/>
        <name val="Aptos Narrow"/>
        <family val="1"/>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9"/>
        <color theme="1" tint="0.249977111117893"/>
        <name val="Aptos Narrow"/>
        <family val="1"/>
        <scheme val="minor"/>
      </font>
      <border diagonalUp="0" diagonalDown="0">
        <left style="thin">
          <color indexed="64"/>
        </left>
        <right style="thin">
          <color indexed="64"/>
        </right>
        <top style="thin">
          <color indexed="64"/>
        </top>
        <bottom style="thin">
          <color auto="1"/>
        </bottom>
        <vertical/>
        <horizontal/>
      </border>
    </dxf>
    <dxf>
      <font>
        <b val="0"/>
        <i val="0"/>
        <strike val="0"/>
        <condense val="0"/>
        <extend val="0"/>
        <outline val="0"/>
        <shadow val="0"/>
        <u val="none"/>
        <vertAlign val="baseline"/>
        <sz val="9"/>
        <color theme="1" tint="0.249977111117893"/>
        <name val="Aptos Narrow"/>
        <family val="1"/>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9"/>
        <color theme="1" tint="0.249977111117893"/>
        <name val="Aptos Narrow"/>
        <family val="1"/>
        <scheme val="minor"/>
      </font>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tint="0.249977111117893"/>
        <name val="Aptos Narrow"/>
        <family val="1"/>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style="thin">
          <color auto="1"/>
        </right>
        <top style="thin">
          <color auto="1"/>
        </top>
        <bottom/>
      </border>
      <protection locked="1" hidden="0"/>
    </dxf>
    <dxf>
      <border outline="0">
        <top style="thin">
          <color rgb="FF000000"/>
        </top>
      </border>
    </dxf>
    <dxf>
      <border outline="0">
        <bottom style="thin">
          <color rgb="FF44B3E1"/>
        </bottom>
      </border>
    </dxf>
    <dxf>
      <border outline="0">
        <left style="medium">
          <color rgb="FF000000"/>
        </left>
        <right style="medium">
          <color rgb="FF000000"/>
        </right>
        <top style="medium">
          <color rgb="FF000000"/>
        </top>
        <bottom style="medium">
          <color rgb="FF000000"/>
        </bottom>
      </border>
    </dxf>
    <dxf>
      <font>
        <b val="0"/>
        <i val="0"/>
        <strike val="0"/>
        <condense val="0"/>
        <extend val="0"/>
        <outline val="0"/>
        <shadow val="0"/>
        <u val="none"/>
        <vertAlign val="baseline"/>
        <sz val="9"/>
        <color rgb="FF404040"/>
        <name val="Aptos Narrow"/>
        <family val="1"/>
        <scheme val="none"/>
      </font>
    </dxf>
    <dxf>
      <font>
        <b val="0"/>
        <i val="0"/>
        <strike val="0"/>
        <condense val="0"/>
        <extend val="0"/>
        <outline val="0"/>
        <shadow val="0"/>
        <u val="none"/>
        <vertAlign val="baseline"/>
        <sz val="9"/>
        <color theme="1" tint="0.249977111117893"/>
        <name val="Aptos Narrow"/>
        <family val="1"/>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9"/>
        <color theme="1" tint="0.249977111117893"/>
        <name val="Aptos Narrow"/>
        <family val="1"/>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auto="1"/>
        </left>
        <right style="thin">
          <color auto="1"/>
        </right>
        <top style="thin">
          <color auto="1"/>
        </top>
        <bottom/>
      </border>
      <protection locked="1" hidden="0"/>
    </dxf>
    <dxf>
      <font>
        <b val="0"/>
        <i val="0"/>
        <strike val="0"/>
        <condense val="0"/>
        <extend val="0"/>
        <outline val="0"/>
        <shadow val="0"/>
        <u val="none"/>
        <vertAlign val="baseline"/>
        <sz val="9"/>
        <color theme="1" tint="0.249977111117893"/>
        <name val="Aptos Narrow"/>
        <family val="1"/>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9"/>
        <color theme="1" tint="0.249977111117893"/>
        <name val="Aptos Narrow"/>
        <family val="1"/>
        <scheme val="minor"/>
      </font>
    </dxf>
    <dxf>
      <font>
        <b val="0"/>
        <i val="0"/>
        <strike val="0"/>
        <condense val="0"/>
        <extend val="0"/>
        <outline val="0"/>
        <shadow val="0"/>
        <u val="none"/>
        <vertAlign val="baseline"/>
        <sz val="9"/>
        <color theme="1" tint="0.249977111117893"/>
        <name val="Aptos Narrow"/>
        <family val="1"/>
        <scheme val="minor"/>
      </font>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theme="1" tint="0.249977111117893"/>
        <name val="Aptos Narrow"/>
        <family val="1"/>
        <scheme val="minor"/>
      </font>
      <border diagonalUp="0" diagonalDown="0">
        <left style="thin">
          <color indexed="64"/>
        </left>
        <right style="thin">
          <color indexed="64"/>
        </right>
        <top style="thin">
          <color indexed="64"/>
        </top>
        <bottom style="thin">
          <color auto="1"/>
        </bottom>
        <vertical/>
        <horizontal/>
      </border>
    </dxf>
    <dxf>
      <border outline="0">
        <top style="thin">
          <color indexed="64"/>
        </top>
      </border>
    </dxf>
    <dxf>
      <border outline="0">
        <bottom style="thin">
          <color theme="4" tint="0.39997558519241921"/>
        </bottom>
      </border>
    </dxf>
    <dxf>
      <border outline="0">
        <left style="medium">
          <color indexed="64"/>
        </left>
        <right style="medium">
          <color indexed="64"/>
        </right>
        <top style="medium">
          <color indexed="64"/>
        </top>
        <bottom style="medium">
          <color indexed="64"/>
        </bottom>
      </border>
    </dxf>
    <dxf>
      <font>
        <b val="0"/>
        <i val="0"/>
        <strike val="0"/>
        <condense val="0"/>
        <extend val="0"/>
        <outline val="0"/>
        <shadow val="0"/>
        <u val="none"/>
        <vertAlign val="baseline"/>
        <sz val="12"/>
        <color auto="1"/>
        <name val="Arial"/>
        <family val="2"/>
        <scheme val="none"/>
      </font>
      <fill>
        <patternFill patternType="none">
          <fgColor indexed="64"/>
          <bgColor auto="1"/>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2"/>
        <color auto="1"/>
        <name val="Arial"/>
        <family val="2"/>
        <scheme val="none"/>
      </font>
      <fill>
        <patternFill patternType="none">
          <fgColor indexed="64"/>
          <bgColor auto="1"/>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66" formatCode="_(#,##0.00_);[Red]\(#,##0.00\)"/>
      <fill>
        <patternFill patternType="none">
          <fgColor indexed="64"/>
          <bgColor auto="1"/>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fill>
        <patternFill patternType="none">
          <bgColor auto="1"/>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Arial"/>
        <family val="2"/>
        <scheme val="none"/>
      </font>
      <numFmt numFmtId="19" formatCode="m/d/yy"/>
      <fill>
        <patternFill patternType="none">
          <bgColor auto="1"/>
        </patternFill>
      </fill>
      <alignment horizontal="left"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numFmt numFmtId="0" formatCode="General"/>
      <fill>
        <patternFill patternType="none">
          <bgColor auto="1"/>
        </patternFill>
      </fill>
      <alignment horizontal="left"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fill>
        <patternFill patternType="none">
          <bgColor auto="1"/>
        </patternFill>
      </fill>
      <alignment horizontal="left"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Arial"/>
        <family val="2"/>
        <scheme val="none"/>
      </font>
      <fill>
        <patternFill patternType="none">
          <bgColor auto="1"/>
        </patternFill>
      </fill>
      <alignment horizontal="left"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auto="1"/>
        </left>
        <right style="thin">
          <color auto="1"/>
        </right>
        <top style="thin">
          <color indexed="64"/>
        </top>
        <bottom style="thin">
          <color indexed="64"/>
        </bottom>
      </border>
    </dxf>
    <dxf>
      <font>
        <strike val="0"/>
        <outline val="0"/>
        <shadow val="0"/>
        <u val="none"/>
        <vertAlign val="baseline"/>
        <sz val="12"/>
      </font>
      <alignment horizontal="left" vertical="center" textRotation="0" wrapText="0" indent="0" justifyLastLine="0" shrinkToFit="1" readingOrder="0"/>
    </dxf>
    <dxf>
      <font>
        <strike val="0"/>
        <outline val="0"/>
        <shadow val="0"/>
        <u val="none"/>
        <vertAlign val="baseline"/>
        <sz val="12"/>
      </font>
    </dxf>
  </dxfs>
  <tableStyles count="0" defaultTableStyle="TableStyleMedium2" defaultPivotStyle="PivotStyleLight16"/>
  <colors>
    <mruColors>
      <color rgb="FFD2B188"/>
      <color rgb="FFFFF3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13</xdr:row>
          <xdr:rowOff>114300</xdr:rowOff>
        </xdr:from>
        <xdr:to>
          <xdr:col>9</xdr:col>
          <xdr:colOff>254000</xdr:colOff>
          <xdr:row>15</xdr:row>
          <xdr:rowOff>63500</xdr:rowOff>
        </xdr:to>
        <xdr:sp macro="" textlink="">
          <xdr:nvSpPr>
            <xdr:cNvPr id="5122" name="Button 2" descr="Generate POs&#10;" hidden="1">
              <a:extLst>
                <a:ext uri="{63B3BB69-23CF-44E3-9099-C40C66FF867C}">
                  <a14:compatExt spid="_x0000_s5122"/>
                </a:ext>
                <a:ext uri="{FF2B5EF4-FFF2-40B4-BE49-F238E27FC236}">
                  <a16:creationId xmlns:a16="http://schemas.microsoft.com/office/drawing/2014/main" id="{00000000-0008-0000-00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Generate POs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635000</xdr:colOff>
          <xdr:row>20</xdr:row>
          <xdr:rowOff>165100</xdr:rowOff>
        </xdr:from>
        <xdr:to>
          <xdr:col>9</xdr:col>
          <xdr:colOff>508000</xdr:colOff>
          <xdr:row>22</xdr:row>
          <xdr:rowOff>139700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0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30" b="0" i="0" u="none" strike="noStrike" baseline="0">
                  <a:solidFill>
                    <a:srgbClr val="000000"/>
                  </a:solidFill>
                  <a:latin typeface="Aptos Narrow" charset="0"/>
                </a:rPr>
                <a:t>Delete all POs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660400</xdr:colOff>
          <xdr:row>0</xdr:row>
          <xdr:rowOff>279400</xdr:rowOff>
        </xdr:from>
        <xdr:to>
          <xdr:col>6</xdr:col>
          <xdr:colOff>2184400</xdr:colOff>
          <xdr:row>0</xdr:row>
          <xdr:rowOff>660400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300-00000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Insert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0</xdr:row>
          <xdr:rowOff>241300</xdr:rowOff>
        </xdr:from>
        <xdr:to>
          <xdr:col>4</xdr:col>
          <xdr:colOff>482600</xdr:colOff>
          <xdr:row>0</xdr:row>
          <xdr:rowOff>622300</xdr:rowOff>
        </xdr:to>
        <xdr:sp macro="" textlink="">
          <xdr:nvSpPr>
            <xdr:cNvPr id="7174" name="Button 6" hidden="1">
              <a:extLst>
                <a:ext uri="{63B3BB69-23CF-44E3-9099-C40C66FF867C}">
                  <a14:compatExt spid="_x0000_s7174"/>
                </a:ext>
                <a:ext uri="{FF2B5EF4-FFF2-40B4-BE49-F238E27FC236}">
                  <a16:creationId xmlns:a16="http://schemas.microsoft.com/office/drawing/2014/main" id="{00000000-0008-0000-0300-000006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Delete Last Row</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F842E19-EF9E-1D43-B998-575AA2DD6D14}" name="POLogPreview" displayName="POLogPreview" ref="L40:S50" dataDxfId="31" headerRowBorderDxfId="35" tableBorderDxfId="36" totalsRowBorderDxfId="34" dataCellStyle="Normal 2">
  <autoFilter ref="L40:S50" xr:uid="{2F842E19-EF9E-1D43-B998-575AA2DD6D14}"/>
  <tableColumns count="8">
    <tableColumn id="10" xr3:uid="{BED0848B-BACB-2C40-8768-774437469C0F}" name="HHEADER" dataDxfId="8" totalsRowDxfId="7" dataCellStyle="Normal 2"/>
    <tableColumn id="1" xr3:uid="{6CC23B9A-2010-FD4F-B9E6-9D0885345C57}" name="LINE" totalsRowLabel="Total" dataDxfId="9" dataCellStyle="Normal 2"/>
    <tableColumn id="2" xr3:uid="{F9429270-7DBD-A34F-9D8C-8DB0CA123234}" name="PAYEE" dataDxfId="0" totalsRowDxfId="28" dataCellStyle="Normal 2">
      <calculatedColumnFormula>IF(POLogPreview[[#This Row],[HHEADER]]="#A", Vendor,"")</calculatedColumnFormula>
    </tableColumn>
    <tableColumn id="3" xr3:uid="{16F2C5B9-C46A-EB4C-8D17-D4A29D5C11C9}" name="PO" dataDxfId="1" dataCellStyle="Normal 2"/>
    <tableColumn id="4" xr3:uid="{31752216-B20B-4249-963C-C2FCA5E98FD7}" name="DATE" dataDxfId="33" totalsRowDxfId="29" dataCellStyle="Normal 2"/>
    <tableColumn id="5" xr3:uid="{BBA13705-D398-0C40-BA3B-E9806853B507}" name="PAY ID" dataDxfId="3" dataCellStyle="Normal 2"/>
    <tableColumn id="6" xr3:uid="{20443635-EB3A-DB4A-9A04-FACD777AD263}" name="ACTUAL" dataDxfId="2" dataCellStyle="Normal 2"/>
    <tableColumn id="7" xr3:uid="{B48A216A-F720-C540-BF8C-E57F22154081}" name="LINE DESCRIPTION" totalsRowFunction="count" dataDxfId="32" totalsRowDxfId="30" dataCellStyle="Normal 2"/>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D260A8E-3764-CE4E-8DC5-5217FD92C6E6}" name="PO_LOG" displayName="PO_LOG" ref="A8:H211" totalsRowShown="0" headerRowDxfId="47" dataDxfId="46" tableBorderDxfId="45">
  <autoFilter ref="A8:H211" xr:uid="{9D260A8E-3764-CE4E-8DC5-5217FD92C6E6}"/>
  <sortState xmlns:xlrd2="http://schemas.microsoft.com/office/spreadsheetml/2017/richdata2" ref="A9:H211">
    <sortCondition ref="C8:C211"/>
  </sortState>
  <tableColumns count="8">
    <tableColumn id="1" xr3:uid="{EE46603D-9AC7-574A-BA1A-570278CA5D56}" name="LINE" dataDxfId="44"/>
    <tableColumn id="2" xr3:uid="{0004BA05-6F32-8C4E-AE09-D3F2608331B3}" name="PAYEE" dataDxfId="43"/>
    <tableColumn id="3" xr3:uid="{79066615-B7FF-704A-BCA7-901EAEFC03ED}" name="PO" dataDxfId="42"/>
    <tableColumn id="4" xr3:uid="{28972D32-A3AE-6C4B-89F7-4116ACA91B1E}" name="DATE" dataDxfId="41"/>
    <tableColumn id="5" xr3:uid="{192D528C-832E-7C47-BEA8-39026E04A1C5}" name="PAY ID" dataDxfId="40"/>
    <tableColumn id="6" xr3:uid="{CE4AAA08-F7FB-204D-B998-0AEAB01A6866}" name="ACTUAL" dataDxfId="39"/>
    <tableColumn id="7" xr3:uid="{3EFE470E-BB24-FE41-A1E2-3E446E75EBB4}" name="LINE DESCRIPTION" dataDxfId="38"/>
    <tableColumn id="8" xr3:uid="{BBC4A531-8635-5641-87EA-31A5CBBA1CF5}" name="NOTES" dataDxfId="37"/>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5FA3FA7-CB68-AC45-A6ED-065E041FFBCE}" name="POLogPreview4" displayName="POLogPreview4" ref="L40:R50" dataDxfId="27" headerRowBorderDxfId="25" tableBorderDxfId="26" totalsRowBorderDxfId="24" dataCellStyle="Normal 2">
  <autoFilter ref="L40:R50" xr:uid="{2F842E19-EF9E-1D43-B998-575AA2DD6D14}"/>
  <tableColumns count="7">
    <tableColumn id="1" xr3:uid="{93B1FE70-28EF-E54B-896E-ED1AA6422269}" name="LINE" totalsRowLabel="Total" dataDxfId="22" totalsRowDxfId="23" dataCellStyle="Normal 2"/>
    <tableColumn id="2" xr3:uid="{94F4DF94-1847-9B4A-8B6F-12954D9EEA29}" name="PAYEE" dataDxfId="20" totalsRowDxfId="21" dataCellStyle="Normal 2"/>
    <tableColumn id="3" xr3:uid="{F17B0869-3E41-5348-BEF7-47D1D0549A16}" name="PO" dataDxfId="18" totalsRowDxfId="19" dataCellStyle="Normal 2"/>
    <tableColumn id="4" xr3:uid="{D9873CB3-6120-0443-9095-9AD041B834A2}" name="DATE" dataDxfId="16" totalsRowDxfId="17" dataCellStyle="Normal 2"/>
    <tableColumn id="5" xr3:uid="{3B7E1EEB-C77A-A841-89E5-2B61E1DD13AE}" name="PAY ID" dataDxfId="14" totalsRowDxfId="15" dataCellStyle="Normal 2"/>
    <tableColumn id="6" xr3:uid="{1533F584-11AA-BB48-BEAE-D0701013D774}" name="ACTUAL" dataDxfId="12" totalsRowDxfId="13" dataCellStyle="Normal 2"/>
    <tableColumn id="7" xr3:uid="{C1D682FB-FE4B-5747-82C2-CF6A5A2D3821}" name="LINE DESCRIPTION" totalsRowFunction="count" dataDxfId="10" totalsRowDxfId="11" dataCellStyle="Normal 2"/>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E7B68-10D3-A84E-84D2-7B99277272F8}">
  <sheetPr codeName="Sheet4"/>
  <dimension ref="A2:C44"/>
  <sheetViews>
    <sheetView workbookViewId="0"/>
    <sheetView workbookViewId="1"/>
  </sheetViews>
  <sheetFormatPr baseColWidth="10" defaultRowHeight="16"/>
  <cols>
    <col min="1" max="1" width="3.83203125" style="236" customWidth="1"/>
    <col min="2" max="2" width="10.83203125" style="237"/>
  </cols>
  <sheetData>
    <row r="2" spans="1:2" ht="24">
      <c r="B2" s="238" t="s">
        <v>271</v>
      </c>
    </row>
    <row r="3" spans="1:2">
      <c r="A3" s="236" t="s">
        <v>273</v>
      </c>
      <c r="B3" s="237" t="s">
        <v>270</v>
      </c>
    </row>
    <row r="5" spans="1:2" ht="24">
      <c r="B5" s="238" t="s">
        <v>272</v>
      </c>
    </row>
    <row r="6" spans="1:2">
      <c r="A6" s="236" t="s">
        <v>273</v>
      </c>
      <c r="B6" s="237" t="s">
        <v>274</v>
      </c>
    </row>
    <row r="7" spans="1:2">
      <c r="A7" s="236" t="s">
        <v>273</v>
      </c>
      <c r="B7" s="237" t="s">
        <v>275</v>
      </c>
    </row>
    <row r="11" spans="1:2" ht="24">
      <c r="B11" s="238" t="s">
        <v>269</v>
      </c>
    </row>
    <row r="12" spans="1:2">
      <c r="A12" s="236" t="s">
        <v>273</v>
      </c>
      <c r="B12" s="237" t="s">
        <v>276</v>
      </c>
    </row>
    <row r="13" spans="1:2">
      <c r="A13" s="236" t="s">
        <v>273</v>
      </c>
      <c r="B13" s="237" t="s">
        <v>284</v>
      </c>
    </row>
    <row r="14" spans="1:2">
      <c r="A14" s="236" t="s">
        <v>273</v>
      </c>
      <c r="B14" s="237" t="s">
        <v>277</v>
      </c>
    </row>
    <row r="15" spans="1:2">
      <c r="A15" s="236" t="s">
        <v>273</v>
      </c>
      <c r="B15" s="237" t="s">
        <v>278</v>
      </c>
    </row>
    <row r="16" spans="1:2">
      <c r="A16" s="236" t="s">
        <v>273</v>
      </c>
      <c r="B16" s="237" t="s">
        <v>283</v>
      </c>
    </row>
    <row r="17" spans="1:3">
      <c r="A17" s="236" t="s">
        <v>273</v>
      </c>
      <c r="B17" s="237" t="s">
        <v>279</v>
      </c>
    </row>
    <row r="18" spans="1:3" ht="20">
      <c r="B18" s="239" t="s">
        <v>280</v>
      </c>
      <c r="C18" s="239"/>
    </row>
    <row r="19" spans="1:3">
      <c r="A19" s="236" t="s">
        <v>273</v>
      </c>
      <c r="B19" s="237" t="s">
        <v>281</v>
      </c>
    </row>
    <row r="20" spans="1:3">
      <c r="A20" s="236" t="s">
        <v>273</v>
      </c>
      <c r="B20" s="237" t="s">
        <v>282</v>
      </c>
    </row>
    <row r="21" spans="1:3">
      <c r="A21" s="236" t="s">
        <v>273</v>
      </c>
      <c r="B21" s="237" t="s">
        <v>285</v>
      </c>
    </row>
    <row r="22" spans="1:3">
      <c r="A22" s="236" t="s">
        <v>273</v>
      </c>
      <c r="B22" s="237" t="s">
        <v>286</v>
      </c>
    </row>
    <row r="23" spans="1:3">
      <c r="A23" s="236" t="s">
        <v>273</v>
      </c>
      <c r="B23" s="237" t="s">
        <v>287</v>
      </c>
    </row>
    <row r="25" spans="1:3" ht="24">
      <c r="B25" s="238" t="s">
        <v>288</v>
      </c>
    </row>
    <row r="26" spans="1:3">
      <c r="A26" s="236" t="s">
        <v>273</v>
      </c>
      <c r="B26" s="237" t="s">
        <v>289</v>
      </c>
    </row>
    <row r="27" spans="1:3">
      <c r="A27" s="236" t="s">
        <v>273</v>
      </c>
      <c r="B27" s="237" t="s">
        <v>290</v>
      </c>
    </row>
    <row r="28" spans="1:3">
      <c r="A28" s="236" t="s">
        <v>273</v>
      </c>
      <c r="B28" s="237" t="s">
        <v>291</v>
      </c>
    </row>
    <row r="29" spans="1:3">
      <c r="A29" s="236" t="s">
        <v>273</v>
      </c>
      <c r="B29" s="237" t="s">
        <v>292</v>
      </c>
    </row>
    <row r="30" spans="1:3">
      <c r="A30" s="236" t="s">
        <v>273</v>
      </c>
      <c r="B30" s="237" t="s">
        <v>294</v>
      </c>
    </row>
    <row r="31" spans="1:3">
      <c r="A31" s="236" t="s">
        <v>273</v>
      </c>
      <c r="B31" s="237" t="s">
        <v>295</v>
      </c>
    </row>
    <row r="32" spans="1:3">
      <c r="A32" s="236" t="s">
        <v>273</v>
      </c>
      <c r="B32" s="237" t="s">
        <v>293</v>
      </c>
    </row>
    <row r="34" spans="1:2" ht="24">
      <c r="B34" s="238" t="s">
        <v>296</v>
      </c>
    </row>
    <row r="35" spans="1:2">
      <c r="A35" s="236" t="s">
        <v>273</v>
      </c>
      <c r="B35" s="237" t="s">
        <v>297</v>
      </c>
    </row>
    <row r="36" spans="1:2">
      <c r="A36" s="236" t="s">
        <v>273</v>
      </c>
      <c r="B36" s="237" t="s">
        <v>298</v>
      </c>
    </row>
    <row r="37" spans="1:2">
      <c r="A37" s="236" t="s">
        <v>273</v>
      </c>
      <c r="B37" s="237" t="s">
        <v>299</v>
      </c>
    </row>
    <row r="38" spans="1:2">
      <c r="A38" s="236" t="s">
        <v>273</v>
      </c>
      <c r="B38" s="237" t="s">
        <v>300</v>
      </c>
    </row>
    <row r="39" spans="1:2">
      <c r="A39" s="236" t="s">
        <v>273</v>
      </c>
      <c r="B39" s="237" t="s">
        <v>301</v>
      </c>
    </row>
    <row r="40" spans="1:2">
      <c r="A40" s="236" t="s">
        <v>273</v>
      </c>
      <c r="B40" s="237" t="s">
        <v>302</v>
      </c>
    </row>
    <row r="41" spans="1:2">
      <c r="A41" s="236" t="s">
        <v>273</v>
      </c>
      <c r="B41" s="237" t="s">
        <v>303</v>
      </c>
    </row>
    <row r="43" spans="1:2">
      <c r="A43" s="236" t="s">
        <v>273</v>
      </c>
      <c r="B43" s="237" t="s">
        <v>304</v>
      </c>
    </row>
    <row r="44" spans="1:2">
      <c r="A44" s="236" t="s">
        <v>273</v>
      </c>
      <c r="B44" s="237" t="s">
        <v>305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30CB5-3938-FA45-BD48-1C834A0F12F1}">
  <sheetPr codeName="Sheet1"/>
  <dimension ref="A1:C342"/>
  <sheetViews>
    <sheetView tabSelected="1" topLeftCell="A218" workbookViewId="0">
      <selection activeCell="A12" sqref="A12"/>
    </sheetView>
    <sheetView workbookViewId="1"/>
  </sheetViews>
  <sheetFormatPr baseColWidth="10" defaultRowHeight="16"/>
  <cols>
    <col min="2" max="2" width="36.33203125" customWidth="1"/>
  </cols>
  <sheetData>
    <row r="1" spans="1:3">
      <c r="A1" s="20" t="s">
        <v>22</v>
      </c>
      <c r="B1" s="21" t="s">
        <v>23</v>
      </c>
      <c r="C1" s="22"/>
    </row>
    <row r="2" spans="1:3">
      <c r="A2" s="23">
        <v>1</v>
      </c>
      <c r="B2" s="24" t="s">
        <v>24</v>
      </c>
      <c r="C2" s="25"/>
    </row>
    <row r="3" spans="1:3">
      <c r="A3" s="23">
        <v>2</v>
      </c>
      <c r="B3" s="24" t="s">
        <v>25</v>
      </c>
      <c r="C3" s="25"/>
    </row>
    <row r="4" spans="1:3">
      <c r="A4" s="23">
        <v>3</v>
      </c>
      <c r="B4" s="24" t="s">
        <v>26</v>
      </c>
      <c r="C4" s="25"/>
    </row>
    <row r="5" spans="1:3">
      <c r="A5" s="23">
        <v>4</v>
      </c>
      <c r="B5" s="24" t="s">
        <v>27</v>
      </c>
      <c r="C5" s="25"/>
    </row>
    <row r="6" spans="1:3">
      <c r="A6" s="23">
        <v>5</v>
      </c>
      <c r="B6" s="24" t="s">
        <v>28</v>
      </c>
      <c r="C6" s="25"/>
    </row>
    <row r="7" spans="1:3">
      <c r="A7" s="23">
        <v>6</v>
      </c>
      <c r="B7" s="24" t="s">
        <v>29</v>
      </c>
      <c r="C7" s="25"/>
    </row>
    <row r="8" spans="1:3">
      <c r="A8" s="23">
        <v>7</v>
      </c>
      <c r="B8" s="24" t="s">
        <v>30</v>
      </c>
      <c r="C8" s="26"/>
    </row>
    <row r="9" spans="1:3">
      <c r="A9" s="23">
        <v>8</v>
      </c>
      <c r="B9" s="24" t="s">
        <v>31</v>
      </c>
      <c r="C9" s="25"/>
    </row>
    <row r="10" spans="1:3">
      <c r="A10" s="23">
        <v>9</v>
      </c>
      <c r="B10" s="24" t="s">
        <v>32</v>
      </c>
      <c r="C10" s="26"/>
    </row>
    <row r="11" spans="1:3">
      <c r="A11" s="23">
        <v>10</v>
      </c>
      <c r="B11" s="24" t="s">
        <v>33</v>
      </c>
      <c r="C11" s="26"/>
    </row>
    <row r="12" spans="1:3">
      <c r="A12" s="23">
        <v>11</v>
      </c>
      <c r="B12" s="24" t="s">
        <v>34</v>
      </c>
      <c r="C12" s="25"/>
    </row>
    <row r="13" spans="1:3">
      <c r="A13" s="23">
        <v>12</v>
      </c>
      <c r="B13" s="24" t="s">
        <v>35</v>
      </c>
      <c r="C13" s="25"/>
    </row>
    <row r="14" spans="1:3">
      <c r="A14" s="23">
        <v>13</v>
      </c>
      <c r="B14" s="24" t="s">
        <v>36</v>
      </c>
      <c r="C14" s="26"/>
    </row>
    <row r="15" spans="1:3">
      <c r="A15" s="23">
        <v>14</v>
      </c>
      <c r="B15" s="24" t="s">
        <v>37</v>
      </c>
      <c r="C15" s="26"/>
    </row>
    <row r="16" spans="1:3">
      <c r="A16" s="23">
        <v>15</v>
      </c>
      <c r="B16" s="24" t="s">
        <v>38</v>
      </c>
      <c r="C16" s="26"/>
    </row>
    <row r="17" spans="1:3">
      <c r="A17" s="23">
        <v>16</v>
      </c>
      <c r="B17" s="24" t="s">
        <v>39</v>
      </c>
      <c r="C17" s="25"/>
    </row>
    <row r="18" spans="1:3">
      <c r="A18" s="23">
        <v>17</v>
      </c>
      <c r="B18" s="24" t="s">
        <v>40</v>
      </c>
      <c r="C18" s="25"/>
    </row>
    <row r="19" spans="1:3">
      <c r="A19" s="23">
        <v>18</v>
      </c>
      <c r="B19" s="24" t="s">
        <v>41</v>
      </c>
      <c r="C19" s="25"/>
    </row>
    <row r="20" spans="1:3">
      <c r="A20" s="23">
        <v>19</v>
      </c>
      <c r="B20" s="24" t="s">
        <v>42</v>
      </c>
      <c r="C20" s="25"/>
    </row>
    <row r="21" spans="1:3">
      <c r="A21" s="23">
        <v>20</v>
      </c>
      <c r="B21" s="24" t="s">
        <v>43</v>
      </c>
      <c r="C21" s="25"/>
    </row>
    <row r="22" spans="1:3">
      <c r="A22" s="23">
        <v>21</v>
      </c>
      <c r="B22" s="24" t="s">
        <v>44</v>
      </c>
      <c r="C22" s="25"/>
    </row>
    <row r="23" spans="1:3">
      <c r="A23" s="23">
        <v>22</v>
      </c>
      <c r="B23" s="24" t="s">
        <v>45</v>
      </c>
      <c r="C23" s="25"/>
    </row>
    <row r="24" spans="1:3">
      <c r="A24" s="23">
        <v>23</v>
      </c>
      <c r="B24" s="24" t="s">
        <v>46</v>
      </c>
      <c r="C24" s="25"/>
    </row>
    <row r="25" spans="1:3">
      <c r="A25" s="23">
        <v>24</v>
      </c>
      <c r="B25" s="24" t="s">
        <v>47</v>
      </c>
      <c r="C25" s="25"/>
    </row>
    <row r="26" spans="1:3">
      <c r="A26" s="23">
        <v>25</v>
      </c>
      <c r="B26" s="24" t="s">
        <v>48</v>
      </c>
      <c r="C26" s="25"/>
    </row>
    <row r="27" spans="1:3">
      <c r="A27" s="23">
        <v>26</v>
      </c>
      <c r="B27" s="24" t="s">
        <v>49</v>
      </c>
      <c r="C27" s="25"/>
    </row>
    <row r="28" spans="1:3">
      <c r="A28" s="23">
        <v>27</v>
      </c>
      <c r="B28" s="24" t="s">
        <v>50</v>
      </c>
      <c r="C28" s="25"/>
    </row>
    <row r="29" spans="1:3">
      <c r="A29" s="23">
        <v>28</v>
      </c>
      <c r="B29" s="24" t="s">
        <v>51</v>
      </c>
      <c r="C29" s="25"/>
    </row>
    <row r="30" spans="1:3">
      <c r="A30" s="23">
        <v>29</v>
      </c>
      <c r="B30" s="24" t="s">
        <v>52</v>
      </c>
      <c r="C30" s="25"/>
    </row>
    <row r="31" spans="1:3">
      <c r="A31" s="23">
        <v>30</v>
      </c>
      <c r="B31" s="24" t="s">
        <v>53</v>
      </c>
      <c r="C31" s="25"/>
    </row>
    <row r="32" spans="1:3">
      <c r="A32" s="23">
        <v>31</v>
      </c>
      <c r="B32" s="24" t="s">
        <v>54</v>
      </c>
      <c r="C32" s="25"/>
    </row>
    <row r="33" spans="1:3">
      <c r="A33" s="23">
        <v>32</v>
      </c>
      <c r="B33" s="24" t="s">
        <v>55</v>
      </c>
      <c r="C33" s="25"/>
    </row>
    <row r="34" spans="1:3">
      <c r="A34" s="23">
        <v>33</v>
      </c>
      <c r="B34" s="24" t="s">
        <v>56</v>
      </c>
      <c r="C34" s="25"/>
    </row>
    <row r="35" spans="1:3">
      <c r="A35" s="23">
        <v>34</v>
      </c>
      <c r="B35" s="24" t="s">
        <v>57</v>
      </c>
      <c r="C35" s="25"/>
    </row>
    <row r="36" spans="1:3">
      <c r="A36" s="23">
        <v>35</v>
      </c>
      <c r="B36" s="24" t="s">
        <v>58</v>
      </c>
      <c r="C36" s="25"/>
    </row>
    <row r="37" spans="1:3">
      <c r="A37" s="23">
        <v>36</v>
      </c>
      <c r="B37" s="24" t="s">
        <v>59</v>
      </c>
      <c r="C37" s="25"/>
    </row>
    <row r="38" spans="1:3">
      <c r="A38" s="23">
        <v>37</v>
      </c>
      <c r="B38" s="24" t="s">
        <v>60</v>
      </c>
      <c r="C38" s="25"/>
    </row>
    <row r="39" spans="1:3">
      <c r="A39" s="23">
        <v>38</v>
      </c>
      <c r="B39" s="24" t="s">
        <v>61</v>
      </c>
      <c r="C39" s="25"/>
    </row>
    <row r="40" spans="1:3">
      <c r="A40" s="23">
        <v>39</v>
      </c>
      <c r="B40" s="24" t="s">
        <v>62</v>
      </c>
      <c r="C40" s="25"/>
    </row>
    <row r="41" spans="1:3">
      <c r="A41" s="23">
        <v>40</v>
      </c>
      <c r="B41" s="24" t="s">
        <v>63</v>
      </c>
      <c r="C41" s="25"/>
    </row>
    <row r="42" spans="1:3">
      <c r="A42" s="23">
        <v>41</v>
      </c>
      <c r="B42" s="24" t="s">
        <v>64</v>
      </c>
      <c r="C42" s="25"/>
    </row>
    <row r="43" spans="1:3">
      <c r="A43" s="23">
        <v>42</v>
      </c>
      <c r="B43" s="24" t="s">
        <v>65</v>
      </c>
      <c r="C43" s="25"/>
    </row>
    <row r="44" spans="1:3">
      <c r="A44" s="23">
        <v>43</v>
      </c>
      <c r="B44" s="24" t="s">
        <v>66</v>
      </c>
      <c r="C44" s="25"/>
    </row>
    <row r="45" spans="1:3">
      <c r="A45" s="23">
        <v>44</v>
      </c>
      <c r="B45" s="24" t="s">
        <v>67</v>
      </c>
      <c r="C45" s="25"/>
    </row>
    <row r="46" spans="1:3">
      <c r="A46" s="23">
        <v>45</v>
      </c>
      <c r="B46" s="24" t="s">
        <v>68</v>
      </c>
      <c r="C46" s="25"/>
    </row>
    <row r="47" spans="1:3">
      <c r="A47" s="23">
        <v>46</v>
      </c>
      <c r="B47" s="24" t="s">
        <v>68</v>
      </c>
      <c r="C47" s="26"/>
    </row>
    <row r="48" spans="1:3">
      <c r="A48" s="23">
        <v>47</v>
      </c>
      <c r="B48" s="24" t="s">
        <v>69</v>
      </c>
      <c r="C48" s="26"/>
    </row>
    <row r="49" spans="1:3">
      <c r="A49" s="23">
        <v>48</v>
      </c>
      <c r="B49" s="24" t="s">
        <v>70</v>
      </c>
      <c r="C49" s="22"/>
    </row>
    <row r="50" spans="1:3">
      <c r="A50" s="23">
        <v>49</v>
      </c>
      <c r="B50" s="24" t="s">
        <v>70</v>
      </c>
      <c r="C50" s="22"/>
    </row>
    <row r="51" spans="1:3">
      <c r="A51" s="23">
        <v>50</v>
      </c>
      <c r="B51" s="24"/>
      <c r="C51" s="22"/>
    </row>
    <row r="52" spans="1:3">
      <c r="A52" s="23">
        <v>51</v>
      </c>
      <c r="B52" s="24" t="s">
        <v>24</v>
      </c>
      <c r="C52" s="25"/>
    </row>
    <row r="53" spans="1:3">
      <c r="A53" s="23">
        <v>52</v>
      </c>
      <c r="B53" s="24" t="s">
        <v>25</v>
      </c>
      <c r="C53" s="25"/>
    </row>
    <row r="54" spans="1:3">
      <c r="A54" s="23">
        <v>53</v>
      </c>
      <c r="B54" s="24" t="s">
        <v>26</v>
      </c>
      <c r="C54" s="25"/>
    </row>
    <row r="55" spans="1:3">
      <c r="A55" s="23">
        <v>54</v>
      </c>
      <c r="B55" s="24" t="s">
        <v>27</v>
      </c>
      <c r="C55" s="25"/>
    </row>
    <row r="56" spans="1:3">
      <c r="A56" s="23">
        <v>55</v>
      </c>
      <c r="B56" s="24" t="s">
        <v>28</v>
      </c>
      <c r="C56" s="25"/>
    </row>
    <row r="57" spans="1:3">
      <c r="A57" s="23">
        <v>56</v>
      </c>
      <c r="B57" s="24" t="s">
        <v>29</v>
      </c>
      <c r="C57" s="25"/>
    </row>
    <row r="58" spans="1:3">
      <c r="A58" s="23">
        <v>57</v>
      </c>
      <c r="B58" s="24" t="s">
        <v>30</v>
      </c>
      <c r="C58" s="26"/>
    </row>
    <row r="59" spans="1:3">
      <c r="A59" s="23">
        <v>58</v>
      </c>
      <c r="B59" s="24" t="s">
        <v>31</v>
      </c>
      <c r="C59" s="25"/>
    </row>
    <row r="60" spans="1:3">
      <c r="A60" s="23">
        <v>59</v>
      </c>
      <c r="B60" s="24" t="s">
        <v>71</v>
      </c>
      <c r="C60" s="26"/>
    </row>
    <row r="61" spans="1:3">
      <c r="A61" s="23">
        <v>60</v>
      </c>
      <c r="B61" s="24" t="s">
        <v>33</v>
      </c>
      <c r="C61" s="26"/>
    </row>
    <row r="62" spans="1:3">
      <c r="A62" s="23">
        <v>61</v>
      </c>
      <c r="B62" s="24" t="s">
        <v>34</v>
      </c>
      <c r="C62" s="25"/>
    </row>
    <row r="63" spans="1:3">
      <c r="A63" s="23">
        <v>62</v>
      </c>
      <c r="B63" s="24" t="s">
        <v>35</v>
      </c>
      <c r="C63" s="25"/>
    </row>
    <row r="64" spans="1:3">
      <c r="A64" s="23">
        <v>63</v>
      </c>
      <c r="B64" s="24" t="s">
        <v>36</v>
      </c>
      <c r="C64" s="26"/>
    </row>
    <row r="65" spans="1:3">
      <c r="A65" s="23">
        <v>64</v>
      </c>
      <c r="B65" s="24" t="s">
        <v>72</v>
      </c>
      <c r="C65" s="26"/>
    </row>
    <row r="66" spans="1:3">
      <c r="A66" s="23">
        <v>65</v>
      </c>
      <c r="B66" s="24" t="s">
        <v>38</v>
      </c>
      <c r="C66" s="26"/>
    </row>
    <row r="67" spans="1:3">
      <c r="A67" s="23">
        <v>66</v>
      </c>
      <c r="B67" s="24" t="s">
        <v>39</v>
      </c>
      <c r="C67" s="25"/>
    </row>
    <row r="68" spans="1:3">
      <c r="A68" s="23">
        <v>67</v>
      </c>
      <c r="B68" s="24" t="s">
        <v>40</v>
      </c>
      <c r="C68" s="25"/>
    </row>
    <row r="69" spans="1:3">
      <c r="A69" s="23">
        <v>68</v>
      </c>
      <c r="B69" s="24" t="s">
        <v>41</v>
      </c>
      <c r="C69" s="25"/>
    </row>
    <row r="70" spans="1:3">
      <c r="A70" s="23">
        <v>69</v>
      </c>
      <c r="B70" s="24" t="s">
        <v>73</v>
      </c>
      <c r="C70" s="25"/>
    </row>
    <row r="71" spans="1:3">
      <c r="A71" s="23">
        <v>70</v>
      </c>
      <c r="B71" s="24" t="s">
        <v>74</v>
      </c>
      <c r="C71" s="25"/>
    </row>
    <row r="72" spans="1:3">
      <c r="A72" s="23">
        <v>71</v>
      </c>
      <c r="B72" s="24" t="s">
        <v>44</v>
      </c>
      <c r="C72" s="25"/>
    </row>
    <row r="73" spans="1:3">
      <c r="A73" s="23">
        <v>72</v>
      </c>
      <c r="B73" s="24" t="s">
        <v>45</v>
      </c>
      <c r="C73" s="25"/>
    </row>
    <row r="74" spans="1:3">
      <c r="A74" s="23">
        <v>73</v>
      </c>
      <c r="B74" s="24" t="s">
        <v>75</v>
      </c>
      <c r="C74" s="25"/>
    </row>
    <row r="75" spans="1:3">
      <c r="A75" s="23">
        <v>74</v>
      </c>
      <c r="B75" s="24" t="s">
        <v>76</v>
      </c>
      <c r="C75" s="25"/>
    </row>
    <row r="76" spans="1:3">
      <c r="A76" s="23">
        <v>75</v>
      </c>
      <c r="B76" s="24" t="s">
        <v>48</v>
      </c>
      <c r="C76" s="25"/>
    </row>
    <row r="77" spans="1:3">
      <c r="A77" s="23">
        <v>76</v>
      </c>
      <c r="B77" s="24" t="s">
        <v>49</v>
      </c>
      <c r="C77" s="25"/>
    </row>
    <row r="78" spans="1:3">
      <c r="A78" s="23">
        <v>77</v>
      </c>
      <c r="B78" s="24" t="s">
        <v>50</v>
      </c>
      <c r="C78" s="25"/>
    </row>
    <row r="79" spans="1:3">
      <c r="A79" s="23">
        <v>78</v>
      </c>
      <c r="B79" s="24" t="s">
        <v>51</v>
      </c>
      <c r="C79" s="25"/>
    </row>
    <row r="80" spans="1:3">
      <c r="A80" s="23">
        <v>79</v>
      </c>
      <c r="B80" s="24" t="s">
        <v>77</v>
      </c>
      <c r="C80" s="25"/>
    </row>
    <row r="81" spans="1:3">
      <c r="A81" s="23">
        <v>80</v>
      </c>
      <c r="B81" s="24" t="s">
        <v>53</v>
      </c>
      <c r="C81" s="25"/>
    </row>
    <row r="82" spans="1:3">
      <c r="A82" s="23">
        <v>81</v>
      </c>
      <c r="B82" s="24" t="s">
        <v>54</v>
      </c>
      <c r="C82" s="25"/>
    </row>
    <row r="83" spans="1:3">
      <c r="A83" s="23">
        <v>82</v>
      </c>
      <c r="B83" s="24" t="s">
        <v>78</v>
      </c>
      <c r="C83" s="25"/>
    </row>
    <row r="84" spans="1:3">
      <c r="A84" s="23">
        <v>83</v>
      </c>
      <c r="B84" s="24" t="s">
        <v>56</v>
      </c>
      <c r="C84" s="25"/>
    </row>
    <row r="85" spans="1:3">
      <c r="A85" s="23">
        <v>84</v>
      </c>
      <c r="B85" s="24" t="s">
        <v>52</v>
      </c>
      <c r="C85" s="25"/>
    </row>
    <row r="86" spans="1:3">
      <c r="A86" s="23">
        <v>85</v>
      </c>
      <c r="B86" s="24" t="s">
        <v>58</v>
      </c>
      <c r="C86" s="25"/>
    </row>
    <row r="87" spans="1:3">
      <c r="A87" s="23">
        <v>86</v>
      </c>
      <c r="B87" s="24" t="s">
        <v>59</v>
      </c>
      <c r="C87" s="25"/>
    </row>
    <row r="88" spans="1:3">
      <c r="A88" s="23">
        <v>87</v>
      </c>
      <c r="B88" s="24" t="s">
        <v>60</v>
      </c>
      <c r="C88" s="25"/>
    </row>
    <row r="89" spans="1:3">
      <c r="A89" s="23">
        <v>88</v>
      </c>
      <c r="B89" s="24" t="s">
        <v>61</v>
      </c>
      <c r="C89" s="25"/>
    </row>
    <row r="90" spans="1:3">
      <c r="A90" s="23">
        <v>89</v>
      </c>
      <c r="B90" s="24" t="s">
        <v>62</v>
      </c>
      <c r="C90" s="25"/>
    </row>
    <row r="91" spans="1:3">
      <c r="A91" s="23">
        <v>90</v>
      </c>
      <c r="B91" s="24" t="s">
        <v>63</v>
      </c>
      <c r="C91" s="25"/>
    </row>
    <row r="92" spans="1:3">
      <c r="A92" s="23">
        <v>91</v>
      </c>
      <c r="B92" s="24" t="s">
        <v>79</v>
      </c>
      <c r="C92" s="25"/>
    </row>
    <row r="93" spans="1:3">
      <c r="A93" s="23">
        <v>92</v>
      </c>
      <c r="B93" s="24" t="s">
        <v>64</v>
      </c>
      <c r="C93" s="25"/>
    </row>
    <row r="94" spans="1:3">
      <c r="A94" s="23">
        <v>93</v>
      </c>
      <c r="B94" s="24" t="s">
        <v>65</v>
      </c>
      <c r="C94" s="25"/>
    </row>
    <row r="95" spans="1:3">
      <c r="A95" s="23">
        <v>94</v>
      </c>
      <c r="B95" s="24" t="s">
        <v>80</v>
      </c>
      <c r="C95" s="25"/>
    </row>
    <row r="96" spans="1:3">
      <c r="A96" s="23">
        <v>95</v>
      </c>
      <c r="B96" s="24" t="s">
        <v>68</v>
      </c>
      <c r="C96" s="25"/>
    </row>
    <row r="97" spans="1:3">
      <c r="A97" s="23">
        <v>96</v>
      </c>
      <c r="B97" s="24" t="s">
        <v>68</v>
      </c>
      <c r="C97" s="26"/>
    </row>
    <row r="98" spans="1:3">
      <c r="A98" s="23">
        <v>97</v>
      </c>
      <c r="B98" s="24" t="s">
        <v>69</v>
      </c>
      <c r="C98" s="26"/>
    </row>
    <row r="99" spans="1:3">
      <c r="A99" s="23">
        <v>98</v>
      </c>
      <c r="B99" s="24" t="s">
        <v>70</v>
      </c>
      <c r="C99" s="26"/>
    </row>
    <row r="100" spans="1:3">
      <c r="A100" s="23">
        <v>99</v>
      </c>
      <c r="B100" s="24" t="s">
        <v>70</v>
      </c>
      <c r="C100" s="26"/>
    </row>
    <row r="101" spans="1:3">
      <c r="A101" s="23">
        <v>100</v>
      </c>
      <c r="B101" s="24" t="s">
        <v>81</v>
      </c>
      <c r="C101" s="22"/>
    </row>
    <row r="102" spans="1:3">
      <c r="A102" s="20" t="s">
        <v>82</v>
      </c>
      <c r="B102" s="21" t="s">
        <v>83</v>
      </c>
      <c r="C102" s="22"/>
    </row>
    <row r="103" spans="1:3">
      <c r="A103" s="27">
        <v>101</v>
      </c>
      <c r="B103" s="24" t="s">
        <v>84</v>
      </c>
      <c r="C103" s="26"/>
    </row>
    <row r="104" spans="1:3">
      <c r="A104" s="27">
        <v>102</v>
      </c>
      <c r="B104" s="24" t="s">
        <v>260</v>
      </c>
      <c r="C104" s="28"/>
    </row>
    <row r="105" spans="1:3">
      <c r="A105" s="27">
        <v>103</v>
      </c>
      <c r="B105" s="29" t="s">
        <v>85</v>
      </c>
      <c r="C105" s="30"/>
    </row>
    <row r="106" spans="1:3">
      <c r="A106" s="27">
        <v>104</v>
      </c>
      <c r="B106" s="29" t="s">
        <v>86</v>
      </c>
      <c r="C106" s="30"/>
    </row>
    <row r="107" spans="1:3">
      <c r="A107" s="27">
        <v>105</v>
      </c>
      <c r="B107" s="29" t="s">
        <v>87</v>
      </c>
      <c r="C107" s="30"/>
    </row>
    <row r="108" spans="1:3">
      <c r="A108" s="27">
        <v>106</v>
      </c>
      <c r="B108" s="29" t="s">
        <v>88</v>
      </c>
      <c r="C108" s="30"/>
    </row>
    <row r="109" spans="1:3">
      <c r="A109" s="27">
        <v>107</v>
      </c>
      <c r="B109" s="29" t="s">
        <v>89</v>
      </c>
      <c r="C109" s="30"/>
    </row>
    <row r="110" spans="1:3">
      <c r="A110" s="27">
        <v>108</v>
      </c>
      <c r="B110" s="29" t="s">
        <v>90</v>
      </c>
      <c r="C110" s="30"/>
    </row>
    <row r="111" spans="1:3">
      <c r="A111" s="27">
        <v>109</v>
      </c>
      <c r="B111" s="29" t="s">
        <v>91</v>
      </c>
      <c r="C111" s="30"/>
    </row>
    <row r="112" spans="1:3">
      <c r="A112" s="27">
        <v>110</v>
      </c>
      <c r="B112" s="29" t="s">
        <v>92</v>
      </c>
      <c r="C112" s="28"/>
    </row>
    <row r="113" spans="1:3">
      <c r="A113" s="27">
        <v>111</v>
      </c>
      <c r="B113" s="29" t="s">
        <v>93</v>
      </c>
      <c r="C113" s="30"/>
    </row>
    <row r="114" spans="1:3">
      <c r="A114" s="27">
        <v>112</v>
      </c>
      <c r="B114" s="29" t="s">
        <v>94</v>
      </c>
      <c r="C114" s="30"/>
    </row>
    <row r="115" spans="1:3">
      <c r="A115" s="27">
        <v>113</v>
      </c>
      <c r="B115" s="29" t="s">
        <v>95</v>
      </c>
      <c r="C115" s="30"/>
    </row>
    <row r="116" spans="1:3">
      <c r="A116" s="20" t="s">
        <v>96</v>
      </c>
      <c r="B116" s="31" t="s">
        <v>97</v>
      </c>
      <c r="C116" s="32"/>
    </row>
    <row r="117" spans="1:3">
      <c r="A117" s="23">
        <v>114</v>
      </c>
      <c r="B117" s="24" t="s">
        <v>98</v>
      </c>
      <c r="C117" s="26"/>
    </row>
    <row r="118" spans="1:3">
      <c r="A118" s="23">
        <v>115</v>
      </c>
      <c r="B118" s="24" t="s">
        <v>99</v>
      </c>
      <c r="C118" s="26"/>
    </row>
    <row r="119" spans="1:3">
      <c r="A119" s="23">
        <v>116</v>
      </c>
      <c r="B119" s="24" t="s">
        <v>100</v>
      </c>
      <c r="C119" s="28"/>
    </row>
    <row r="120" spans="1:3">
      <c r="A120" s="23">
        <v>117</v>
      </c>
      <c r="B120" s="24" t="s">
        <v>101</v>
      </c>
      <c r="C120" s="26"/>
    </row>
    <row r="121" spans="1:3">
      <c r="A121" s="23">
        <v>118</v>
      </c>
      <c r="B121" s="24" t="s">
        <v>102</v>
      </c>
      <c r="C121" s="26"/>
    </row>
    <row r="122" spans="1:3">
      <c r="A122" s="23">
        <v>119</v>
      </c>
      <c r="B122" s="24" t="s">
        <v>103</v>
      </c>
      <c r="C122" s="26"/>
    </row>
    <row r="123" spans="1:3">
      <c r="A123" s="23">
        <v>120</v>
      </c>
      <c r="B123" s="24" t="s">
        <v>104</v>
      </c>
      <c r="C123" s="26"/>
    </row>
    <row r="124" spans="1:3">
      <c r="A124" s="23">
        <v>121</v>
      </c>
      <c r="B124" s="24" t="s">
        <v>105</v>
      </c>
      <c r="C124" s="26"/>
    </row>
    <row r="125" spans="1:3">
      <c r="A125" s="23">
        <v>122</v>
      </c>
      <c r="B125" s="24" t="s">
        <v>106</v>
      </c>
      <c r="C125" s="26"/>
    </row>
    <row r="126" spans="1:3">
      <c r="A126" s="23">
        <v>123</v>
      </c>
      <c r="B126" s="24" t="s">
        <v>107</v>
      </c>
      <c r="C126" s="26"/>
    </row>
    <row r="127" spans="1:3">
      <c r="A127" s="23">
        <v>124</v>
      </c>
      <c r="B127" s="24" t="s">
        <v>108</v>
      </c>
      <c r="C127" s="26"/>
    </row>
    <row r="128" spans="1:3">
      <c r="A128" s="23">
        <v>125</v>
      </c>
      <c r="B128" s="24" t="s">
        <v>109</v>
      </c>
      <c r="C128" s="26"/>
    </row>
    <row r="129" spans="1:3">
      <c r="A129" s="23">
        <v>126</v>
      </c>
      <c r="B129" s="24" t="s">
        <v>110</v>
      </c>
      <c r="C129" s="26"/>
    </row>
    <row r="130" spans="1:3">
      <c r="A130" s="23">
        <v>127</v>
      </c>
      <c r="B130" s="24" t="s">
        <v>111</v>
      </c>
      <c r="C130" s="26"/>
    </row>
    <row r="131" spans="1:3">
      <c r="A131" s="23">
        <v>128</v>
      </c>
      <c r="B131" s="24" t="s">
        <v>259</v>
      </c>
      <c r="C131" s="26"/>
    </row>
    <row r="132" spans="1:3">
      <c r="A132" s="23">
        <v>129</v>
      </c>
      <c r="B132" s="24" t="s">
        <v>112</v>
      </c>
      <c r="C132" s="26"/>
    </row>
    <row r="133" spans="1:3">
      <c r="A133" s="23">
        <v>130</v>
      </c>
      <c r="B133" s="24" t="s">
        <v>113</v>
      </c>
      <c r="C133" s="26"/>
    </row>
    <row r="134" spans="1:3">
      <c r="A134" s="23">
        <v>131</v>
      </c>
      <c r="B134" s="24" t="s">
        <v>114</v>
      </c>
      <c r="C134" s="26"/>
    </row>
    <row r="135" spans="1:3">
      <c r="A135" s="23">
        <v>132</v>
      </c>
      <c r="B135" s="24" t="s">
        <v>115</v>
      </c>
      <c r="C135" s="26"/>
    </row>
    <row r="136" spans="1:3">
      <c r="A136" s="23">
        <v>133</v>
      </c>
      <c r="B136" s="24" t="s">
        <v>258</v>
      </c>
      <c r="C136" s="26"/>
    </row>
    <row r="137" spans="1:3">
      <c r="A137" s="23">
        <v>134</v>
      </c>
      <c r="B137" s="24" t="s">
        <v>116</v>
      </c>
      <c r="C137" s="28"/>
    </row>
    <row r="138" spans="1:3">
      <c r="A138" s="23">
        <v>135</v>
      </c>
      <c r="B138" s="24" t="s">
        <v>117</v>
      </c>
      <c r="C138" s="26"/>
    </row>
    <row r="139" spans="1:3">
      <c r="A139" s="23">
        <v>136</v>
      </c>
      <c r="B139" s="24" t="s">
        <v>118</v>
      </c>
      <c r="C139" s="26"/>
    </row>
    <row r="140" spans="1:3">
      <c r="A140" s="23">
        <v>137</v>
      </c>
      <c r="B140" s="24" t="s">
        <v>119</v>
      </c>
      <c r="C140" s="26"/>
    </row>
    <row r="141" spans="1:3">
      <c r="A141" s="23">
        <v>138</v>
      </c>
      <c r="B141" s="24" t="s">
        <v>120</v>
      </c>
      <c r="C141" s="26"/>
    </row>
    <row r="142" spans="1:3">
      <c r="A142" s="23">
        <v>139</v>
      </c>
      <c r="B142" s="24" t="s">
        <v>65</v>
      </c>
      <c r="C142" s="26"/>
    </row>
    <row r="143" spans="1:3">
      <c r="A143" s="20" t="s">
        <v>121</v>
      </c>
      <c r="B143" s="31" t="s">
        <v>122</v>
      </c>
      <c r="C143" s="22"/>
    </row>
    <row r="144" spans="1:3">
      <c r="A144" s="23">
        <v>140</v>
      </c>
      <c r="B144" s="24" t="s">
        <v>123</v>
      </c>
      <c r="C144" s="33"/>
    </row>
    <row r="145" spans="1:3">
      <c r="A145" s="23">
        <v>141</v>
      </c>
      <c r="B145" s="24" t="s">
        <v>124</v>
      </c>
      <c r="C145" s="34"/>
    </row>
    <row r="146" spans="1:3">
      <c r="A146" s="23">
        <v>142</v>
      </c>
      <c r="B146" s="24" t="s">
        <v>125</v>
      </c>
      <c r="C146" s="35"/>
    </row>
    <row r="147" spans="1:3">
      <c r="A147" s="23">
        <v>143</v>
      </c>
      <c r="B147" s="24" t="s">
        <v>125</v>
      </c>
      <c r="C147" s="33"/>
    </row>
    <row r="148" spans="1:3">
      <c r="A148" s="23">
        <v>144</v>
      </c>
      <c r="B148" s="24" t="s">
        <v>125</v>
      </c>
      <c r="C148" s="34"/>
    </row>
    <row r="149" spans="1:3">
      <c r="A149" s="23">
        <v>145</v>
      </c>
      <c r="B149" s="24" t="s">
        <v>126</v>
      </c>
      <c r="C149" s="35"/>
    </row>
    <row r="150" spans="1:3">
      <c r="A150" s="23">
        <v>146</v>
      </c>
      <c r="B150" s="24" t="s">
        <v>126</v>
      </c>
      <c r="C150" s="33"/>
    </row>
    <row r="151" spans="1:3">
      <c r="A151" s="23">
        <v>147</v>
      </c>
      <c r="B151" s="24" t="s">
        <v>127</v>
      </c>
      <c r="C151" s="34"/>
    </row>
    <row r="152" spans="1:3">
      <c r="A152" s="23">
        <v>148</v>
      </c>
      <c r="B152" s="24" t="s">
        <v>128</v>
      </c>
      <c r="C152" s="35"/>
    </row>
    <row r="153" spans="1:3">
      <c r="A153" s="23">
        <v>149</v>
      </c>
      <c r="B153" s="24" t="s">
        <v>129</v>
      </c>
      <c r="C153" s="33"/>
    </row>
    <row r="154" spans="1:3">
      <c r="A154" s="23">
        <v>150</v>
      </c>
      <c r="B154" s="24"/>
      <c r="C154" s="34"/>
    </row>
    <row r="155" spans="1:3">
      <c r="A155" s="20" t="s">
        <v>130</v>
      </c>
      <c r="B155" s="21" t="s">
        <v>131</v>
      </c>
      <c r="C155" s="36"/>
    </row>
    <row r="156" spans="1:3">
      <c r="A156" s="23">
        <v>151</v>
      </c>
      <c r="B156" s="24" t="s">
        <v>132</v>
      </c>
      <c r="C156" s="37"/>
    </row>
    <row r="157" spans="1:3">
      <c r="A157" s="23">
        <v>152</v>
      </c>
      <c r="B157" s="24" t="s">
        <v>133</v>
      </c>
      <c r="C157" s="37"/>
    </row>
    <row r="158" spans="1:3">
      <c r="A158" s="23">
        <v>153</v>
      </c>
      <c r="B158" s="24" t="s">
        <v>134</v>
      </c>
      <c r="C158" s="37"/>
    </row>
    <row r="159" spans="1:3">
      <c r="A159" s="23">
        <v>154</v>
      </c>
      <c r="B159" s="24" t="s">
        <v>135</v>
      </c>
      <c r="C159" s="37"/>
    </row>
    <row r="160" spans="1:3">
      <c r="A160" s="23">
        <v>155</v>
      </c>
      <c r="B160" s="24" t="s">
        <v>136</v>
      </c>
      <c r="C160" s="37"/>
    </row>
    <row r="161" spans="1:3">
      <c r="A161" s="23">
        <v>156</v>
      </c>
      <c r="B161" s="24" t="s">
        <v>137</v>
      </c>
      <c r="C161" s="37"/>
    </row>
    <row r="162" spans="1:3">
      <c r="A162" s="23">
        <v>157</v>
      </c>
      <c r="B162" s="24" t="s">
        <v>138</v>
      </c>
      <c r="C162" s="37"/>
    </row>
    <row r="163" spans="1:3">
      <c r="A163" s="23">
        <v>158</v>
      </c>
      <c r="B163" s="24" t="s">
        <v>139</v>
      </c>
      <c r="C163" s="37"/>
    </row>
    <row r="164" spans="1:3">
      <c r="A164" s="23">
        <v>159</v>
      </c>
      <c r="B164" s="24" t="s">
        <v>140</v>
      </c>
      <c r="C164" s="37"/>
    </row>
    <row r="165" spans="1:3">
      <c r="A165" s="23">
        <v>160</v>
      </c>
      <c r="B165" s="24" t="s">
        <v>141</v>
      </c>
      <c r="C165" s="37"/>
    </row>
    <row r="166" spans="1:3">
      <c r="A166" s="23">
        <v>161</v>
      </c>
      <c r="B166" s="24" t="s">
        <v>142</v>
      </c>
      <c r="C166" s="37"/>
    </row>
    <row r="167" spans="1:3">
      <c r="A167" s="23">
        <v>162</v>
      </c>
      <c r="B167" s="24" t="s">
        <v>143</v>
      </c>
      <c r="C167" s="37"/>
    </row>
    <row r="168" spans="1:3">
      <c r="A168" s="23">
        <v>163</v>
      </c>
      <c r="B168" s="24"/>
      <c r="C168" s="37"/>
    </row>
    <row r="169" spans="1:3">
      <c r="A169" s="23">
        <v>164</v>
      </c>
      <c r="B169" s="24"/>
      <c r="C169" s="38"/>
    </row>
    <row r="170" spans="1:3">
      <c r="A170" s="23">
        <v>165</v>
      </c>
      <c r="B170" s="24"/>
      <c r="C170" s="39"/>
    </row>
    <row r="171" spans="1:3">
      <c r="A171" s="23">
        <v>166</v>
      </c>
      <c r="B171" s="24"/>
      <c r="C171" s="38"/>
    </row>
    <row r="172" spans="1:3">
      <c r="A172" s="23">
        <v>167</v>
      </c>
      <c r="B172" s="24"/>
      <c r="C172" s="39"/>
    </row>
    <row r="173" spans="1:3">
      <c r="A173" s="40" t="s">
        <v>144</v>
      </c>
      <c r="B173" s="41" t="s">
        <v>145</v>
      </c>
      <c r="C173" s="39"/>
    </row>
    <row r="174" spans="1:3">
      <c r="A174" s="23">
        <v>168</v>
      </c>
      <c r="B174" s="24" t="s">
        <v>146</v>
      </c>
      <c r="C174" s="42"/>
    </row>
    <row r="175" spans="1:3">
      <c r="A175" s="23">
        <v>169</v>
      </c>
      <c r="B175" s="43" t="s">
        <v>147</v>
      </c>
      <c r="C175" s="42"/>
    </row>
    <row r="176" spans="1:3">
      <c r="A176" s="23">
        <v>170</v>
      </c>
      <c r="B176" s="43" t="s">
        <v>148</v>
      </c>
      <c r="C176" s="42"/>
    </row>
    <row r="177" spans="1:3">
      <c r="A177" s="23">
        <v>171</v>
      </c>
      <c r="B177" s="43" t="s">
        <v>149</v>
      </c>
      <c r="C177" s="42"/>
    </row>
    <row r="178" spans="1:3">
      <c r="A178" s="23">
        <v>172</v>
      </c>
      <c r="B178" s="43" t="s">
        <v>150</v>
      </c>
      <c r="C178" s="42"/>
    </row>
    <row r="179" spans="1:3">
      <c r="A179" s="23">
        <v>173</v>
      </c>
      <c r="B179" s="43" t="s">
        <v>151</v>
      </c>
      <c r="C179" s="42"/>
    </row>
    <row r="180" spans="1:3">
      <c r="A180" s="23">
        <v>174</v>
      </c>
      <c r="B180" s="43" t="s">
        <v>151</v>
      </c>
      <c r="C180" s="42"/>
    </row>
    <row r="181" spans="1:3">
      <c r="A181" s="23">
        <v>175</v>
      </c>
      <c r="B181" s="43" t="s">
        <v>152</v>
      </c>
      <c r="C181" s="42"/>
    </row>
    <row r="182" spans="1:3">
      <c r="A182" s="23">
        <v>176</v>
      </c>
      <c r="B182" s="43" t="s">
        <v>153</v>
      </c>
      <c r="C182" s="42"/>
    </row>
    <row r="183" spans="1:3">
      <c r="A183" s="23">
        <v>177</v>
      </c>
      <c r="B183" s="43" t="s">
        <v>154</v>
      </c>
      <c r="C183" s="42"/>
    </row>
    <row r="184" spans="1:3">
      <c r="A184" s="23">
        <v>178</v>
      </c>
      <c r="B184" s="43" t="s">
        <v>155</v>
      </c>
      <c r="C184" s="32"/>
    </row>
    <row r="185" spans="1:3">
      <c r="A185" s="23">
        <v>179</v>
      </c>
      <c r="B185" s="43" t="s">
        <v>156</v>
      </c>
      <c r="C185" s="32"/>
    </row>
    <row r="186" spans="1:3">
      <c r="A186" s="23">
        <v>180</v>
      </c>
      <c r="B186" s="43" t="s">
        <v>157</v>
      </c>
      <c r="C186" s="32"/>
    </row>
    <row r="187" spans="1:3">
      <c r="A187" s="20" t="s">
        <v>158</v>
      </c>
      <c r="B187" s="31" t="s">
        <v>159</v>
      </c>
      <c r="C187" s="32"/>
    </row>
    <row r="188" spans="1:3">
      <c r="A188" s="23">
        <v>181</v>
      </c>
      <c r="B188" s="24" t="s">
        <v>160</v>
      </c>
      <c r="C188" s="44"/>
    </row>
    <row r="189" spans="1:3">
      <c r="A189" s="23">
        <v>182</v>
      </c>
      <c r="B189" s="24" t="s">
        <v>161</v>
      </c>
      <c r="C189" s="44"/>
    </row>
    <row r="190" spans="1:3">
      <c r="A190" s="23">
        <v>183</v>
      </c>
      <c r="B190" s="24" t="s">
        <v>162</v>
      </c>
      <c r="C190" s="44"/>
    </row>
    <row r="191" spans="1:3">
      <c r="A191" s="23">
        <v>184</v>
      </c>
      <c r="B191" s="24" t="s">
        <v>163</v>
      </c>
      <c r="C191" s="44"/>
    </row>
    <row r="192" spans="1:3">
      <c r="A192" s="23">
        <v>185</v>
      </c>
      <c r="B192" s="24" t="s">
        <v>164</v>
      </c>
      <c r="C192" s="44"/>
    </row>
    <row r="193" spans="1:3">
      <c r="A193" s="23">
        <v>186</v>
      </c>
      <c r="B193" s="24" t="s">
        <v>165</v>
      </c>
      <c r="C193" s="42"/>
    </row>
    <row r="194" spans="1:3">
      <c r="A194" s="23">
        <v>187</v>
      </c>
      <c r="B194" s="24" t="s">
        <v>166</v>
      </c>
      <c r="C194" s="42"/>
    </row>
    <row r="195" spans="1:3">
      <c r="A195" s="23">
        <v>188</v>
      </c>
      <c r="B195" s="24" t="s">
        <v>167</v>
      </c>
      <c r="C195" s="42"/>
    </row>
    <row r="196" spans="1:3">
      <c r="A196" s="23">
        <v>189</v>
      </c>
      <c r="B196" s="24" t="s">
        <v>168</v>
      </c>
      <c r="C196" s="42"/>
    </row>
    <row r="197" spans="1:3">
      <c r="A197" s="23">
        <v>190</v>
      </c>
      <c r="B197" s="24" t="s">
        <v>169</v>
      </c>
      <c r="C197" s="42"/>
    </row>
    <row r="198" spans="1:3">
      <c r="A198" s="23">
        <v>191</v>
      </c>
      <c r="B198" s="24" t="s">
        <v>170</v>
      </c>
      <c r="C198" s="32"/>
    </row>
    <row r="199" spans="1:3">
      <c r="A199" s="23">
        <v>192</v>
      </c>
      <c r="B199" s="24" t="s">
        <v>171</v>
      </c>
      <c r="C199" s="32"/>
    </row>
    <row r="200" spans="1:3">
      <c r="A200" s="20" t="s">
        <v>172</v>
      </c>
      <c r="B200" s="21" t="s">
        <v>173</v>
      </c>
      <c r="C200" s="32"/>
    </row>
    <row r="201" spans="1:3">
      <c r="A201" s="45">
        <v>193</v>
      </c>
      <c r="B201" s="24" t="s">
        <v>174</v>
      </c>
      <c r="C201" s="42"/>
    </row>
    <row r="202" spans="1:3">
      <c r="A202" s="45">
        <v>194</v>
      </c>
      <c r="B202" s="24" t="s">
        <v>175</v>
      </c>
      <c r="C202" s="42"/>
    </row>
    <row r="203" spans="1:3">
      <c r="A203" s="45">
        <v>195</v>
      </c>
      <c r="B203" s="24" t="s">
        <v>176</v>
      </c>
      <c r="C203" s="42"/>
    </row>
    <row r="204" spans="1:3">
      <c r="A204" s="45">
        <v>196</v>
      </c>
      <c r="B204" s="24" t="s">
        <v>177</v>
      </c>
      <c r="C204" s="42"/>
    </row>
    <row r="205" spans="1:3">
      <c r="A205" s="45">
        <v>197</v>
      </c>
      <c r="B205" s="24" t="s">
        <v>178</v>
      </c>
      <c r="C205" s="42"/>
    </row>
    <row r="206" spans="1:3">
      <c r="A206" s="45">
        <v>198</v>
      </c>
      <c r="B206" s="24" t="s">
        <v>179</v>
      </c>
      <c r="C206" s="42"/>
    </row>
    <row r="207" spans="1:3">
      <c r="A207" s="45">
        <v>199</v>
      </c>
      <c r="B207" s="24" t="s">
        <v>180</v>
      </c>
      <c r="C207" s="42"/>
    </row>
    <row r="208" spans="1:3">
      <c r="A208" s="45">
        <v>200</v>
      </c>
      <c r="B208" s="24" t="s">
        <v>181</v>
      </c>
      <c r="C208" s="42"/>
    </row>
    <row r="209" spans="1:3">
      <c r="A209" s="45">
        <v>201</v>
      </c>
      <c r="B209" s="24" t="s">
        <v>182</v>
      </c>
      <c r="C209" s="42"/>
    </row>
    <row r="210" spans="1:3">
      <c r="A210" s="45">
        <v>202</v>
      </c>
      <c r="B210" s="24" t="s">
        <v>183</v>
      </c>
      <c r="C210" s="42"/>
    </row>
    <row r="211" spans="1:3">
      <c r="A211" s="45">
        <v>203</v>
      </c>
      <c r="B211" s="24" t="s">
        <v>184</v>
      </c>
      <c r="C211" s="42"/>
    </row>
    <row r="212" spans="1:3">
      <c r="A212" s="45">
        <v>204</v>
      </c>
      <c r="B212" s="24" t="s">
        <v>185</v>
      </c>
      <c r="C212" s="32"/>
    </row>
    <row r="213" spans="1:3">
      <c r="A213" s="45">
        <v>205</v>
      </c>
      <c r="B213" s="24" t="s">
        <v>186</v>
      </c>
      <c r="C213" s="32"/>
    </row>
    <row r="214" spans="1:3">
      <c r="A214" s="45">
        <v>206</v>
      </c>
      <c r="B214" s="24" t="s">
        <v>187</v>
      </c>
      <c r="C214" s="32"/>
    </row>
    <row r="215" spans="1:3">
      <c r="A215" s="45">
        <v>207</v>
      </c>
      <c r="B215" s="24" t="s">
        <v>188</v>
      </c>
      <c r="C215" s="32"/>
    </row>
    <row r="216" spans="1:3">
      <c r="A216" s="45">
        <v>208</v>
      </c>
      <c r="B216" s="24" t="s">
        <v>189</v>
      </c>
      <c r="C216" s="32"/>
    </row>
    <row r="217" spans="1:3">
      <c r="A217" s="45">
        <v>209</v>
      </c>
      <c r="B217" s="24" t="s">
        <v>190</v>
      </c>
      <c r="C217" s="32"/>
    </row>
    <row r="218" spans="1:3">
      <c r="A218" s="45">
        <v>210</v>
      </c>
      <c r="B218" s="24" t="s">
        <v>191</v>
      </c>
      <c r="C218" s="32"/>
    </row>
    <row r="219" spans="1:3">
      <c r="A219" s="46" t="s">
        <v>192</v>
      </c>
      <c r="B219" s="21" t="s">
        <v>193</v>
      </c>
      <c r="C219" s="32"/>
    </row>
    <row r="220" spans="1:3">
      <c r="A220" s="47">
        <v>211</v>
      </c>
      <c r="B220" s="24" t="s">
        <v>194</v>
      </c>
      <c r="C220" s="42"/>
    </row>
    <row r="221" spans="1:3">
      <c r="A221" s="47">
        <v>212</v>
      </c>
      <c r="B221" s="24" t="s">
        <v>195</v>
      </c>
      <c r="C221" s="42"/>
    </row>
    <row r="222" spans="1:3">
      <c r="A222" s="47">
        <v>213</v>
      </c>
      <c r="B222" s="24" t="s">
        <v>196</v>
      </c>
      <c r="C222" s="42"/>
    </row>
    <row r="223" spans="1:3">
      <c r="A223" s="47">
        <v>214</v>
      </c>
      <c r="B223" s="24" t="s">
        <v>197</v>
      </c>
      <c r="C223" s="42"/>
    </row>
    <row r="224" spans="1:3">
      <c r="A224" s="47">
        <v>215</v>
      </c>
      <c r="B224" s="24" t="s">
        <v>198</v>
      </c>
      <c r="C224" s="42"/>
    </row>
    <row r="225" spans="1:3">
      <c r="A225" s="47">
        <v>216</v>
      </c>
      <c r="B225" s="24" t="s">
        <v>199</v>
      </c>
      <c r="C225" s="42"/>
    </row>
    <row r="226" spans="1:3">
      <c r="A226" s="48" t="s">
        <v>200</v>
      </c>
      <c r="B226" s="21" t="s">
        <v>201</v>
      </c>
      <c r="C226" s="42"/>
    </row>
    <row r="227" spans="1:3">
      <c r="A227" s="49">
        <v>217</v>
      </c>
      <c r="B227" s="24" t="s">
        <v>202</v>
      </c>
      <c r="C227" s="42"/>
    </row>
    <row r="228" spans="1:3">
      <c r="A228" s="49">
        <v>218</v>
      </c>
      <c r="B228" s="24" t="s">
        <v>203</v>
      </c>
      <c r="C228" s="42"/>
    </row>
    <row r="229" spans="1:3">
      <c r="A229" s="49">
        <v>219</v>
      </c>
      <c r="B229" s="24" t="s">
        <v>204</v>
      </c>
      <c r="C229" s="42"/>
    </row>
    <row r="230" spans="1:3">
      <c r="A230" s="49">
        <v>220</v>
      </c>
      <c r="B230" s="24" t="s">
        <v>205</v>
      </c>
      <c r="C230" s="42"/>
    </row>
    <row r="231" spans="1:3">
      <c r="A231" s="49">
        <v>221</v>
      </c>
      <c r="B231" s="24" t="s">
        <v>206</v>
      </c>
      <c r="C231" s="42"/>
    </row>
    <row r="232" spans="1:3">
      <c r="A232" s="49">
        <v>222</v>
      </c>
      <c r="B232" s="24" t="s">
        <v>207</v>
      </c>
      <c r="C232" s="42"/>
    </row>
    <row r="233" spans="1:3">
      <c r="A233" s="49">
        <v>223</v>
      </c>
      <c r="B233" s="24" t="s">
        <v>208</v>
      </c>
      <c r="C233" s="42"/>
    </row>
    <row r="234" spans="1:3">
      <c r="A234" s="49">
        <v>224</v>
      </c>
      <c r="B234" s="24" t="s">
        <v>209</v>
      </c>
      <c r="C234" s="32"/>
    </row>
    <row r="235" spans="1:3">
      <c r="A235" s="49">
        <v>225</v>
      </c>
      <c r="B235" s="24" t="s">
        <v>210</v>
      </c>
      <c r="C235" s="32"/>
    </row>
    <row r="236" spans="1:3">
      <c r="A236" s="49">
        <v>226</v>
      </c>
      <c r="B236" s="24"/>
      <c r="C236" s="32"/>
    </row>
    <row r="237" spans="1:3">
      <c r="A237" s="48" t="s">
        <v>211</v>
      </c>
      <c r="B237" s="21" t="s">
        <v>212</v>
      </c>
      <c r="C237" s="32"/>
    </row>
    <row r="238" spans="1:3">
      <c r="A238" s="50">
        <v>227</v>
      </c>
      <c r="B238" s="24" t="s">
        <v>213</v>
      </c>
      <c r="C238" s="51"/>
    </row>
    <row r="239" spans="1:3">
      <c r="A239" s="50">
        <v>228</v>
      </c>
      <c r="B239" s="24" t="s">
        <v>214</v>
      </c>
      <c r="C239" s="51"/>
    </row>
    <row r="240" spans="1:3">
      <c r="A240" s="50">
        <v>229</v>
      </c>
      <c r="B240" s="24" t="s">
        <v>215</v>
      </c>
      <c r="C240" s="51"/>
    </row>
    <row r="241" spans="1:3">
      <c r="A241" s="50">
        <v>230</v>
      </c>
      <c r="B241" s="24" t="s">
        <v>216</v>
      </c>
      <c r="C241" s="51"/>
    </row>
    <row r="242" spans="1:3">
      <c r="A242" s="50">
        <v>231</v>
      </c>
      <c r="B242" s="24" t="s">
        <v>217</v>
      </c>
      <c r="C242" s="51"/>
    </row>
    <row r="243" spans="1:3">
      <c r="A243" s="50">
        <v>232</v>
      </c>
      <c r="B243" s="24" t="s">
        <v>67</v>
      </c>
      <c r="C243" s="51"/>
    </row>
    <row r="244" spans="1:3">
      <c r="A244" s="50">
        <v>233</v>
      </c>
      <c r="B244" s="24"/>
      <c r="C244" s="51"/>
    </row>
    <row r="245" spans="1:3">
      <c r="A245" s="48" t="s">
        <v>218</v>
      </c>
      <c r="B245" s="21" t="s">
        <v>219</v>
      </c>
      <c r="C245" s="32"/>
    </row>
    <row r="246" spans="1:3">
      <c r="A246" s="23">
        <v>236</v>
      </c>
      <c r="B246" s="24" t="s">
        <v>220</v>
      </c>
      <c r="C246" s="52"/>
    </row>
    <row r="247" spans="1:3">
      <c r="A247" s="23">
        <v>237</v>
      </c>
      <c r="B247" s="24" t="s">
        <v>220</v>
      </c>
      <c r="C247" s="52"/>
    </row>
    <row r="248" spans="1:3">
      <c r="A248" s="23">
        <v>238</v>
      </c>
      <c r="B248" s="24" t="s">
        <v>220</v>
      </c>
      <c r="C248" s="52"/>
    </row>
    <row r="249" spans="1:3">
      <c r="A249" s="23">
        <v>239</v>
      </c>
      <c r="B249" s="24" t="s">
        <v>220</v>
      </c>
      <c r="C249" s="52"/>
    </row>
    <row r="250" spans="1:3">
      <c r="A250" s="23">
        <v>240</v>
      </c>
      <c r="B250" s="24" t="s">
        <v>220</v>
      </c>
      <c r="C250" s="52"/>
    </row>
    <row r="251" spans="1:3">
      <c r="A251" s="23">
        <v>241</v>
      </c>
      <c r="B251" s="24" t="s">
        <v>220</v>
      </c>
      <c r="C251" s="52"/>
    </row>
    <row r="252" spans="1:3">
      <c r="A252" s="23">
        <v>242</v>
      </c>
      <c r="B252" s="24" t="s">
        <v>220</v>
      </c>
      <c r="C252" s="32"/>
    </row>
    <row r="253" spans="1:3">
      <c r="A253" s="23">
        <v>243</v>
      </c>
      <c r="B253" s="24" t="s">
        <v>220</v>
      </c>
      <c r="C253" s="52"/>
    </row>
    <row r="254" spans="1:3">
      <c r="A254" s="23">
        <v>244</v>
      </c>
      <c r="B254" s="24" t="s">
        <v>220</v>
      </c>
      <c r="C254" s="52"/>
    </row>
    <row r="255" spans="1:3">
      <c r="A255" s="23">
        <v>245</v>
      </c>
      <c r="B255" s="24" t="s">
        <v>220</v>
      </c>
      <c r="C255" s="52"/>
    </row>
    <row r="256" spans="1:3">
      <c r="A256" s="23">
        <v>246</v>
      </c>
      <c r="B256" s="24"/>
      <c r="C256" s="52"/>
    </row>
    <row r="257" spans="1:3">
      <c r="A257" s="23">
        <v>247</v>
      </c>
      <c r="B257" s="24"/>
      <c r="C257" s="52"/>
    </row>
    <row r="258" spans="1:3">
      <c r="A258" s="23">
        <v>248</v>
      </c>
      <c r="B258" s="24"/>
      <c r="C258" s="52"/>
    </row>
    <row r="259" spans="1:3">
      <c r="A259" s="23">
        <v>249</v>
      </c>
      <c r="B259" s="24" t="s">
        <v>221</v>
      </c>
      <c r="C259" s="52"/>
    </row>
    <row r="260" spans="1:3">
      <c r="A260" s="23">
        <v>250</v>
      </c>
      <c r="B260" s="24" t="s">
        <v>222</v>
      </c>
      <c r="C260" s="52"/>
    </row>
    <row r="261" spans="1:3">
      <c r="A261" s="23">
        <v>251</v>
      </c>
      <c r="B261" s="24" t="s">
        <v>223</v>
      </c>
      <c r="C261" s="52"/>
    </row>
    <row r="262" spans="1:3">
      <c r="A262" s="23">
        <v>252</v>
      </c>
      <c r="B262" s="24" t="s">
        <v>224</v>
      </c>
      <c r="C262" s="52"/>
    </row>
    <row r="263" spans="1:3">
      <c r="A263" s="23">
        <v>253</v>
      </c>
      <c r="B263" s="24" t="s">
        <v>225</v>
      </c>
      <c r="C263" s="52"/>
    </row>
    <row r="264" spans="1:3">
      <c r="A264" s="23">
        <v>254</v>
      </c>
      <c r="B264" s="24" t="s">
        <v>221</v>
      </c>
      <c r="C264" s="52"/>
    </row>
    <row r="265" spans="1:3">
      <c r="A265" s="23">
        <v>255</v>
      </c>
      <c r="B265" s="24"/>
      <c r="C265" s="32"/>
    </row>
    <row r="266" spans="1:3">
      <c r="A266" s="23">
        <v>256</v>
      </c>
      <c r="B266" s="24"/>
      <c r="C266" s="52"/>
    </row>
    <row r="267" spans="1:3">
      <c r="A267" s="23">
        <v>257</v>
      </c>
      <c r="B267" s="24"/>
      <c r="C267" s="52"/>
    </row>
    <row r="268" spans="1:3">
      <c r="A268" s="23">
        <v>258</v>
      </c>
      <c r="B268" s="24" t="s">
        <v>226</v>
      </c>
      <c r="C268" s="52"/>
    </row>
    <row r="269" spans="1:3">
      <c r="A269" s="23">
        <v>259</v>
      </c>
      <c r="B269" s="24"/>
      <c r="C269" s="52"/>
    </row>
    <row r="270" spans="1:3">
      <c r="A270" s="23">
        <v>260</v>
      </c>
      <c r="B270" s="24"/>
      <c r="C270" s="52"/>
    </row>
    <row r="271" spans="1:3">
      <c r="A271" s="23">
        <v>261</v>
      </c>
      <c r="B271" s="24" t="s">
        <v>227</v>
      </c>
      <c r="C271" s="52"/>
    </row>
    <row r="272" spans="1:3">
      <c r="A272" s="23">
        <v>262</v>
      </c>
      <c r="B272" s="24" t="s">
        <v>228</v>
      </c>
      <c r="C272" s="52"/>
    </row>
    <row r="273" spans="1:3">
      <c r="A273" s="23">
        <v>263</v>
      </c>
      <c r="B273" s="24" t="s">
        <v>228</v>
      </c>
      <c r="C273" s="52"/>
    </row>
    <row r="274" spans="1:3">
      <c r="A274" s="23">
        <v>264</v>
      </c>
      <c r="B274" s="24"/>
      <c r="C274" s="52"/>
    </row>
    <row r="275" spans="1:3">
      <c r="A275" s="23">
        <v>265</v>
      </c>
      <c r="B275" s="24" t="s">
        <v>229</v>
      </c>
      <c r="C275" s="52"/>
    </row>
    <row r="276" spans="1:3">
      <c r="A276" s="23">
        <v>266</v>
      </c>
      <c r="B276" s="24" t="s">
        <v>229</v>
      </c>
      <c r="C276" s="52"/>
    </row>
    <row r="277" spans="1:3">
      <c r="A277" s="23">
        <v>267</v>
      </c>
      <c r="B277" s="24"/>
      <c r="C277" s="52"/>
    </row>
    <row r="278" spans="1:3">
      <c r="A278" s="23">
        <v>268</v>
      </c>
      <c r="B278" s="24" t="s">
        <v>230</v>
      </c>
      <c r="C278" s="52"/>
    </row>
    <row r="279" spans="1:3">
      <c r="A279" s="23">
        <v>269</v>
      </c>
      <c r="B279" s="24" t="s">
        <v>231</v>
      </c>
      <c r="C279" s="52"/>
    </row>
    <row r="280" spans="1:3">
      <c r="A280" s="23">
        <v>270</v>
      </c>
      <c r="B280" s="24" t="s">
        <v>232</v>
      </c>
      <c r="C280" s="52"/>
    </row>
    <row r="281" spans="1:3">
      <c r="A281" s="48" t="s">
        <v>233</v>
      </c>
      <c r="B281" s="21" t="s">
        <v>234</v>
      </c>
      <c r="C281" s="32"/>
    </row>
    <row r="282" spans="1:3">
      <c r="A282" s="23">
        <v>271</v>
      </c>
      <c r="B282" s="29" t="s">
        <v>235</v>
      </c>
      <c r="C282" s="52"/>
    </row>
    <row r="283" spans="1:3">
      <c r="A283" s="23">
        <v>272</v>
      </c>
      <c r="B283" s="29" t="s">
        <v>236</v>
      </c>
      <c r="C283" s="52"/>
    </row>
    <row r="284" spans="1:3">
      <c r="A284" s="23">
        <v>273</v>
      </c>
      <c r="B284" s="29" t="s">
        <v>237</v>
      </c>
      <c r="C284" s="52"/>
    </row>
    <row r="285" spans="1:3">
      <c r="A285" s="23">
        <v>274</v>
      </c>
      <c r="B285" s="29" t="s">
        <v>234</v>
      </c>
      <c r="C285" s="52"/>
    </row>
    <row r="286" spans="1:3">
      <c r="A286" s="23">
        <v>275</v>
      </c>
      <c r="B286" s="24" t="s">
        <v>234</v>
      </c>
      <c r="C286" s="52"/>
    </row>
    <row r="287" spans="1:3">
      <c r="A287" s="23">
        <v>276</v>
      </c>
      <c r="B287" s="53"/>
      <c r="C287" s="52"/>
    </row>
    <row r="288" spans="1:3">
      <c r="A288" s="48" t="s">
        <v>238</v>
      </c>
      <c r="B288" s="21"/>
      <c r="C288" s="52"/>
    </row>
    <row r="289" spans="1:3">
      <c r="A289" s="23">
        <v>277</v>
      </c>
      <c r="B289" s="29"/>
      <c r="C289" s="52"/>
    </row>
    <row r="290" spans="1:3">
      <c r="A290" s="23">
        <v>278</v>
      </c>
      <c r="B290" s="29"/>
      <c r="C290" s="52"/>
    </row>
    <row r="291" spans="1:3">
      <c r="A291" s="23">
        <v>279</v>
      </c>
      <c r="B291" s="29"/>
      <c r="C291" s="52"/>
    </row>
    <row r="292" spans="1:3">
      <c r="A292" s="23">
        <v>280</v>
      </c>
      <c r="B292" s="29"/>
      <c r="C292" s="52"/>
    </row>
    <row r="293" spans="1:3">
      <c r="A293" s="23">
        <v>281</v>
      </c>
      <c r="B293" s="24"/>
      <c r="C293" s="52"/>
    </row>
    <row r="294" spans="1:3">
      <c r="A294" s="20" t="s">
        <v>239</v>
      </c>
      <c r="B294" s="21"/>
      <c r="C294" s="54"/>
    </row>
    <row r="295" spans="1:3">
      <c r="A295" s="23">
        <v>282</v>
      </c>
      <c r="B295" s="29"/>
      <c r="C295" s="55"/>
    </row>
    <row r="296" spans="1:3">
      <c r="A296" s="23">
        <v>283</v>
      </c>
      <c r="B296" s="29"/>
      <c r="C296" s="55"/>
    </row>
    <row r="297" spans="1:3">
      <c r="A297" s="23">
        <v>284</v>
      </c>
      <c r="B297" s="29"/>
      <c r="C297" s="55"/>
    </row>
    <row r="298" spans="1:3">
      <c r="A298" s="23">
        <v>285</v>
      </c>
      <c r="B298" s="29"/>
      <c r="C298" s="55"/>
    </row>
    <row r="299" spans="1:3">
      <c r="A299" s="23">
        <v>286</v>
      </c>
      <c r="B299" s="24"/>
      <c r="C299" s="55"/>
    </row>
    <row r="300" spans="1:3">
      <c r="A300" s="23">
        <v>287</v>
      </c>
      <c r="B300" s="24"/>
      <c r="C300" s="55"/>
    </row>
    <row r="301" spans="1:3">
      <c r="A301" s="23">
        <v>288</v>
      </c>
      <c r="B301" s="24"/>
      <c r="C301" s="22"/>
    </row>
    <row r="302" spans="1:3">
      <c r="A302" s="23">
        <v>289</v>
      </c>
      <c r="B302" s="24"/>
      <c r="C302" s="56"/>
    </row>
    <row r="303" spans="1:3">
      <c r="A303" s="23">
        <v>290</v>
      </c>
      <c r="B303" s="24"/>
      <c r="C303" s="22"/>
    </row>
    <row r="304" spans="1:3">
      <c r="A304" s="23">
        <v>291</v>
      </c>
      <c r="B304" s="57"/>
    </row>
    <row r="305" spans="1:2">
      <c r="A305" s="23">
        <v>292</v>
      </c>
      <c r="B305" s="57"/>
    </row>
    <row r="306" spans="1:2">
      <c r="A306" s="23">
        <v>293</v>
      </c>
      <c r="B306" s="57"/>
    </row>
    <row r="307" spans="1:2">
      <c r="A307" s="23">
        <v>294</v>
      </c>
      <c r="B307" s="57"/>
    </row>
    <row r="308" spans="1:2">
      <c r="A308" s="23">
        <v>295</v>
      </c>
      <c r="B308" s="57"/>
    </row>
    <row r="309" spans="1:2">
      <c r="A309" s="23">
        <v>296</v>
      </c>
      <c r="B309" s="43"/>
    </row>
    <row r="310" spans="1:2">
      <c r="A310" s="23">
        <v>297</v>
      </c>
      <c r="B310" s="24"/>
    </row>
    <row r="311" spans="1:2">
      <c r="A311" s="23">
        <v>298</v>
      </c>
      <c r="B311" s="24"/>
    </row>
    <row r="312" spans="1:2">
      <c r="A312" s="23">
        <v>299</v>
      </c>
      <c r="B312" s="24"/>
    </row>
    <row r="313" spans="1:2">
      <c r="A313" s="23">
        <v>300</v>
      </c>
      <c r="B313" s="24"/>
    </row>
    <row r="314" spans="1:2">
      <c r="A314" s="23">
        <v>301</v>
      </c>
      <c r="B314" s="24"/>
    </row>
    <row r="315" spans="1:2">
      <c r="A315" s="23">
        <v>302</v>
      </c>
      <c r="B315" s="24"/>
    </row>
    <row r="316" spans="1:2">
      <c r="A316" s="23">
        <v>303</v>
      </c>
      <c r="B316" s="24"/>
    </row>
    <row r="317" spans="1:2">
      <c r="A317" s="23">
        <v>304</v>
      </c>
      <c r="B317" s="24"/>
    </row>
    <row r="318" spans="1:2">
      <c r="A318" s="23">
        <v>305</v>
      </c>
      <c r="B318" s="24"/>
    </row>
    <row r="319" spans="1:2">
      <c r="A319" s="23">
        <v>306</v>
      </c>
      <c r="B319" s="24"/>
    </row>
    <row r="320" spans="1:2">
      <c r="A320" s="23">
        <v>307</v>
      </c>
      <c r="B320" s="24"/>
    </row>
    <row r="321" spans="1:2">
      <c r="A321" s="23">
        <v>308</v>
      </c>
      <c r="B321" s="24"/>
    </row>
    <row r="322" spans="1:2">
      <c r="A322" s="23">
        <v>309</v>
      </c>
      <c r="B322" s="24"/>
    </row>
    <row r="323" spans="1:2">
      <c r="A323" s="23">
        <v>310</v>
      </c>
      <c r="B323" s="24" t="s">
        <v>240</v>
      </c>
    </row>
    <row r="324" spans="1:2">
      <c r="A324" s="23">
        <v>311</v>
      </c>
      <c r="B324" s="24"/>
    </row>
    <row r="325" spans="1:2">
      <c r="A325" s="23">
        <v>312</v>
      </c>
      <c r="B325" s="24"/>
    </row>
    <row r="326" spans="1:2">
      <c r="A326" s="23">
        <v>313</v>
      </c>
      <c r="B326" s="24"/>
    </row>
    <row r="327" spans="1:2">
      <c r="A327" s="23">
        <v>314</v>
      </c>
      <c r="B327" s="24"/>
    </row>
    <row r="328" spans="1:2">
      <c r="A328" s="23">
        <v>315</v>
      </c>
      <c r="B328" s="24"/>
    </row>
    <row r="329" spans="1:2">
      <c r="A329" s="23">
        <v>316</v>
      </c>
      <c r="B329" s="24"/>
    </row>
    <row r="330" spans="1:2">
      <c r="A330" s="23">
        <v>317</v>
      </c>
      <c r="B330" s="24"/>
    </row>
    <row r="331" spans="1:2">
      <c r="A331" s="23">
        <v>318</v>
      </c>
      <c r="B331" s="24" t="s">
        <v>241</v>
      </c>
    </row>
    <row r="332" spans="1:2">
      <c r="A332" s="23">
        <v>319</v>
      </c>
      <c r="B332" s="24"/>
    </row>
    <row r="333" spans="1:2">
      <c r="A333" s="23">
        <v>320</v>
      </c>
      <c r="B333" s="24"/>
    </row>
    <row r="334" spans="1:2">
      <c r="A334" s="23">
        <v>321</v>
      </c>
      <c r="B334" s="24"/>
    </row>
    <row r="335" spans="1:2">
      <c r="A335" s="23">
        <v>322</v>
      </c>
      <c r="B335" s="24"/>
    </row>
    <row r="336" spans="1:2">
      <c r="A336" s="23">
        <v>323</v>
      </c>
      <c r="B336" s="24"/>
    </row>
    <row r="337" spans="1:2">
      <c r="A337" s="23">
        <v>324</v>
      </c>
      <c r="B337" s="24"/>
    </row>
    <row r="338" spans="1:2">
      <c r="A338" s="23">
        <v>325</v>
      </c>
      <c r="B338" s="24"/>
    </row>
    <row r="339" spans="1:2">
      <c r="A339" s="23">
        <v>326</v>
      </c>
      <c r="B339" s="24"/>
    </row>
    <row r="340" spans="1:2">
      <c r="A340" s="23">
        <v>327</v>
      </c>
      <c r="B340" s="24"/>
    </row>
    <row r="341" spans="1:2">
      <c r="A341" s="23">
        <v>328</v>
      </c>
      <c r="B341" s="24"/>
    </row>
    <row r="342" spans="1:2">
      <c r="A342" s="23">
        <v>329</v>
      </c>
      <c r="B342" s="24"/>
    </row>
  </sheetData>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0D7F2-C212-DE4D-A5CD-F873F65C62B3}">
  <sheetPr codeName="Sheet3"/>
  <dimension ref="B1:H124"/>
  <sheetViews>
    <sheetView workbookViewId="0"/>
    <sheetView workbookViewId="1">
      <selection activeCell="A14" sqref="A14:XFD14"/>
    </sheetView>
  </sheetViews>
  <sheetFormatPr baseColWidth="10" defaultRowHeight="16"/>
  <cols>
    <col min="1" max="1" width="1.83203125" customWidth="1"/>
    <col min="2" max="2" width="16.83203125" customWidth="1"/>
    <col min="3" max="3" width="13.6640625" customWidth="1"/>
    <col min="4" max="4" width="19.6640625" customWidth="1"/>
    <col min="6" max="6" width="22.33203125" customWidth="1"/>
  </cols>
  <sheetData>
    <row r="1" spans="2:7" ht="17" thickBot="1">
      <c r="B1" s="60" t="s">
        <v>244</v>
      </c>
      <c r="C1" s="60"/>
      <c r="D1" s="61"/>
    </row>
    <row r="2" spans="2:7" ht="17" thickBot="1">
      <c r="B2" s="62" t="s">
        <v>245</v>
      </c>
      <c r="C2" s="65"/>
      <c r="D2" s="59"/>
    </row>
    <row r="3" spans="2:7" ht="17" thickBot="1">
      <c r="B3" s="62" t="s">
        <v>246</v>
      </c>
      <c r="C3" s="65"/>
      <c r="D3" s="59"/>
    </row>
    <row r="5" spans="2:7">
      <c r="B5" s="60" t="s">
        <v>247</v>
      </c>
      <c r="C5" s="60"/>
      <c r="D5" s="61"/>
    </row>
    <row r="6" spans="2:7">
      <c r="B6" s="63" t="s">
        <v>249</v>
      </c>
      <c r="C6" s="63"/>
      <c r="D6" s="61"/>
    </row>
    <row r="7" spans="2:7" ht="17" thickBot="1">
      <c r="B7" s="66" t="s">
        <v>250</v>
      </c>
      <c r="C7" s="66"/>
    </row>
    <row r="8" spans="2:7" ht="17" thickBot="1">
      <c r="B8" s="64">
        <v>2403</v>
      </c>
      <c r="C8" s="66"/>
    </row>
    <row r="9" spans="2:7" ht="17" thickBot="1">
      <c r="B9" s="63" t="s">
        <v>251</v>
      </c>
      <c r="C9" s="63"/>
      <c r="D9" s="61"/>
    </row>
    <row r="10" spans="2:7" ht="17" thickBot="1">
      <c r="B10" s="58"/>
      <c r="C10" s="67">
        <v>1</v>
      </c>
      <c r="D10" s="67">
        <v>100</v>
      </c>
    </row>
    <row r="11" spans="2:7" ht="17" thickBot="1">
      <c r="B11" s="63" t="s">
        <v>252</v>
      </c>
      <c r="C11" s="68"/>
      <c r="D11" s="68"/>
    </row>
    <row r="12" spans="2:7" ht="17" thickBot="1">
      <c r="B12" s="58"/>
      <c r="C12" s="67" t="s">
        <v>253</v>
      </c>
      <c r="D12" s="67" t="s">
        <v>254</v>
      </c>
    </row>
    <row r="13" spans="2:7" ht="17" thickBot="1"/>
    <row r="14" spans="2:7" ht="17" thickBot="1">
      <c r="B14" s="87" t="s">
        <v>255</v>
      </c>
      <c r="C14" s="88"/>
      <c r="D14" s="89"/>
      <c r="F14" s="73" t="s">
        <v>248</v>
      </c>
      <c r="G14" s="58"/>
    </row>
    <row r="15" spans="2:7" ht="17" thickBot="1">
      <c r="B15" s="69">
        <v>2499</v>
      </c>
      <c r="F15" s="72" t="str" cm="1">
        <f t="array" ref="F15:F24">Prefix &amp; "-" &amp; TEXT(_xlfn.SEQUENCE(C17 - B17 + 1, 1, B17, 1), "000")</f>
        <v>2499-001</v>
      </c>
    </row>
    <row r="16" spans="2:7" ht="17" thickBot="1">
      <c r="B16" s="90" t="s">
        <v>256</v>
      </c>
      <c r="C16" s="91"/>
      <c r="D16" s="92"/>
      <c r="F16" s="74" t="str">
        <v>2499-002</v>
      </c>
    </row>
    <row r="17" spans="2:8" ht="17" thickBot="1">
      <c r="B17" s="70">
        <v>1</v>
      </c>
      <c r="C17" s="71">
        <v>10</v>
      </c>
      <c r="F17" s="75" t="str">
        <v>2499-003</v>
      </c>
    </row>
    <row r="18" spans="2:8">
      <c r="F18" s="75" t="str">
        <v>2499-004</v>
      </c>
    </row>
    <row r="19" spans="2:8">
      <c r="F19" s="75" t="str">
        <v>2499-005</v>
      </c>
      <c r="H19" s="58" t="s">
        <v>257</v>
      </c>
    </row>
    <row r="20" spans="2:8">
      <c r="F20" s="75" t="str">
        <v>2499-006</v>
      </c>
    </row>
    <row r="21" spans="2:8">
      <c r="F21" s="75" t="str">
        <v>2499-007</v>
      </c>
    </row>
    <row r="22" spans="2:8">
      <c r="F22" s="75" t="str">
        <v>2499-008</v>
      </c>
    </row>
    <row r="23" spans="2:8">
      <c r="F23" s="75" t="str">
        <v>2499-009</v>
      </c>
    </row>
    <row r="24" spans="2:8">
      <c r="F24" s="75" t="str">
        <v>2499-010</v>
      </c>
    </row>
    <row r="25" spans="2:8">
      <c r="F25" s="75"/>
    </row>
    <row r="26" spans="2:8">
      <c r="F26" s="75"/>
    </row>
    <row r="27" spans="2:8">
      <c r="F27" s="75"/>
    </row>
    <row r="28" spans="2:8">
      <c r="F28" s="75"/>
    </row>
    <row r="29" spans="2:8">
      <c r="F29" s="75"/>
    </row>
    <row r="30" spans="2:8">
      <c r="F30" s="75"/>
    </row>
    <row r="31" spans="2:8">
      <c r="F31" s="75"/>
    </row>
    <row r="32" spans="2:8">
      <c r="F32" s="75"/>
    </row>
    <row r="33" spans="6:6">
      <c r="F33" s="75"/>
    </row>
    <row r="34" spans="6:6">
      <c r="F34" s="75"/>
    </row>
    <row r="35" spans="6:6">
      <c r="F35" s="75"/>
    </row>
    <row r="36" spans="6:6">
      <c r="F36" s="75"/>
    </row>
    <row r="37" spans="6:6">
      <c r="F37" s="75"/>
    </row>
    <row r="38" spans="6:6">
      <c r="F38" s="75"/>
    </row>
    <row r="39" spans="6:6">
      <c r="F39" s="75"/>
    </row>
    <row r="40" spans="6:6">
      <c r="F40" s="75"/>
    </row>
    <row r="41" spans="6:6">
      <c r="F41" s="75"/>
    </row>
    <row r="42" spans="6:6">
      <c r="F42" s="75"/>
    </row>
    <row r="43" spans="6:6">
      <c r="F43" s="75"/>
    </row>
    <row r="44" spans="6:6">
      <c r="F44" s="75"/>
    </row>
    <row r="45" spans="6:6">
      <c r="F45" s="75"/>
    </row>
    <row r="46" spans="6:6">
      <c r="F46" s="75"/>
    </row>
    <row r="47" spans="6:6">
      <c r="F47" s="75"/>
    </row>
    <row r="48" spans="6:6">
      <c r="F48" s="75"/>
    </row>
    <row r="49" spans="6:6">
      <c r="F49" s="75"/>
    </row>
    <row r="50" spans="6:6">
      <c r="F50" s="75"/>
    </row>
    <row r="51" spans="6:6">
      <c r="F51" s="75"/>
    </row>
    <row r="52" spans="6:6">
      <c r="F52" s="75"/>
    </row>
    <row r="53" spans="6:6">
      <c r="F53" s="75"/>
    </row>
    <row r="54" spans="6:6">
      <c r="F54" s="75"/>
    </row>
    <row r="55" spans="6:6">
      <c r="F55" s="75"/>
    </row>
    <row r="56" spans="6:6">
      <c r="F56" s="75"/>
    </row>
    <row r="57" spans="6:6">
      <c r="F57" s="75"/>
    </row>
    <row r="58" spans="6:6">
      <c r="F58" s="75"/>
    </row>
    <row r="59" spans="6:6">
      <c r="F59" s="75"/>
    </row>
    <row r="60" spans="6:6">
      <c r="F60" s="75"/>
    </row>
    <row r="61" spans="6:6">
      <c r="F61" s="75"/>
    </row>
    <row r="62" spans="6:6">
      <c r="F62" s="75"/>
    </row>
    <row r="63" spans="6:6">
      <c r="F63" s="75"/>
    </row>
    <row r="64" spans="6:6">
      <c r="F64" s="75"/>
    </row>
    <row r="65" spans="6:6">
      <c r="F65" s="75"/>
    </row>
    <row r="66" spans="6:6">
      <c r="F66" s="75"/>
    </row>
    <row r="67" spans="6:6">
      <c r="F67" s="75"/>
    </row>
    <row r="68" spans="6:6">
      <c r="F68" s="75"/>
    </row>
    <row r="69" spans="6:6">
      <c r="F69" s="75"/>
    </row>
    <row r="70" spans="6:6">
      <c r="F70" s="75"/>
    </row>
    <row r="71" spans="6:6">
      <c r="F71" s="75"/>
    </row>
    <row r="72" spans="6:6">
      <c r="F72" s="75"/>
    </row>
    <row r="73" spans="6:6">
      <c r="F73" s="75"/>
    </row>
    <row r="74" spans="6:6">
      <c r="F74" s="75"/>
    </row>
    <row r="75" spans="6:6">
      <c r="F75" s="75"/>
    </row>
    <row r="76" spans="6:6">
      <c r="F76" s="75"/>
    </row>
    <row r="77" spans="6:6">
      <c r="F77" s="75"/>
    </row>
    <row r="78" spans="6:6">
      <c r="F78" s="75"/>
    </row>
    <row r="79" spans="6:6">
      <c r="F79" s="75"/>
    </row>
    <row r="80" spans="6:6">
      <c r="F80" s="75"/>
    </row>
    <row r="81" spans="6:6">
      <c r="F81" s="75"/>
    </row>
    <row r="82" spans="6:6">
      <c r="F82" s="75"/>
    </row>
    <row r="83" spans="6:6">
      <c r="F83" s="75"/>
    </row>
    <row r="84" spans="6:6">
      <c r="F84" s="75"/>
    </row>
    <row r="85" spans="6:6">
      <c r="F85" s="75"/>
    </row>
    <row r="86" spans="6:6">
      <c r="F86" s="75"/>
    </row>
    <row r="87" spans="6:6">
      <c r="F87" s="75"/>
    </row>
    <row r="88" spans="6:6">
      <c r="F88" s="75"/>
    </row>
    <row r="89" spans="6:6">
      <c r="F89" s="75"/>
    </row>
    <row r="90" spans="6:6">
      <c r="F90" s="75"/>
    </row>
    <row r="91" spans="6:6">
      <c r="F91" s="75"/>
    </row>
    <row r="92" spans="6:6">
      <c r="F92" s="75"/>
    </row>
    <row r="93" spans="6:6">
      <c r="F93" s="75"/>
    </row>
    <row r="94" spans="6:6">
      <c r="F94" s="75"/>
    </row>
    <row r="95" spans="6:6">
      <c r="F95" s="75"/>
    </row>
    <row r="96" spans="6:6">
      <c r="F96" s="75"/>
    </row>
    <row r="97" spans="6:6">
      <c r="F97" s="75"/>
    </row>
    <row r="98" spans="6:6">
      <c r="F98" s="75"/>
    </row>
    <row r="99" spans="6:6">
      <c r="F99" s="75"/>
    </row>
    <row r="100" spans="6:6">
      <c r="F100" s="75"/>
    </row>
    <row r="101" spans="6:6">
      <c r="F101" s="75"/>
    </row>
    <row r="102" spans="6:6">
      <c r="F102" s="75"/>
    </row>
    <row r="103" spans="6:6">
      <c r="F103" s="75"/>
    </row>
    <row r="104" spans="6:6">
      <c r="F104" s="75"/>
    </row>
    <row r="105" spans="6:6">
      <c r="F105" s="75"/>
    </row>
    <row r="106" spans="6:6">
      <c r="F106" s="75"/>
    </row>
    <row r="107" spans="6:6">
      <c r="F107" s="75"/>
    </row>
    <row r="108" spans="6:6">
      <c r="F108" s="75"/>
    </row>
    <row r="109" spans="6:6">
      <c r="F109" s="75"/>
    </row>
    <row r="110" spans="6:6">
      <c r="F110" s="75"/>
    </row>
    <row r="111" spans="6:6">
      <c r="F111" s="75"/>
    </row>
    <row r="112" spans="6:6">
      <c r="F112" s="75"/>
    </row>
    <row r="113" spans="6:6">
      <c r="F113" s="75"/>
    </row>
    <row r="114" spans="6:6">
      <c r="F114" s="75"/>
    </row>
    <row r="115" spans="6:6">
      <c r="F115" s="75"/>
    </row>
    <row r="116" spans="6:6">
      <c r="F116" s="75"/>
    </row>
    <row r="117" spans="6:6">
      <c r="F117" s="75"/>
    </row>
    <row r="118" spans="6:6">
      <c r="F118" s="75"/>
    </row>
    <row r="119" spans="6:6">
      <c r="F119" s="75"/>
    </row>
    <row r="120" spans="6:6">
      <c r="F120" s="75"/>
    </row>
    <row r="121" spans="6:6">
      <c r="F121" s="75"/>
    </row>
    <row r="122" spans="6:6">
      <c r="F122" s="75"/>
    </row>
    <row r="123" spans="6:6">
      <c r="F123" s="75"/>
    </row>
    <row r="124" spans="6:6" ht="17" thickBot="1">
      <c r="F124" s="76"/>
    </row>
  </sheetData>
  <mergeCells count="2">
    <mergeCell ref="B14:D14"/>
    <mergeCell ref="B16:D16"/>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GeneratePOSheets" altText="Generate POs_x000a_">
                <anchor moveWithCells="1" sizeWithCells="1">
                  <from>
                    <xdr:col>7</xdr:col>
                    <xdr:colOff>381000</xdr:colOff>
                    <xdr:row>13</xdr:row>
                    <xdr:rowOff>114300</xdr:rowOff>
                  </from>
                  <to>
                    <xdr:col>9</xdr:col>
                    <xdr:colOff>254000</xdr:colOff>
                    <xdr:row>15</xdr:row>
                    <xdr:rowOff>63500</xdr:rowOff>
                  </to>
                </anchor>
              </controlPr>
            </control>
          </mc:Choice>
        </mc:AlternateContent>
        <mc:AlternateContent xmlns:mc="http://schemas.openxmlformats.org/markup-compatibility/2006">
          <mc:Choice Requires="x14">
            <control shapeId="5123" r:id="rId4" name="Button 3">
              <controlPr defaultSize="0" print="0" autoFill="0" autoPict="0" macro="[0]!DeletePOSheets">
                <anchor moveWithCells="1" sizeWithCells="1">
                  <from>
                    <xdr:col>7</xdr:col>
                    <xdr:colOff>635000</xdr:colOff>
                    <xdr:row>20</xdr:row>
                    <xdr:rowOff>165100</xdr:rowOff>
                  </from>
                  <to>
                    <xdr:col>9</xdr:col>
                    <xdr:colOff>508000</xdr:colOff>
                    <xdr:row>22</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A9A28-0D32-184D-BE57-090E879B513E}">
  <dimension ref="A1"/>
  <sheetViews>
    <sheetView workbookViewId="0"/>
    <sheetView tabSelected="1" workbookViewId="1">
      <selection activeCell="G22" sqref="G22"/>
    </sheetView>
  </sheetViews>
  <sheetFormatPr baseColWidth="10" defaultRowHeight="16"/>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4075C-EB0E-8B4F-85C4-CA1785943305}">
  <sheetPr codeName="Sheet6">
    <pageSetUpPr fitToPage="1"/>
  </sheetPr>
  <dimension ref="A1:AK50"/>
  <sheetViews>
    <sheetView topLeftCell="A17" zoomScale="75" zoomScaleNormal="110" workbookViewId="0">
      <selection activeCell="R45" sqref="R45"/>
    </sheetView>
    <sheetView topLeftCell="A21" workbookViewId="1">
      <selection activeCell="L50" sqref="L40:S50"/>
    </sheetView>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1640625" style="1" customWidth="1"/>
    <col min="11" max="11" width="6.1640625" style="1" customWidth="1"/>
    <col min="12" max="12" width="12" style="1" customWidth="1"/>
    <col min="13" max="13" width="7.5" style="1" customWidth="1"/>
    <col min="14" max="14" width="8" style="1" customWidth="1"/>
    <col min="15" max="15" width="11.83203125" style="1" customWidth="1"/>
    <col min="16" max="16" width="11" style="1" customWidth="1"/>
    <col min="17" max="17" width="11.83203125" style="1" customWidth="1"/>
    <col min="18" max="18" width="11.6640625" style="1" customWidth="1"/>
    <col min="19" max="19" width="19.5" style="1" customWidth="1"/>
    <col min="20" max="26" width="8.83203125" style="1"/>
    <col min="27" max="27" width="8.83203125" style="1" customWidth="1"/>
    <col min="28" max="16384" width="8.83203125" style="1"/>
  </cols>
  <sheetData>
    <row r="1" spans="1:37" ht="45" customHeight="1">
      <c r="A1" s="137"/>
      <c r="B1" s="271" t="s">
        <v>261</v>
      </c>
      <c r="C1" s="271"/>
      <c r="D1" s="271"/>
      <c r="E1" s="271"/>
      <c r="G1" s="189"/>
      <c r="H1" s="189"/>
      <c r="I1" s="190"/>
      <c r="X1" s="247" t="s">
        <v>320</v>
      </c>
    </row>
    <row r="2" spans="1:37" ht="12.75" customHeight="1">
      <c r="A2" s="138"/>
      <c r="B2" s="191"/>
      <c r="C2" s="139"/>
      <c r="D2" s="140"/>
      <c r="E2" s="140"/>
      <c r="F2" s="140"/>
      <c r="G2" s="140"/>
      <c r="H2" s="141"/>
      <c r="I2" s="192"/>
      <c r="S2" s="247" t="s">
        <v>322</v>
      </c>
      <c r="X2" s="248" t="s">
        <v>321</v>
      </c>
      <c r="Y2" s="248"/>
      <c r="Z2" s="248"/>
      <c r="AA2" s="248"/>
    </row>
    <row r="3" spans="1:37" ht="22">
      <c r="A3" s="138"/>
      <c r="B3" s="193" t="s">
        <v>14</v>
      </c>
      <c r="C3" s="142"/>
      <c r="D3" s="143"/>
      <c r="E3" s="143"/>
      <c r="F3" s="144" t="s">
        <v>13</v>
      </c>
      <c r="G3" s="105" t="s">
        <v>243</v>
      </c>
      <c r="H3" s="105"/>
      <c r="I3" s="194"/>
      <c r="J3" s="104"/>
      <c r="K3" s="104"/>
      <c r="L3" s="104"/>
      <c r="M3" s="240" t="s">
        <v>306</v>
      </c>
      <c r="N3" s="242" t="s">
        <v>307</v>
      </c>
      <c r="O3" s="242" t="s">
        <v>308</v>
      </c>
      <c r="P3" s="242" t="s">
        <v>309</v>
      </c>
      <c r="S3" s="240" t="s">
        <v>318</v>
      </c>
      <c r="AB3" s="1" t="s">
        <v>323</v>
      </c>
    </row>
    <row r="4" spans="1:37" s="3" customFormat="1" ht="29" customHeight="1">
      <c r="A4" s="145"/>
      <c r="B4" s="195"/>
      <c r="C4" s="146"/>
      <c r="D4" s="146"/>
      <c r="E4" s="146"/>
      <c r="F4" s="146"/>
      <c r="G4" s="146"/>
      <c r="H4" s="147"/>
      <c r="I4" s="196"/>
      <c r="M4" s="4" cm="1">
        <f t="array" ref="M4:M9">IFERROR(
INDEX(
_xlfn._xlws.FILTER(
_xlfn.UNIQUE(
LineEntry,
),_xlfn.UNIQUE(
LineEntry,
)&lt;&gt;0
),_xlfn.SEQUENCE(6,1)
),"")</f>
        <v>204</v>
      </c>
      <c r="N4" s="4" cm="1">
        <f t="array" ref="N4">SUMPRODUCT(--(TRIM(M4:M12)&lt;&gt;""))</f>
        <v>4</v>
      </c>
      <c r="O4" s="4" t="str" cm="1">
        <f t="array" ref="O4:O6">_xlfn._xlws.SORT(INDEX(U7:U16, 1):INDEX(U7:U9, V7), 1, TRUE)</f>
        <v/>
      </c>
      <c r="P4" s="4" t="str" cm="1">
        <f t="array" ref="P4">IF(O4="","",IFERROR(INDEX(Description, MATCH(O4, Line, 0)), "Not Found"))</f>
        <v/>
      </c>
      <c r="S4" s="245" cm="1">
        <f t="array" ref="S4:U9">IFERROR(
    INDEX(
        _xlfn._xlws.FILTER(
            _xlfn.UNIQUE(_xlfn.HSTACK(LineEntry, DateEntry, PayIDEntry)),
            _xlfn.BYROW(_xlfn.UNIQUE(_xlfn.HSTACK(LineEntry, DateEntry, PayIDEntry)), _xlfn.LAMBDA(_xlpm.row, SUM(_xlpm.row)&lt;&gt;0))
        ),
        _xlfn.SEQUENCE(6,1),
        {1,2,3}
    ),
    ""
)</f>
        <v>204</v>
      </c>
      <c r="T4" s="253">
        <v>45849</v>
      </c>
      <c r="U4" s="245" t="str">
        <v>CC 2456</v>
      </c>
      <c r="AB4" s="294" t="s">
        <v>334</v>
      </c>
      <c r="AD4" s="3" t="str" cm="1">
        <f t="array" ref="AD4">IFERROR(
    _xlfn.WRAPCOLS(
        INDEX(
            _xlfn._xlws.FILTER(
                _xlfn.UNIQUE(_xlfn.HSTACK(LineEntry, DateEntry, PayIDEntry)),
                _xlfn.BYROW(_xlfn.UNIQUE(_xlfn.HSTACK(LineEntry, DateEntry, PayIDEntry)), _xlfn.LAMBDA(_xlpm.row, SUM(_xlpm.row)&lt;&gt;0))
            ),
            _xlfn.SEQUENCE(6,1),
            {1,2,3}
        ),
        3
    ),
    ""
)</f>
        <v/>
      </c>
      <c r="AF4" s="3" cm="1">
        <f t="array" ref="AF4:AK6">IFERROR(
    _xlfn.WRAPCOLS(
        _xlfn.TOCOL(
            INDEX(
                _xlfn._xlws.FILTER(
                    _xlfn.UNIQUE(_xlfn.HSTACK(LineEntry, DateEntry, PayIDEntry)),
                    _xlfn.BYROW(_xlfn.UNIQUE(_xlfn.HSTACK(LineEntry, DateEntry, PayIDEntry)), _xlfn.LAMBDA(_xlpm.row, SUM(_xlpm.row)&lt;&gt;0))
                ),
                _xlfn.SEQUENCE(6,1),
                {1,2,3}
            )
        ),
        3
    ),
    ""
)</f>
        <v>204</v>
      </c>
      <c r="AG4" s="3">
        <v>205</v>
      </c>
      <c r="AH4" s="3">
        <v>112</v>
      </c>
      <c r="AI4" s="3">
        <v>1</v>
      </c>
      <c r="AJ4" s="3" t="str">
        <v/>
      </c>
      <c r="AK4" s="3" t="str">
        <v/>
      </c>
    </row>
    <row r="5" spans="1:37" s="4" customFormat="1" ht="16" customHeight="1">
      <c r="A5" s="148"/>
      <c r="B5" s="197" t="s">
        <v>262</v>
      </c>
      <c r="C5" s="133"/>
      <c r="D5" s="134"/>
      <c r="E5" s="149"/>
      <c r="F5" s="149"/>
      <c r="G5" s="149"/>
      <c r="H5" s="149"/>
      <c r="I5" s="198"/>
      <c r="M5" s="4">
        <v>205</v>
      </c>
      <c r="O5" s="4" t="str">
        <v/>
      </c>
      <c r="P5" s="4" t="str" cm="1">
        <f t="array" ref="P5">IF(O5="","",IFERROR(INDEX(Description, MATCH(O5, Line, 0)), "Not Found"))</f>
        <v/>
      </c>
      <c r="S5" s="246">
        <v>205</v>
      </c>
      <c r="T5" s="254">
        <v>45849</v>
      </c>
      <c r="U5" s="246" t="str">
        <v>CC 2456</v>
      </c>
      <c r="W5" t="e" cm="1">
        <f t="array" ref="W5">_xlfn._xlws.FILTER(_xlfn.UNIQUE(_xlfn.HSTACK(LineEntry, DateEntry, PayIDEntry)), _xlfn.UNIQUE(_xlfn.HSTACK(LineEntry, DateEntry, PayIDEntry))&lt;&gt;0)</f>
        <v>#VALUE!</v>
      </c>
      <c r="AF5" s="4">
        <v>45849</v>
      </c>
      <c r="AG5" s="4">
        <v>45849</v>
      </c>
      <c r="AH5" s="4">
        <v>45848</v>
      </c>
      <c r="AI5" s="4">
        <v>45849</v>
      </c>
      <c r="AJ5" s="4" t="str">
        <v/>
      </c>
      <c r="AK5" s="4" t="str">
        <v/>
      </c>
    </row>
    <row r="6" spans="1:37" s="4" customFormat="1" ht="16">
      <c r="A6" s="148"/>
      <c r="B6" s="199"/>
      <c r="C6" s="135"/>
      <c r="D6" s="136"/>
      <c r="E6" s="149"/>
      <c r="F6" s="149"/>
      <c r="G6" s="149"/>
      <c r="H6" s="149"/>
      <c r="I6" s="200"/>
      <c r="M6" s="4">
        <v>112</v>
      </c>
      <c r="O6" s="4" t="str">
        <v>CASH</v>
      </c>
      <c r="P6" s="4" t="str" cm="1">
        <f t="array" ref="P6">IF(O6="","",IFERROR(INDEX(Description, MATCH(O6, Line, 0)), "Not Found"))</f>
        <v>Not Found</v>
      </c>
      <c r="S6" s="246">
        <v>112</v>
      </c>
      <c r="T6" s="254">
        <v>45848</v>
      </c>
      <c r="U6" s="246" t="str">
        <v>CHK 101</v>
      </c>
      <c r="AF6" s="4" t="str">
        <v>CC 2456</v>
      </c>
      <c r="AG6" s="4" t="str">
        <v>CC 2456</v>
      </c>
      <c r="AH6" s="4" t="str">
        <v>CHK 101</v>
      </c>
      <c r="AI6" s="4" t="str">
        <v>CASH</v>
      </c>
      <c r="AJ6" s="4" t="str">
        <v/>
      </c>
      <c r="AK6" s="4" t="str">
        <v/>
      </c>
    </row>
    <row r="7" spans="1:37" s="4" customFormat="1" ht="16">
      <c r="A7" s="148"/>
      <c r="B7" s="201"/>
      <c r="C7" s="150"/>
      <c r="D7" s="151"/>
      <c r="E7" s="151"/>
      <c r="F7" s="152"/>
      <c r="G7" s="152"/>
      <c r="H7" s="152"/>
      <c r="I7" s="202"/>
      <c r="M7" s="4">
        <v>1</v>
      </c>
      <c r="P7" s="4" t="str" cm="1">
        <f t="array" ref="P7">IF(O7="","",IFERROR(INDEX(Description, MATCH(O7, Line, 0)), "Not Found"))</f>
        <v/>
      </c>
      <c r="S7" s="246">
        <v>1</v>
      </c>
      <c r="T7" s="254">
        <v>45849</v>
      </c>
      <c r="U7" s="246" t="str">
        <v>CASH</v>
      </c>
    </row>
    <row r="8" spans="1:37" s="4" customFormat="1" ht="16">
      <c r="A8" s="148"/>
      <c r="B8" s="203"/>
      <c r="C8" s="153"/>
      <c r="D8" s="154"/>
      <c r="E8" s="154"/>
      <c r="F8" s="152"/>
      <c r="G8" s="152"/>
      <c r="H8" s="152"/>
      <c r="I8" s="202"/>
      <c r="M8" s="4" t="str">
        <v/>
      </c>
      <c r="P8" s="4" t="str" cm="1">
        <f t="array" ref="P8">IF(O8="","",IFERROR(INDEX(Description, MATCH(O8, Line, 0)), "Not Found"))</f>
        <v/>
      </c>
      <c r="S8" s="246" t="str">
        <v/>
      </c>
      <c r="T8" s="254" t="str">
        <v/>
      </c>
      <c r="U8" s="246" t="str">
        <v/>
      </c>
    </row>
    <row r="9" spans="1:37" s="4" customFormat="1" ht="16">
      <c r="A9" s="148"/>
      <c r="B9" s="204" t="s">
        <v>12</v>
      </c>
      <c r="C9" s="99" t="str">
        <f>IFERROR(
    IF(ISNUMBER(MATCH(Sheet_PO, PO_LOG[[#All],[PO]], 0)),
       IF(INDEX(PO_LOG[DATE], MATCH(Sheet_PO, PO_LOG[[#All],[PO]], 0)) = "", "",
          INDEX(PO_LOG[DATE], MATCH(Sheet_PO, PO_LOG[[#All],[PO]], 0))),
       ""),
    "No match found")</f>
        <v/>
      </c>
      <c r="D9" s="99"/>
      <c r="E9" s="155" t="s">
        <v>11</v>
      </c>
      <c r="F9" s="100" t="str">
        <f>IF(TRIM(Job_Number)="", "", Job_Number)</f>
        <v/>
      </c>
      <c r="G9" s="100"/>
      <c r="H9" s="100"/>
      <c r="I9" s="205"/>
      <c r="M9" s="4" t="str">
        <v/>
      </c>
      <c r="P9" s="4" t="str" cm="1">
        <f t="array" ref="P9">IF(O9="","",IFERROR(INDEX(Description, MATCH(O9, Line, 0)), "Not Found"))</f>
        <v/>
      </c>
      <c r="S9" s="246" t="str">
        <v/>
      </c>
      <c r="T9" s="254" t="str">
        <v/>
      </c>
      <c r="U9" s="246" t="str">
        <v/>
      </c>
      <c r="W9" s="4" t="b" cm="1">
        <f t="array" ref="W9:Y13">_xlfn.UNIQUE(_xlfn.HSTACK(LineEntry,DateEntry,PayIDEntry))&lt;&gt;0</f>
        <v>1</v>
      </c>
      <c r="X9" s="4" t="b">
        <v>1</v>
      </c>
      <c r="Y9" s="4" t="b">
        <v>1</v>
      </c>
    </row>
    <row r="10" spans="1:37" s="4" customFormat="1" ht="14" customHeight="1">
      <c r="A10" s="148"/>
      <c r="B10" s="204" t="s">
        <v>10</v>
      </c>
      <c r="C10" s="101" t="s">
        <v>331</v>
      </c>
      <c r="D10" s="101"/>
      <c r="E10" s="155" t="s">
        <v>9</v>
      </c>
      <c r="F10" s="102" t="str">
        <f>IF(TRIM(Job_Name)="", "", Job_Name)</f>
        <v/>
      </c>
      <c r="G10" s="102"/>
      <c r="H10" s="102"/>
      <c r="I10" s="206"/>
      <c r="L10" s="3"/>
      <c r="P10" s="4" t="str" cm="1">
        <f t="array" ref="P10">IF(O10="","",IFERROR(INDEX(Description, MATCH(O10, Line, 0)), "Not Found"))</f>
        <v/>
      </c>
      <c r="W10" s="4" t="b">
        <v>1</v>
      </c>
      <c r="X10" s="4" t="b">
        <v>1</v>
      </c>
      <c r="Y10" s="4" t="b">
        <v>1</v>
      </c>
    </row>
    <row r="11" spans="1:37" s="4" customFormat="1" ht="17">
      <c r="A11" s="148"/>
      <c r="B11" s="207"/>
      <c r="C11" s="101"/>
      <c r="D11" s="101"/>
      <c r="E11" s="156"/>
      <c r="F11" s="157"/>
      <c r="G11" s="157"/>
      <c r="H11" s="157"/>
      <c r="I11" s="208"/>
      <c r="P11" s="4" t="str" cm="1">
        <f t="array" ref="P11">IF(O11="","",IFERROR(INDEX(Description, MATCH(O11, Line, 0)), "Not Found"))</f>
        <v/>
      </c>
      <c r="S11" s="244" t="b" cm="1">
        <f t="array" ref="S11:U15">_xlfn.UNIQUE(_xlfn.HSTACK(LineEntry, DateEntry, PayIDEntry))&lt;&gt;0</f>
        <v>1</v>
      </c>
      <c r="T11" s="4" t="b">
        <v>1</v>
      </c>
      <c r="U11" s="4" t="b">
        <v>1</v>
      </c>
      <c r="W11" s="4" t="b">
        <v>1</v>
      </c>
      <c r="X11" s="4" t="b">
        <v>1</v>
      </c>
      <c r="Y11" s="4" t="b">
        <v>1</v>
      </c>
    </row>
    <row r="12" spans="1:37" s="4" customFormat="1" ht="22" customHeight="1">
      <c r="A12" s="148"/>
      <c r="B12" s="204" t="s">
        <v>8</v>
      </c>
      <c r="C12" s="101"/>
      <c r="D12" s="101"/>
      <c r="E12" s="155" t="s">
        <v>7</v>
      </c>
      <c r="F12" s="7"/>
      <c r="G12" s="7"/>
      <c r="H12" s="7"/>
      <c r="I12" s="209"/>
      <c r="P12" s="4" t="str" cm="1">
        <f t="array" ref="P12">IF(O12="","",IFERROR(INDEX(Description, MATCH(O12, Line, 0)), "Not Found"))</f>
        <v/>
      </c>
      <c r="S12" s="4" t="b">
        <v>1</v>
      </c>
      <c r="T12" s="4" t="b">
        <v>1</v>
      </c>
      <c r="U12" s="4" t="b">
        <v>1</v>
      </c>
      <c r="W12" s="4" t="b">
        <v>1</v>
      </c>
      <c r="X12" s="4" t="b">
        <v>1</v>
      </c>
      <c r="Y12" s="4" t="b">
        <v>1</v>
      </c>
    </row>
    <row r="13" spans="1:37" s="4" customFormat="1" ht="16">
      <c r="A13" s="148"/>
      <c r="B13" s="210"/>
      <c r="C13" s="101"/>
      <c r="D13" s="101"/>
      <c r="F13" s="94"/>
      <c r="G13" s="95"/>
      <c r="H13" s="95"/>
      <c r="I13" s="211"/>
      <c r="P13" s="4" t="str" cm="1">
        <f t="array" ref="P13">IF(O13="","",IFERROR(INDEX(Description, MATCH(O13, Line, 0)), "Not Found"))</f>
        <v/>
      </c>
      <c r="S13" s="4" t="b">
        <v>1</v>
      </c>
      <c r="T13" s="4" t="b">
        <v>1</v>
      </c>
      <c r="U13" s="4" t="b">
        <v>1</v>
      </c>
      <c r="W13" s="4" t="b">
        <v>0</v>
      </c>
      <c r="X13" s="4" t="b">
        <v>0</v>
      </c>
      <c r="Y13" s="4" t="b">
        <v>0</v>
      </c>
    </row>
    <row r="14" spans="1:37" s="4" customFormat="1" ht="16">
      <c r="A14" s="148"/>
      <c r="B14" s="210"/>
      <c r="C14" s="103"/>
      <c r="D14" s="103"/>
      <c r="E14" s="155" t="s">
        <v>268</v>
      </c>
      <c r="F14" s="94"/>
      <c r="G14" s="95"/>
      <c r="H14" s="95"/>
      <c r="I14" s="211"/>
      <c r="S14" s="4" t="b">
        <v>1</v>
      </c>
      <c r="T14" s="4" t="b">
        <v>1</v>
      </c>
      <c r="U14" s="4" t="b">
        <v>1</v>
      </c>
    </row>
    <row r="15" spans="1:37" s="4" customFormat="1" ht="16">
      <c r="A15" s="148"/>
      <c r="B15" s="212"/>
      <c r="C15" s="158"/>
      <c r="D15" s="158"/>
      <c r="E15" s="157"/>
      <c r="F15" s="157"/>
      <c r="G15" s="157"/>
      <c r="H15" s="157"/>
      <c r="I15" s="208"/>
      <c r="S15" s="4" t="b">
        <v>0</v>
      </c>
      <c r="T15" s="4" t="b">
        <v>0</v>
      </c>
      <c r="U15" s="4" t="b">
        <v>0</v>
      </c>
    </row>
    <row r="16" spans="1:37" s="3" customFormat="1" ht="23" customHeight="1">
      <c r="A16" s="145"/>
      <c r="B16" s="213" t="s">
        <v>6</v>
      </c>
      <c r="C16" s="159"/>
      <c r="D16" s="159"/>
      <c r="E16" s="159"/>
      <c r="F16" s="159"/>
      <c r="G16" s="182"/>
      <c r="H16" s="86"/>
      <c r="I16" s="214"/>
    </row>
    <row r="17" spans="1:30" s="3" customFormat="1" ht="23" customHeight="1">
      <c r="A17" s="145"/>
      <c r="B17" s="213"/>
      <c r="C17" s="183"/>
      <c r="D17" s="183"/>
      <c r="E17" s="183"/>
      <c r="F17" s="183"/>
      <c r="G17" s="184"/>
      <c r="H17" s="86"/>
      <c r="I17" s="214"/>
      <c r="T17" s="244" t="s">
        <v>319</v>
      </c>
    </row>
    <row r="18" spans="1:30" s="3" customFormat="1" ht="23" customHeight="1">
      <c r="A18" s="145"/>
      <c r="B18" s="213"/>
      <c r="C18" s="96"/>
      <c r="D18" s="96"/>
      <c r="E18" s="96"/>
      <c r="F18" s="96"/>
      <c r="G18" s="96"/>
      <c r="H18" s="96"/>
      <c r="I18" s="215"/>
    </row>
    <row r="19" spans="1:30" s="3" customFormat="1" ht="13" customHeight="1" thickBot="1">
      <c r="A19" s="145"/>
      <c r="B19" s="213"/>
      <c r="C19" s="96"/>
      <c r="D19" s="96"/>
      <c r="E19" s="96"/>
      <c r="F19" s="96"/>
      <c r="G19" s="96"/>
      <c r="H19" s="96"/>
      <c r="I19" s="215"/>
      <c r="T19" s="272" t="s">
        <v>332</v>
      </c>
      <c r="U19" s="272"/>
      <c r="V19" s="272"/>
      <c r="W19" s="272"/>
      <c r="X19" s="272"/>
      <c r="Y19" s="272"/>
      <c r="Z19" s="4" t="s">
        <v>333</v>
      </c>
    </row>
    <row r="20" spans="1:30" s="3" customFormat="1" ht="34" customHeight="1">
      <c r="A20" s="145"/>
      <c r="B20" s="213"/>
      <c r="C20" s="160"/>
      <c r="D20" s="160"/>
      <c r="E20" s="160"/>
      <c r="F20" s="160"/>
      <c r="G20" s="160"/>
      <c r="H20" s="160"/>
      <c r="I20" s="216"/>
      <c r="K20" s="264" t="s">
        <v>327</v>
      </c>
      <c r="L20" s="261" cm="1">
        <f t="array" ref="L20:Q22">IFERROR(
    _xlfn.WRAPCOLS(
        _xlfn.TOCOL(
            INDEX(
                _xlfn._xlws.FILTER(
                    _xlfn.UNIQUE(_xlfn.HSTACK(LineEntry, DateEntry, PayIDEntry)),
                    _xlfn.BYROW(_xlfn.UNIQUE(_xlfn.HSTACK(LineEntry, DateEntry, PayIDEntry)), _xlfn.LAMBDA(_xlpm.row, SUM(_xlpm.row)&lt;&gt;0))
                ),
                _xlfn.SEQUENCE(6,1),
                {1,2,3}
            )
        ),
        3
    ),
    ""
)</f>
        <v>204</v>
      </c>
      <c r="M20" s="261">
        <v>205</v>
      </c>
      <c r="N20" s="261">
        <v>112</v>
      </c>
      <c r="O20" s="261">
        <v>1</v>
      </c>
      <c r="P20" s="261" t="str">
        <v/>
      </c>
      <c r="Q20" s="261" t="str">
        <v/>
      </c>
      <c r="T20" s="290" cm="1">
        <f t="array" ref="T20:Y22">IFERROR(
    _xlfn.WRAPCOLS(
        _xlfn.TOCOL(
            INDEX(
                _xlfn._xlws.FILTER(
                    _xlfn.UNIQUE(_xlfn.HSTACK(LineEntry, DateEntry, PayIDEntry)),
                    _xlfn.BYROW(_xlfn.UNIQUE(_xlfn.HSTACK(LineEntry, DateEntry, PayIDEntry)), _xlfn.LAMBDA(_xlpm.row, SUM(_xlpm.row)&lt;&gt;0))
                ),
                _xlfn.SEQUENCE(6,1),
                {1,2,3}
            )
        ),
        3
    ),
    ""
)</f>
        <v>204</v>
      </c>
      <c r="U20" s="291">
        <v>205</v>
      </c>
      <c r="V20" s="291">
        <v>112</v>
      </c>
      <c r="W20" s="291">
        <v>1</v>
      </c>
      <c r="X20" s="291" t="str">
        <v/>
      </c>
      <c r="Y20" s="292" t="str">
        <v/>
      </c>
      <c r="Z20" s="3" cm="1">
        <f t="array" ref="Z20">SUMPRODUCT(--(TRIM(T20:Y20)&lt;&gt;""))</f>
        <v>4</v>
      </c>
      <c r="AA20" s="3" cm="1">
        <f t="array" ref="AA20:AD20">_xlfn._xlws.SORT(INDEX(T20:Y20, 1):INDEX(T20:Y20, Z20), 1, TRUE)</f>
        <v>204</v>
      </c>
      <c r="AB20" s="3">
        <v>205</v>
      </c>
      <c r="AC20" s="3">
        <v>112</v>
      </c>
      <c r="AD20" s="3">
        <v>1</v>
      </c>
    </row>
    <row r="21" spans="1:30" s="3" customFormat="1" ht="16" customHeight="1">
      <c r="A21" s="145"/>
      <c r="B21" s="213"/>
      <c r="C21" s="160"/>
      <c r="D21" s="160"/>
      <c r="E21" s="160"/>
      <c r="F21" s="160"/>
      <c r="G21" s="160"/>
      <c r="H21" s="160"/>
      <c r="I21" s="216"/>
      <c r="K21" s="264" t="s">
        <v>328</v>
      </c>
      <c r="L21" s="262">
        <v>45849</v>
      </c>
      <c r="M21" s="262">
        <v>45849</v>
      </c>
      <c r="N21" s="262">
        <v>45848</v>
      </c>
      <c r="O21" s="262">
        <v>45849</v>
      </c>
      <c r="P21" s="262" t="str">
        <v/>
      </c>
      <c r="Q21" s="262" t="str">
        <v/>
      </c>
      <c r="T21" s="145">
        <v>45849</v>
      </c>
      <c r="U21" s="164">
        <v>45849</v>
      </c>
      <c r="V21" s="164">
        <v>45848</v>
      </c>
      <c r="W21" s="164">
        <v>45849</v>
      </c>
      <c r="X21" s="164" t="str">
        <v/>
      </c>
      <c r="Y21" s="293" t="str">
        <v/>
      </c>
    </row>
    <row r="22" spans="1:30" ht="30" customHeight="1" thickBot="1">
      <c r="A22" s="138"/>
      <c r="B22" s="217"/>
      <c r="C22" s="161"/>
      <c r="D22" s="162"/>
      <c r="E22" s="162"/>
      <c r="F22" s="162"/>
      <c r="G22" s="162"/>
      <c r="H22" s="162"/>
      <c r="I22" s="218"/>
      <c r="K22" s="264" t="s">
        <v>329</v>
      </c>
      <c r="L22" s="263" t="str">
        <v>CC 2456</v>
      </c>
      <c r="M22" s="263" t="str">
        <v>CC 2456</v>
      </c>
      <c r="N22" s="263" t="str">
        <v>CHK 101</v>
      </c>
      <c r="O22" s="263" t="str">
        <v>CASH</v>
      </c>
      <c r="P22" s="263" t="str">
        <v/>
      </c>
      <c r="Q22" s="263" t="str">
        <v/>
      </c>
      <c r="T22" s="170" t="str">
        <v>CC 2456</v>
      </c>
      <c r="U22" s="171" t="str">
        <v>CC 2456</v>
      </c>
      <c r="V22" s="171" t="str">
        <v>CHK 101</v>
      </c>
      <c r="W22" s="171" t="str">
        <v>CASH</v>
      </c>
      <c r="X22" s="171" t="str">
        <v/>
      </c>
      <c r="Y22" s="172" t="str">
        <v/>
      </c>
    </row>
    <row r="23" spans="1:30" s="4" customFormat="1" ht="16" customHeight="1" thickBot="1">
      <c r="A23" s="148"/>
      <c r="B23" s="219" t="s">
        <v>4</v>
      </c>
      <c r="C23" s="173" t="s">
        <v>3</v>
      </c>
      <c r="D23" s="174"/>
      <c r="E23" s="175" t="s">
        <v>12</v>
      </c>
      <c r="F23" s="175" t="s">
        <v>18</v>
      </c>
      <c r="G23" s="175" t="s">
        <v>2</v>
      </c>
      <c r="H23" s="175" t="s">
        <v>1</v>
      </c>
      <c r="I23" s="220" t="s">
        <v>0</v>
      </c>
      <c r="L23" s="243" t="s">
        <v>312</v>
      </c>
      <c r="M23" s="243" t="s">
        <v>324</v>
      </c>
      <c r="N23" s="243" t="s">
        <v>313</v>
      </c>
      <c r="O23" s="243" t="s">
        <v>314</v>
      </c>
      <c r="P23" s="243" t="s">
        <v>315</v>
      </c>
      <c r="Q23" s="243" t="s">
        <v>130</v>
      </c>
    </row>
    <row r="24" spans="1:30" s="4" customFormat="1" ht="16" customHeight="1">
      <c r="A24" s="148"/>
      <c r="B24" s="249">
        <v>204</v>
      </c>
      <c r="C24" s="97" t="s">
        <v>310</v>
      </c>
      <c r="D24" s="98"/>
      <c r="E24" s="241">
        <v>45849</v>
      </c>
      <c r="F24" s="251" t="s">
        <v>311</v>
      </c>
      <c r="G24" s="6">
        <v>1</v>
      </c>
      <c r="H24" s="5">
        <v>100</v>
      </c>
      <c r="I24" s="221">
        <f>G24*H24</f>
        <v>100</v>
      </c>
      <c r="L24" s="260">
        <f>IF($B24="", "", IF(AND($I24, $B24=L$20, $E24=L$21, $F24=L$22, SUM($I$24)&gt;0), $I24, ""))</f>
        <v>100</v>
      </c>
      <c r="M24" s="260" t="str">
        <f t="shared" ref="M24:Q24" si="0">IF($B24="", "", IF(AND($I24, $B24=M$20, $E24=M$21, $F24=M$22, SUM($I$24)&gt;0), $I24, ""))</f>
        <v/>
      </c>
      <c r="N24" s="260" t="str">
        <f t="shared" si="0"/>
        <v/>
      </c>
      <c r="O24" s="260" t="str">
        <f>IF($B24="", "", IF(AND($I24, $B24=O$20, $E24=O$21, $F24=O$22, SUM($I$24)&gt;0), $I24, ""))</f>
        <v/>
      </c>
      <c r="P24" s="260" t="str">
        <f t="shared" si="0"/>
        <v/>
      </c>
      <c r="Q24" s="260" t="str">
        <f t="shared" si="0"/>
        <v/>
      </c>
    </row>
    <row r="25" spans="1:30" s="4" customFormat="1" ht="16" customHeight="1">
      <c r="A25" s="148"/>
      <c r="B25" s="249">
        <v>205</v>
      </c>
      <c r="C25" s="97"/>
      <c r="D25" s="98"/>
      <c r="E25" s="241">
        <v>45849</v>
      </c>
      <c r="F25" s="251" t="s">
        <v>311</v>
      </c>
      <c r="G25" s="6">
        <v>1</v>
      </c>
      <c r="H25" s="5">
        <v>50</v>
      </c>
      <c r="I25" s="221">
        <f t="shared" ref="I25:I26" si="1">G25*H25</f>
        <v>50</v>
      </c>
      <c r="L25" s="260" t="str">
        <f t="shared" ref="L25:Q26" si="2">IF($B25="", "", IF(AND($I25, $B25=L$20, $E25=L$21, $F25=L$22, SUM($I$24)&gt;0), $I25, ""))</f>
        <v/>
      </c>
      <c r="M25" s="260">
        <f t="shared" si="2"/>
        <v>50</v>
      </c>
      <c r="N25" s="260" t="str">
        <f t="shared" si="2"/>
        <v/>
      </c>
      <c r="O25" s="260" t="str">
        <f t="shared" si="2"/>
        <v/>
      </c>
      <c r="P25" s="260" t="str">
        <f t="shared" si="2"/>
        <v/>
      </c>
      <c r="Q25" s="260" t="str">
        <f t="shared" si="2"/>
        <v/>
      </c>
    </row>
    <row r="26" spans="1:30" s="4" customFormat="1" ht="16" customHeight="1">
      <c r="A26" s="148"/>
      <c r="B26" s="249">
        <v>112</v>
      </c>
      <c r="C26" s="97" t="s">
        <v>325</v>
      </c>
      <c r="D26" s="98"/>
      <c r="E26" s="241">
        <v>45848</v>
      </c>
      <c r="F26" s="251" t="s">
        <v>326</v>
      </c>
      <c r="G26" s="6">
        <v>1</v>
      </c>
      <c r="H26" s="5">
        <v>1000</v>
      </c>
      <c r="I26" s="221">
        <f t="shared" si="1"/>
        <v>1000</v>
      </c>
      <c r="L26" s="260" t="str">
        <f t="shared" si="2"/>
        <v/>
      </c>
      <c r="M26" s="260" t="str">
        <f t="shared" si="2"/>
        <v/>
      </c>
      <c r="N26" s="260">
        <f t="shared" si="2"/>
        <v>1000</v>
      </c>
      <c r="O26" s="260" t="str">
        <f t="shared" si="2"/>
        <v/>
      </c>
      <c r="P26" s="260" t="str">
        <f t="shared" si="2"/>
        <v/>
      </c>
      <c r="Q26" s="260" t="str">
        <f t="shared" si="2"/>
        <v/>
      </c>
    </row>
    <row r="27" spans="1:30" s="4" customFormat="1" ht="16">
      <c r="A27" s="148"/>
      <c r="B27" s="249">
        <v>204</v>
      </c>
      <c r="C27" s="97" t="s">
        <v>310</v>
      </c>
      <c r="D27" s="98"/>
      <c r="E27" s="241">
        <v>45849</v>
      </c>
      <c r="F27" s="251" t="s">
        <v>311</v>
      </c>
      <c r="G27" s="6">
        <v>1</v>
      </c>
      <c r="H27" s="5">
        <v>100</v>
      </c>
      <c r="I27" s="221">
        <f>G27*H27</f>
        <v>100</v>
      </c>
      <c r="L27" s="260">
        <f>IF($B27="", "", IF(AND($I27, $B27=L$20, $E27=L$21, $F27=L$22, SUM($I$24)&gt;0), $I27, ""))</f>
        <v>100</v>
      </c>
      <c r="M27" s="260" t="str">
        <f>IF($B27="", "", IF(AND($I27, $B27=M$20, $E27=M$21, $F27=M$22, SUM($I$24)&gt;0), $I27, ""))</f>
        <v/>
      </c>
      <c r="N27" s="260" t="str">
        <f>IF($B27="", "", IF(AND($I27, $B27=N$20, $E27=N$21, $F27=N$22, SUM($I$24)&gt;0), $I27, ""))</f>
        <v/>
      </c>
      <c r="O27" s="260" t="str">
        <f>IF($B27="", "", IF(AND($I27, $B27=O$20, $E27=O$21, $F27=O$22, SUM($I$24)&gt;0), $I27, ""))</f>
        <v/>
      </c>
      <c r="P27" s="260" t="str">
        <f>IF($B27="", "", IF(AND($I27, $B27=P$20, $E27=P$21, $F27=P$22, SUM($I$24)&gt;0), $I27, ""))</f>
        <v/>
      </c>
      <c r="Q27" s="260" t="str">
        <f>IF($B27="", "", IF(AND($I27, $B27=Q$20, $E27=Q$21, $F27=Q$22, SUM($I$24)&gt;0), $I27, ""))</f>
        <v/>
      </c>
    </row>
    <row r="28" spans="1:30" s="4" customFormat="1" ht="16" customHeight="1">
      <c r="A28" s="148"/>
      <c r="B28" s="249">
        <v>1</v>
      </c>
      <c r="C28" s="97" t="s">
        <v>338</v>
      </c>
      <c r="D28" s="98"/>
      <c r="E28" s="241">
        <v>45849</v>
      </c>
      <c r="F28" s="251" t="s">
        <v>5</v>
      </c>
      <c r="G28" s="6">
        <v>1</v>
      </c>
      <c r="H28" s="5">
        <v>1000</v>
      </c>
      <c r="I28" s="221">
        <f>G28*H28</f>
        <v>1000</v>
      </c>
      <c r="L28" s="260" t="str">
        <f>IF($B28="", "", IF(AND($I28, $B28=L$20, $E28=L$21, $F28=L$22, SUM($I$24)&gt;0), $I28, ""))</f>
        <v/>
      </c>
      <c r="M28" s="260" t="str">
        <f>IF($B28="", "", IF(AND($I28, $B28=M$20, $E28=M$21, $F28=M$22, SUM($I$24)&gt;0), $I28, ""))</f>
        <v/>
      </c>
      <c r="N28" s="260" t="str">
        <f>IF($B28="", "", IF(AND($I28, $B28=N$20, $E28=N$21, $F28=N$22, SUM($I$24)&gt;0), $I28, ""))</f>
        <v/>
      </c>
      <c r="O28" s="260">
        <f>IF($B28="", "", IF(AND($I28, $B28=O$20, $E28=O$21, $F28=O$22, SUM($I$24)&gt;0), $I28, ""))</f>
        <v>1000</v>
      </c>
      <c r="P28" s="260" t="str">
        <f>IF($B28="", "", IF(AND($I28, $B28=P$20, $E28=P$21, $F28=P$22, SUM($I$24)&gt;0), $I28, ""))</f>
        <v/>
      </c>
      <c r="Q28" s="260" t="str">
        <f>IF($B28="", "", IF(AND($I28, $B28=Q$20, $E28=Q$21, $F28=Q$22, SUM($I$24)&gt;0), $I28, ""))</f>
        <v/>
      </c>
    </row>
    <row r="29" spans="1:30" s="4" customFormat="1" ht="16" customHeight="1">
      <c r="A29" s="148"/>
      <c r="B29" s="249">
        <v>204</v>
      </c>
      <c r="C29" s="97" t="s">
        <v>310</v>
      </c>
      <c r="D29" s="98"/>
      <c r="E29" s="241">
        <v>45849</v>
      </c>
      <c r="F29" s="251" t="s">
        <v>311</v>
      </c>
      <c r="G29" s="6">
        <v>1</v>
      </c>
      <c r="H29" s="5">
        <v>100</v>
      </c>
      <c r="I29" s="221">
        <f>G29*H29</f>
        <v>100</v>
      </c>
      <c r="L29" s="260">
        <f>IF($B29="", "", IF(AND($I29, $B29=L$20, $E29=L$21, $F29=L$22, SUM($I$24)&gt;0), $I29, ""))</f>
        <v>100</v>
      </c>
      <c r="M29" s="260" t="str">
        <f>IF($B29="", "", IF(AND($I29, $B29=M$20, $E29=M$21, $F29=M$22, SUM($I$24)&gt;0), $I29, ""))</f>
        <v/>
      </c>
      <c r="N29" s="260" t="str">
        <f>IF($B29="", "", IF(AND($I29, $B29=N$20, $E29=N$21, $F29=N$22, SUM($I$24)&gt;0), $I29, ""))</f>
        <v/>
      </c>
      <c r="O29" s="260" t="str">
        <f>IF($B29="", "", IF(AND($I29, $B29=O$20, $E29=O$21, $F29=O$22, SUM($I$24)&gt;0), $I29, ""))</f>
        <v/>
      </c>
      <c r="P29" s="260" t="str">
        <f>IF($B29="", "", IF(AND($I29, $B29=P$20, $E29=P$21, $F29=P$22, SUM($I$24)&gt;0), $I29, ""))</f>
        <v/>
      </c>
      <c r="Q29" s="260" t="str">
        <f>IF($B29="", "", IF(AND($I29, $B29=Q$20, $E29=Q$21, $F29=Q$22, SUM($I$24)&gt;0), $I29, ""))</f>
        <v/>
      </c>
    </row>
    <row r="30" spans="1:30" s="4" customFormat="1" ht="16" customHeight="1">
      <c r="A30" s="148"/>
      <c r="B30" s="249">
        <v>204</v>
      </c>
      <c r="C30" s="97" t="s">
        <v>310</v>
      </c>
      <c r="D30" s="98"/>
      <c r="E30" s="241">
        <v>45849</v>
      </c>
      <c r="F30" s="251" t="s">
        <v>311</v>
      </c>
      <c r="G30" s="6">
        <v>1</v>
      </c>
      <c r="H30" s="5">
        <v>100</v>
      </c>
      <c r="I30" s="221">
        <f>G30*H30</f>
        <v>100</v>
      </c>
      <c r="L30" s="260">
        <f>IF($B30="", "", IF(AND($I30, $B30=L$20, $E30=L$21, $F30=L$22, SUM($I$24)&gt;0), $I30, ""))</f>
        <v>100</v>
      </c>
      <c r="M30" s="260" t="str">
        <f>IF($B30="", "", IF(AND($I30, $B30=M$20, $E30=M$21, $F30=M$22, SUM($I$24)&gt;0), $I30, ""))</f>
        <v/>
      </c>
      <c r="N30" s="260" t="str">
        <f>IF($B30="", "", IF(AND($I30, $B30=N$20, $E30=N$21, $F30=N$22, SUM($I$24)&gt;0), $I30, ""))</f>
        <v/>
      </c>
      <c r="O30" s="260" t="str">
        <f>IF($B30="", "", IF(AND($I30, $B30=O$20, $E30=O$21, $F30=O$22, SUM($I$24)&gt;0), $I30, ""))</f>
        <v/>
      </c>
      <c r="P30" s="260" t="str">
        <f>IF($B30="", "", IF(AND($I30, $B30=P$20, $E30=P$21, $F30=P$22, SUM($I$24)&gt;0), $I30, ""))</f>
        <v/>
      </c>
      <c r="Q30" s="260" t="str">
        <f>IF($B30="", "", IF(AND($I30, $B30=Q$20, $E30=Q$21, $F30=Q$22, SUM($I$24)&gt;0), $I30, ""))</f>
        <v/>
      </c>
    </row>
    <row r="31" spans="1:30" s="4" customFormat="1" ht="16" customHeight="1">
      <c r="A31" s="148"/>
      <c r="B31" s="249">
        <v>204</v>
      </c>
      <c r="C31" s="97" t="s">
        <v>310</v>
      </c>
      <c r="D31" s="98"/>
      <c r="E31" s="241">
        <v>45849</v>
      </c>
      <c r="F31" s="251" t="s">
        <v>311</v>
      </c>
      <c r="G31" s="6">
        <v>1</v>
      </c>
      <c r="H31" s="5">
        <v>100</v>
      </c>
      <c r="I31" s="221">
        <f>G31*H31</f>
        <v>100</v>
      </c>
      <c r="L31" s="260">
        <f>IF($B31="", "", IF(AND($I31, $B31=L$20, $E31=L$21, $F31=L$22, SUM($I$24)&gt;0), $I31, ""))</f>
        <v>100</v>
      </c>
      <c r="M31" s="260" t="str">
        <f>IF($B31="", "", IF(AND($I31, $B31=M$20, $E31=M$21, $F31=M$22, SUM($I$24)&gt;0), $I31, ""))</f>
        <v/>
      </c>
      <c r="N31" s="260" t="str">
        <f>IF($B31="", "", IF(AND($I31, $B31=N$20, $E31=N$21, $F31=N$22, SUM($I$24)&gt;0), $I31, ""))</f>
        <v/>
      </c>
      <c r="O31" s="260" t="str">
        <f>IF($B31="", "", IF(AND($I31, $B31=O$20, $E31=O$21, $F31=O$22, SUM($I$24)&gt;0), $I31, ""))</f>
        <v/>
      </c>
      <c r="P31" s="260" t="str">
        <f>IF($B31="", "", IF(AND($I31, $B31=P$20, $E31=P$21, $F31=P$22, SUM($I$24)&gt;0), $I31, ""))</f>
        <v/>
      </c>
      <c r="Q31" s="260" t="str">
        <f>IF($B31="", "", IF(AND($I31, $B31=Q$20, $E31=Q$21, $F31=Q$22, SUM($I$24)&gt;0), $I31, ""))</f>
        <v/>
      </c>
    </row>
    <row r="32" spans="1:30" s="4" customFormat="1" ht="16" customHeight="1">
      <c r="A32" s="148"/>
      <c r="B32" s="249">
        <v>204</v>
      </c>
      <c r="C32" s="97" t="s">
        <v>310</v>
      </c>
      <c r="D32" s="98"/>
      <c r="E32" s="241">
        <v>45849</v>
      </c>
      <c r="F32" s="251" t="s">
        <v>311</v>
      </c>
      <c r="G32" s="6">
        <v>1</v>
      </c>
      <c r="H32" s="5">
        <v>100</v>
      </c>
      <c r="I32" s="221">
        <f>G32*H32</f>
        <v>100</v>
      </c>
      <c r="L32" s="260">
        <f>IF($B32="", "", IF(AND($I32, $B32=L$20, $E32=L$21, $F32=L$22, SUM($I$24)&gt;0), $I32, ""))</f>
        <v>100</v>
      </c>
      <c r="M32" s="260" t="str">
        <f>IF($B32="", "", IF(AND($I32, $B32=M$20, $E32=M$21, $F32=M$22, SUM($I$24)&gt;0), $I32, ""))</f>
        <v/>
      </c>
      <c r="N32" s="260" t="str">
        <f>IF($B32="", "", IF(AND($I32, $B32=N$20, $E32=N$21, $F32=N$22, SUM($I$24)&gt;0), $I32, ""))</f>
        <v/>
      </c>
      <c r="O32" s="260" t="str">
        <f>IF($B32="", "", IF(AND($I32, $B32=O$20, $E32=O$21, $F32=O$22, SUM($I$24)&gt;0), $I32, ""))</f>
        <v/>
      </c>
      <c r="P32" s="260" t="str">
        <f>IF($B32="", "", IF(AND($I32, $B32=P$20, $E32=P$21, $F32=P$22, SUM($I$24)&gt;0), $I32, ""))</f>
        <v/>
      </c>
      <c r="Q32" s="260" t="str">
        <f>IF($B32="", "", IF(AND($I32, $B32=Q$20, $E32=Q$21, $F32=Q$22, SUM($I$24)&gt;0), $I32, ""))</f>
        <v/>
      </c>
    </row>
    <row r="33" spans="1:19" s="4" customFormat="1" ht="16" customHeight="1">
      <c r="A33" s="148"/>
      <c r="B33" s="249">
        <v>204</v>
      </c>
      <c r="C33" s="97" t="s">
        <v>310</v>
      </c>
      <c r="D33" s="98"/>
      <c r="E33" s="241">
        <v>45849</v>
      </c>
      <c r="F33" s="251" t="s">
        <v>311</v>
      </c>
      <c r="G33" s="6">
        <v>1</v>
      </c>
      <c r="H33" s="5">
        <v>100</v>
      </c>
      <c r="I33" s="221">
        <f>G33*H33</f>
        <v>100</v>
      </c>
      <c r="L33" s="260">
        <f>IF($B33="", "", IF(AND($I33, $B33=L$20, $E33=L$21, $F33=L$22, SUM($I$24)&gt;0), $I33, ""))</f>
        <v>100</v>
      </c>
      <c r="M33" s="260" t="str">
        <f>IF($B33="", "", IF(AND($I33, $B33=M$20, $E33=M$21, $F33=M$22, SUM($I$24)&gt;0), $I33, ""))</f>
        <v/>
      </c>
      <c r="N33" s="260" t="str">
        <f>IF($B33="", "", IF(AND($I33, $B33=N$20, $E33=N$21, $F33=N$22, SUM($I$24)&gt;0), $I33, ""))</f>
        <v/>
      </c>
      <c r="O33" s="260" t="str">
        <f>IF($B33="", "", IF(AND($I33, $B33=O$20, $E33=O$21, $F33=O$22, SUM($I$24)&gt;0), $I33, ""))</f>
        <v/>
      </c>
      <c r="P33" s="260" t="str">
        <f>IF($B33="", "", IF(AND($I33, $B33=P$20, $E33=P$21, $F33=P$22, SUM($I$24)&gt;0), $I33, ""))</f>
        <v/>
      </c>
      <c r="Q33" s="260" t="str">
        <f>IF($B33="", "", IF(AND($I33, $B33=Q$20, $E33=Q$21, $F33=Q$22, SUM($I$24)&gt;0), $I33, ""))</f>
        <v/>
      </c>
    </row>
    <row r="34" spans="1:19" s="4" customFormat="1" ht="16" customHeight="1">
      <c r="A34" s="148"/>
      <c r="B34" s="249">
        <v>204</v>
      </c>
      <c r="C34" s="97" t="s">
        <v>310</v>
      </c>
      <c r="D34" s="98"/>
      <c r="E34" s="241">
        <v>45849</v>
      </c>
      <c r="F34" s="251" t="s">
        <v>311</v>
      </c>
      <c r="G34" s="6">
        <v>1</v>
      </c>
      <c r="H34" s="5">
        <v>100</v>
      </c>
      <c r="I34" s="221">
        <f>G34*H34</f>
        <v>100</v>
      </c>
      <c r="L34" s="260">
        <f>IF($B34="", "", IF(AND($I34, $B34=L$20, $E34=L$21, $F34=L$22, SUM($I$24)&gt;0), $I34, ""))</f>
        <v>100</v>
      </c>
      <c r="M34" s="260" t="str">
        <f>IF($B34="", "", IF(AND($I34, $B34=M$20, $E34=M$21, $F34=M$22, SUM($I$24)&gt;0), $I34, ""))</f>
        <v/>
      </c>
      <c r="N34" s="260" t="str">
        <f>IF($B34="", "", IF(AND($I34, $B34=N$20, $E34=N$21, $F34=N$22, SUM($I$24)&gt;0), $I34, ""))</f>
        <v/>
      </c>
      <c r="O34" s="260" t="str">
        <f>IF($B34="", "", IF(AND($I34, $B34=O$20, $E34=O$21, $F34=O$22, SUM($I$24)&gt;0), $I34, ""))</f>
        <v/>
      </c>
      <c r="P34" s="260" t="str">
        <f>IF($B34="", "", IF(AND($I34, $B34=P$20, $E34=P$21, $F34=P$22, SUM($I$24)&gt;0), $I34, ""))</f>
        <v/>
      </c>
      <c r="Q34" s="260" t="str">
        <f>IF($B34="", "", IF(AND($I34, $B34=Q$20, $E34=Q$21, $F34=Q$22, SUM($I$24)&gt;0), $I34, ""))</f>
        <v/>
      </c>
    </row>
    <row r="35" spans="1:19" s="4" customFormat="1" ht="16" customHeight="1" thickBot="1">
      <c r="A35" s="148"/>
      <c r="B35" s="250"/>
      <c r="C35" s="176"/>
      <c r="D35" s="177"/>
      <c r="E35" s="178"/>
      <c r="F35" s="252"/>
      <c r="G35" s="178"/>
      <c r="H35" s="179"/>
      <c r="I35" s="222">
        <f>G35*H35</f>
        <v>0</v>
      </c>
      <c r="L35" s="4" t="str">
        <f>IF($B35="", "", IF(AND($I35, $B35=L$20, $E35=L$21, $F35=L$22, SUM($I$24)&gt;0), $I35, ""))</f>
        <v/>
      </c>
      <c r="M35" s="4" t="str">
        <f>IF($B35="", "", IF(AND($I35, $B35=M$20, $E35=M$21, $F35=M$22, SUM($I$24)&gt;0), $I35, ""))</f>
        <v/>
      </c>
      <c r="N35" s="4" t="str">
        <f>IF($B35="", "", IF(AND($I35, $B35=N$20, $E35=N$21, $F35=N$22, SUM($I$24)&gt;0), $I35, ""))</f>
        <v/>
      </c>
      <c r="O35" s="4" t="str">
        <f>IF($B35="", "", IF(AND($I35, $B35=O$20, $E35=O$21, $F35=O$22, SUM($I$24)&gt;0), $I35, ""))</f>
        <v/>
      </c>
      <c r="P35" s="4" t="str">
        <f>IF($B35="", "", IF(AND($I35, $B35=P$20, $E35=P$21, $F35=P$22, SUM($I$24)&gt;0), $I35, ""))</f>
        <v/>
      </c>
      <c r="Q35" s="4" t="str">
        <f>IF($B35="", "", IF(AND($I35, $B35=Q$20, $E35=Q$21, $F35=Q$22, SUM($I$24)&gt;0), $I35, ""))</f>
        <v/>
      </c>
      <c r="R35" s="4" t="str">
        <f>IF($B35="", "", IF(AND($I35, $B35=R$20, $E35=R$21, $F35=R$22, SUM($I$24)&gt;0), $I35, ""))</f>
        <v/>
      </c>
    </row>
    <row r="36" spans="1:19" s="4" customFormat="1" ht="16" customHeight="1" thickBot="1">
      <c r="A36" s="148"/>
      <c r="B36" s="223"/>
      <c r="C36" s="180"/>
      <c r="D36" s="180"/>
      <c r="E36" s="180"/>
      <c r="F36" s="180"/>
      <c r="G36" s="181"/>
      <c r="H36" s="181"/>
      <c r="I36" s="224"/>
      <c r="L36" s="265">
        <f>IF(SUM(L24:L35), SUM(L24:L35),"")</f>
        <v>800</v>
      </c>
      <c r="M36" s="266">
        <f t="shared" ref="M36:Q36" si="3">IF(SUM(M24:M35), SUM(M24:M35),"")</f>
        <v>50</v>
      </c>
      <c r="N36" s="267">
        <f t="shared" si="3"/>
        <v>1000</v>
      </c>
      <c r="O36" s="267">
        <f>IF(SUM(O24:O35), SUM(O24:O35),"")</f>
        <v>1000</v>
      </c>
      <c r="P36" s="267" t="str">
        <f t="shared" si="3"/>
        <v/>
      </c>
      <c r="Q36" s="268" t="str">
        <f t="shared" si="3"/>
        <v/>
      </c>
    </row>
    <row r="37" spans="1:19" s="4" customFormat="1" ht="16" customHeight="1" thickBot="1">
      <c r="A37" s="148"/>
      <c r="B37" s="225" t="s">
        <v>266</v>
      </c>
      <c r="C37" s="2"/>
      <c r="D37" s="2"/>
      <c r="E37" s="165"/>
      <c r="F37" s="166"/>
      <c r="G37" s="232" t="s">
        <v>264</v>
      </c>
      <c r="H37" s="233"/>
      <c r="I37" s="234">
        <f>SUM(I23:I35)</f>
        <v>2850</v>
      </c>
      <c r="L37" s="256" t="s">
        <v>312</v>
      </c>
      <c r="M37" s="257" t="s">
        <v>324</v>
      </c>
      <c r="N37" s="258" t="s">
        <v>313</v>
      </c>
      <c r="O37" s="258" t="s">
        <v>314</v>
      </c>
      <c r="P37" s="258" t="s">
        <v>315</v>
      </c>
      <c r="Q37" s="259" t="s">
        <v>316</v>
      </c>
    </row>
    <row r="38" spans="1:19" s="4" customFormat="1" ht="16" customHeight="1" thickBot="1">
      <c r="A38" s="148"/>
      <c r="B38" s="225"/>
      <c r="C38" s="168"/>
      <c r="D38" s="168"/>
      <c r="E38" s="169"/>
      <c r="F38" s="167"/>
      <c r="G38" s="235"/>
      <c r="H38" s="163"/>
      <c r="I38" s="226"/>
    </row>
    <row r="39" spans="1:19" s="4" customFormat="1" ht="16" customHeight="1">
      <c r="A39" s="148"/>
      <c r="B39" s="225"/>
      <c r="C39" s="141"/>
      <c r="D39" s="141"/>
      <c r="E39" s="167"/>
      <c r="F39" s="167"/>
      <c r="G39" s="235" t="s">
        <v>263</v>
      </c>
      <c r="H39" s="167" t="s">
        <v>265</v>
      </c>
      <c r="I39" s="227"/>
      <c r="L39" s="287" t="s">
        <v>330</v>
      </c>
      <c r="M39" s="288"/>
      <c r="N39" s="288"/>
      <c r="O39" s="288"/>
      <c r="P39" s="288"/>
      <c r="Q39" s="288"/>
      <c r="R39" s="289"/>
    </row>
    <row r="40" spans="1:19" ht="16" customHeight="1" thickBot="1">
      <c r="A40" s="138"/>
      <c r="B40" s="225" t="s">
        <v>267</v>
      </c>
      <c r="C40" s="2"/>
      <c r="D40" s="2"/>
      <c r="E40" s="166"/>
      <c r="F40" s="166"/>
      <c r="G40" s="235" t="s">
        <v>21</v>
      </c>
      <c r="H40" s="167"/>
      <c r="I40" s="228">
        <f>SUM(I37:I39)</f>
        <v>2850</v>
      </c>
      <c r="L40" s="300" t="s">
        <v>339</v>
      </c>
      <c r="M40" s="280" t="s">
        <v>4</v>
      </c>
      <c r="N40" s="273" t="s">
        <v>16</v>
      </c>
      <c r="O40" s="273" t="s">
        <v>17</v>
      </c>
      <c r="P40" s="274" t="s">
        <v>12</v>
      </c>
      <c r="Q40" s="273" t="s">
        <v>18</v>
      </c>
      <c r="R40" s="275" t="s">
        <v>242</v>
      </c>
      <c r="S40" s="282" t="s">
        <v>19</v>
      </c>
    </row>
    <row r="41" spans="1:19" ht="16" customHeight="1" thickBot="1">
      <c r="A41" s="185"/>
      <c r="B41" s="229"/>
      <c r="C41" s="230"/>
      <c r="D41" s="230"/>
      <c r="E41" s="230"/>
      <c r="F41" s="230"/>
      <c r="G41" s="229"/>
      <c r="H41" s="230"/>
      <c r="I41" s="231"/>
      <c r="L41" s="256" t="str">
        <f>IF(SUM($L$24:$L$35), "#A","")</f>
        <v>#A</v>
      </c>
      <c r="M41" s="281">
        <f>IF(POLogPreview[[#This Row],[HHEADER]]="#A", L20,"")</f>
        <v>204</v>
      </c>
      <c r="N41" s="276" t="str">
        <f>IF(POLogPreview[[#This Row],[HHEADER]]="#A", Vendor,"")</f>
        <v>Vendor</v>
      </c>
      <c r="O41" s="276" t="str">
        <f>IF(POLogPreview[[#This Row],[HHEADER]]="#A", Sheet_PO,"")</f>
        <v>{{PO_NUMBER}}</v>
      </c>
      <c r="P41" s="277">
        <f>IF(POLogPreview[[#This Row],[HHEADER]]="#A", L$21,"")</f>
        <v>45849</v>
      </c>
      <c r="Q41" s="276" t="str">
        <f>IF(POLogPreview[[#This Row],[HHEADER]]="#A", L$22,"")</f>
        <v>CC 2456</v>
      </c>
      <c r="R41" s="278">
        <f>IF(POLogPreview[[#This Row],[HHEADER]]="#A", L$36,"")</f>
        <v>800</v>
      </c>
      <c r="S41" s="283" t="str">
        <f>IF(POLogPreview[[#This Row],[HHEADER]]="#A",
      INDEX('Line No'!$B$1:$B$342, MATCH(POLogPreview[[#This Row],[LINE]], 'Line No'!$A$1:$A$342, 0)),
      "")</f>
        <v>Production Supplies</v>
      </c>
    </row>
    <row r="42" spans="1:19" ht="16" customHeight="1">
      <c r="A42" s="185"/>
      <c r="B42" s="185"/>
      <c r="C42" s="185"/>
      <c r="D42" s="185"/>
      <c r="E42" s="185"/>
      <c r="F42" s="185"/>
      <c r="G42" s="185"/>
      <c r="H42" s="185"/>
      <c r="I42" s="185"/>
      <c r="L42" s="298" t="str">
        <f>IF(SUM($M$24:$M$34), "#B", "")</f>
        <v>#B</v>
      </c>
      <c r="M42" s="281">
        <f>IF(POLogPreview[[#This Row],[HHEADER]]="#B", L20,"")</f>
        <v>204</v>
      </c>
      <c r="N42" s="281" t="str">
        <f>IF(POLogPreview[[#This Row],[HHEADER]]="#A", Vendor,"")</f>
        <v/>
      </c>
      <c r="O42" s="281" t="str">
        <f>IF(POLogPreview[[#This Row],[HHEADER]]="#B", Sheet_PO,"")</f>
        <v>{{PO_NUMBER}}</v>
      </c>
      <c r="P42" s="295">
        <f>IF(POLogPreview[[#This Row],[HHEADER]]="#B", M21,"")</f>
        <v>45849</v>
      </c>
      <c r="Q42" s="281" t="str">
        <f>IF(POLogPreview[[#This Row],[HHEADER]]="#B", M22,"")</f>
        <v>CC 2456</v>
      </c>
      <c r="R42" s="278">
        <f>IF(POLogPreview[[#This Row],[HHEADER]]="#B", M36,"")</f>
        <v>50</v>
      </c>
      <c r="S42" s="283" t="str">
        <f>IF(POLogPreview[[#This Row],[HHEADER]]="#B",
      INDEX('Line No'!$B$1:$B$342, MATCH(POLogPreview[[#This Row],[LINE]], 'Line No'!$A$1:$A$342, 0)),
      "")</f>
        <v>Production Supplies</v>
      </c>
    </row>
    <row r="43" spans="1:19" ht="16" customHeight="1">
      <c r="A43" s="185"/>
      <c r="B43" s="185"/>
      <c r="C43" s="185"/>
      <c r="D43" s="185"/>
      <c r="E43" s="185"/>
      <c r="F43" s="185"/>
      <c r="G43" s="186"/>
      <c r="H43" s="186"/>
      <c r="I43" s="186"/>
      <c r="L43" s="298" t="str">
        <f>IF(SUM($N$24:$N$34), "#C", "")</f>
        <v>#C</v>
      </c>
      <c r="M43" s="281">
        <f>IF(POLogPreview[[#This Row],[HHEADER]]="#C", M20,"")</f>
        <v>205</v>
      </c>
      <c r="N43" s="281" t="str">
        <f>IF(POLogPreview[[#This Row],[HHEADER]]="#A", Vendor,"")</f>
        <v/>
      </c>
      <c r="O43" s="276" t="str">
        <f>IF(POLogPreview[[#This Row],[HHEADER]]="#C", Sheet_PO,"")</f>
        <v>{{PO_NUMBER}}</v>
      </c>
      <c r="P43" s="277">
        <f>IF(POLogPreview[[#This Row],[HHEADER]]="#C", N21,"")</f>
        <v>45848</v>
      </c>
      <c r="Q43" s="276" t="str">
        <f>IF(POLogPreview[[#This Row],[HHEADER]]="#C", N22,"")</f>
        <v>CHK 101</v>
      </c>
      <c r="R43" s="278">
        <f>IF(POLogPreview[[#This Row],[HHEADER]]="#C", N36,"")</f>
        <v>1000</v>
      </c>
      <c r="S43" s="283" t="str">
        <f>IF(POLogPreview[[#This Row],[HHEADER]]="#C",
      INDEX('Line No'!$B$1:$B$342, MATCH(POLogPreview[[#This Row],[LINE]], 'Line No'!$A$1:$A$342, 0)),
      "")</f>
        <v>Location Supplies</v>
      </c>
    </row>
    <row r="44" spans="1:19" ht="16" customHeight="1">
      <c r="A44" s="185"/>
      <c r="B44" s="185"/>
      <c r="C44" s="185"/>
      <c r="D44" s="185"/>
      <c r="E44" s="185"/>
      <c r="F44" s="185"/>
      <c r="G44" s="186"/>
      <c r="H44" s="255"/>
      <c r="I44" s="186"/>
      <c r="L44" s="298" t="str">
        <f>IF(SUM($O$24:$O$34), "#D", "")</f>
        <v>#D</v>
      </c>
      <c r="M44" s="281">
        <f>IF(POLogPreview[[#This Row],[HHEADER]]="#D", N20,"")</f>
        <v>112</v>
      </c>
      <c r="N44" s="281" t="str">
        <f>IF(POLogPreview[[#This Row],[HHEADER]]="#A", Vendor,"")</f>
        <v/>
      </c>
      <c r="O44" s="276" t="str">
        <f>IF(POLogPreview[[#This Row],[HHEADER]]="#D", Sheet_PO,"")</f>
        <v>{{PO_NUMBER}}</v>
      </c>
      <c r="P44" s="277">
        <f>IF(POLogPreview[[#This Row],[HHEADER]]="#D", O21,"")</f>
        <v>45849</v>
      </c>
      <c r="Q44" s="276" t="str">
        <f>IF(POLogPreview[[#This Row],[HHEADER]]="#D", O22,"")</f>
        <v>CASH</v>
      </c>
      <c r="R44" s="278">
        <f>IF(POLogPreview[[#This Row],[HHEADER]]="#D", O36,"")</f>
        <v>1000</v>
      </c>
      <c r="S44" s="283" t="str">
        <f>IF(POLogPreview[[#This Row],[HHEADER]]="#D",
      INDEX('Line No'!$B$1:$B$342, MATCH(POLogPreview[[#This Row],[LINE]], 'Line No'!$A$1:$A$342, 0)),
      "")</f>
        <v>Pre Pro Meals</v>
      </c>
    </row>
    <row r="45" spans="1:19" ht="16" customHeight="1">
      <c r="A45" s="185"/>
      <c r="B45" s="185"/>
      <c r="C45" s="270"/>
      <c r="D45" s="270"/>
      <c r="E45" s="270"/>
      <c r="F45" s="270"/>
      <c r="G45" s="187"/>
      <c r="H45" s="187"/>
      <c r="I45" s="188"/>
      <c r="L45" s="298" t="str">
        <f>IF(SUM($P$24:$P$34), "#E", "")</f>
        <v/>
      </c>
      <c r="M45" s="281" t="str">
        <f>IF(POLogPreview[[#This Row],[HHEADER]]="#E", O20,"")</f>
        <v/>
      </c>
      <c r="N45" s="281" t="str">
        <f>IF(POLogPreview[[#This Row],[HHEADER]]="#A", Vendor,"")</f>
        <v/>
      </c>
      <c r="O45" s="276" t="str">
        <f>IF(POLogPreview[[#This Row],[HHEADER]]="#E", Sheet_PO,"")</f>
        <v/>
      </c>
      <c r="P45" s="277" t="str">
        <f>IF(POLogPreview[[#This Row],[HHEADER]]="#E", P21,"")</f>
        <v/>
      </c>
      <c r="Q45" s="276" t="str">
        <f>IF(POLogPreview[[#This Row],[HHEADER]]="#E", P22,"")</f>
        <v/>
      </c>
      <c r="R45" s="278" t="str">
        <f>IF(POLogPreview[[#This Row],[HHEADER]]="#E", P36,"")</f>
        <v/>
      </c>
      <c r="S45" s="283" t="str">
        <f>IF(POLogPreview[[#This Row],[HHEADER]]="#E",
      INDEX('Line No'!$B$1:$B$342, MATCH(POLogPreview[[#This Row],[LINE]], 'Line No'!$A$1:$A$342, 0)),
      "")</f>
        <v/>
      </c>
    </row>
    <row r="46" spans="1:19" ht="16" customHeight="1">
      <c r="A46" s="185"/>
      <c r="B46" s="185"/>
      <c r="C46" s="185"/>
      <c r="D46" s="185"/>
      <c r="E46" s="185"/>
      <c r="F46" s="185" t="e">
        <f>INDEX(B24:I34, 2)</f>
        <v>#REF!</v>
      </c>
      <c r="G46" s="185"/>
      <c r="H46" s="185"/>
      <c r="I46" s="185"/>
      <c r="L46" s="298" t="str">
        <f>IF(SUM($Q$24:$Q$34), "#F", "")</f>
        <v/>
      </c>
      <c r="M46" s="281" t="str">
        <f>IF(POLogPreview[[#This Row],[HHEADER]]="#F", P20,"")</f>
        <v/>
      </c>
      <c r="N46" s="281" t="str">
        <f>IF(POLogPreview[[#This Row],[HHEADER]]="#A", Vendor,"")</f>
        <v/>
      </c>
      <c r="O46" s="276" t="str">
        <f>IF(POLogPreview[[#This Row],[HHEADER]]="#F", Sheet_PO,"")</f>
        <v/>
      </c>
      <c r="P46" s="277" t="str">
        <f>IF(POLogPreview[[#This Row],[HHEADER]]="#F", Q21,"")</f>
        <v/>
      </c>
      <c r="Q46" s="276" t="str">
        <f>IF(POLogPreview[[#This Row],[HHEADER]]="#F", Q22,"")</f>
        <v/>
      </c>
      <c r="R46" s="278" t="str">
        <f>IF(POLogPreview[[#This Row],[HHEADER]]="#F", Q36,"")</f>
        <v/>
      </c>
      <c r="S46" s="283" t="str">
        <f>IF(POLogPreview[[#This Row],[HHEADER]]="#F",
      INDEX('Line No'!$B$1:$B$342, MATCH(POLogPreview[[#This Row],[LINE]], 'Line No'!$A$1:$A$342, 0)),
      "")</f>
        <v/>
      </c>
    </row>
    <row r="47" spans="1:19" ht="16" customHeight="1">
      <c r="A47" s="185"/>
      <c r="B47" s="269"/>
      <c r="C47" s="269" cm="1">
        <f t="array" ref="C47:J47">INDEX(B24:I34,MATCH(L22,F24:F34,0), )</f>
        <v>204</v>
      </c>
      <c r="D47" s="269" t="str">
        <v>Misc</v>
      </c>
      <c r="E47" s="269">
        <v>0</v>
      </c>
      <c r="F47" s="269">
        <v>45849</v>
      </c>
      <c r="G47" s="269" t="str">
        <v>CC 2456</v>
      </c>
      <c r="H47" s="269">
        <v>1</v>
      </c>
      <c r="I47" s="269">
        <v>100</v>
      </c>
      <c r="J47" s="1">
        <v>100</v>
      </c>
      <c r="L47" s="298" t="str">
        <f>IF(SUM($R$24:$R$34), "#G", "")</f>
        <v/>
      </c>
      <c r="M47" s="281" t="str">
        <f>IF(POLogPreview[[#This Row],[HHEADER]]="#G", Q20,"")</f>
        <v/>
      </c>
      <c r="N47" s="281" t="str">
        <f>IF(POLogPreview[[#This Row],[HHEADER]]="#A", Vendor,"")</f>
        <v/>
      </c>
      <c r="O47" s="276" t="str">
        <f>IF(POLogPreview[[#This Row],[HHEADER]]="#G", Sheet_PO,"")</f>
        <v/>
      </c>
      <c r="P47" s="296" t="str">
        <f>IF(POLogPreview[[#This Row],[HHEADER]]="#G", R21,"")</f>
        <v/>
      </c>
      <c r="Q47" s="279" t="str">
        <f>IF(POLogPreview[[#This Row],[HHEADER]]="#G", R22,"")</f>
        <v/>
      </c>
      <c r="R47" s="278" t="str">
        <f>IF(POLogPreview[[#This Row],[HHEADER]]="#G", R36,"")</f>
        <v/>
      </c>
      <c r="S47" s="283" t="str">
        <f>IF(POLogPreview[[#This Row],[HHEADER]]="#G",
      INDEX('Line No'!$B$1:$B$342, MATCH(POLogPreview[[#This Row],[LINE]], 'Line No'!$A$1:$A$342, 0)),
      "")</f>
        <v/>
      </c>
    </row>
    <row r="48" spans="1:19" ht="16" customHeight="1">
      <c r="L48" s="298" t="str">
        <f>IF(SUM($S$24:$S$34), "#H", "")</f>
        <v/>
      </c>
      <c r="M48" s="281" t="str">
        <f>IF(POLogPreview[[#This Row],[HHEADER]]="#H", R20,"")</f>
        <v/>
      </c>
      <c r="N48" s="281" t="str">
        <f>IF(POLogPreview[[#This Row],[HHEADER]]="#A", Vendor,"")</f>
        <v/>
      </c>
      <c r="O48" s="276" t="str">
        <f>IF(POLogPreview[[#This Row],[HHEADER]]="#H", Sheet_PO,"")</f>
        <v/>
      </c>
      <c r="P48" s="296" t="str">
        <f>IF(POLogPreview[[#This Row],[HHEADER]]="#H", T21,"")</f>
        <v/>
      </c>
      <c r="Q48" s="279" t="str">
        <f>IF(POLogPreview[[#This Row],[HHEADER]]="#H", T22,"")</f>
        <v/>
      </c>
      <c r="R48" s="278" t="str">
        <f>IF(POLogPreview[[#This Row],[HHEADER]]="#H", T36,"")</f>
        <v/>
      </c>
      <c r="S48" s="283" t="str">
        <f>IF(POLogPreview[[#This Row],[HHEADER]]="#H",
      INDEX('Line No'!$B$1:$B$342, MATCH(POLogPreview[[#This Row],[LINE]], 'Line No'!$A$1:$A$342, 0)),
      "")</f>
        <v/>
      </c>
    </row>
    <row r="49" spans="3:19" ht="16" customHeight="1">
      <c r="L49" s="298" t="str">
        <f>IF(SUM($T$24:$T$34), "#OTHER", "")</f>
        <v/>
      </c>
      <c r="M49" s="281" t="str">
        <f>IF(POLogPreview[[#This Row],[HHEADER]]="#I", T20,"")</f>
        <v/>
      </c>
      <c r="N49" s="281" t="str">
        <f>IF(POLogPreview[[#This Row],[HHEADER]]="#A", Vendor,"")</f>
        <v/>
      </c>
      <c r="O49" s="276" t="str">
        <f>IF(POLogPreview[[#This Row],[HHEADER]]="#I", Sheet_PO,"")</f>
        <v/>
      </c>
      <c r="P49" s="296" t="str">
        <f>IF(POLogPreview[[#This Row],[HHEADER]]="#I", U21,"")</f>
        <v/>
      </c>
      <c r="Q49" s="279" t="str">
        <f>IF(POLogPreview[[#This Row],[HHEADER]]="#I", U22,"")</f>
        <v/>
      </c>
      <c r="R49" s="278" t="str">
        <f>IF(POLogPreview[[#This Row],[HHEADER]]="#I", U36,"")</f>
        <v/>
      </c>
      <c r="S49" s="283" t="str">
        <f>IF(POLogPreview[[#This Row],[HHEADER]]="#I",
      INDEX('Line No'!$B$1:$B$342, MATCH(POLogPreview[[#This Row],[LINE]], 'Line No'!$A$1:$A$342, 0)),
      "")</f>
        <v/>
      </c>
    </row>
    <row r="50" spans="3:19" ht="16" customHeight="1">
      <c r="C50" s="1" t="s">
        <v>335</v>
      </c>
      <c r="L50" s="297"/>
      <c r="M50" s="284"/>
      <c r="N50" s="285" t="str">
        <f>IF(POLogPreview[[#This Row],[HHEADER]]="#A", Vendor,"")</f>
        <v/>
      </c>
      <c r="O50" s="285"/>
      <c r="P50" s="285"/>
      <c r="Q50" s="285"/>
      <c r="R50" s="299"/>
      <c r="S50" s="286"/>
    </row>
  </sheetData>
  <sheetProtection formatCells="0" formatColumns="0" formatRows="0" insertColumns="0" insertRows="0" deleteRows="0" selectLockedCells="1"/>
  <mergeCells count="42">
    <mergeCell ref="C35:D35"/>
    <mergeCell ref="L39:R39"/>
    <mergeCell ref="T19:Y19"/>
    <mergeCell ref="J3:L3"/>
    <mergeCell ref="G1:I1"/>
    <mergeCell ref="B2:C2"/>
    <mergeCell ref="D2:G2"/>
    <mergeCell ref="G3:I3"/>
    <mergeCell ref="B4:G4"/>
    <mergeCell ref="E5:H6"/>
    <mergeCell ref="B7:C7"/>
    <mergeCell ref="D7:E7"/>
    <mergeCell ref="C5:D5"/>
    <mergeCell ref="C6:D6"/>
    <mergeCell ref="C9:D9"/>
    <mergeCell ref="F9:I9"/>
    <mergeCell ref="C10:D10"/>
    <mergeCell ref="F10:I10"/>
    <mergeCell ref="C24:D24"/>
    <mergeCell ref="C11:D11"/>
    <mergeCell ref="C12:D12"/>
    <mergeCell ref="C13:D13"/>
    <mergeCell ref="F13:I13"/>
    <mergeCell ref="C14:D14"/>
    <mergeCell ref="F19:I19"/>
    <mergeCell ref="C31:D31"/>
    <mergeCell ref="B22:I22"/>
    <mergeCell ref="C23:D23"/>
    <mergeCell ref="F14:I14"/>
    <mergeCell ref="C19:E19"/>
    <mergeCell ref="C25:D25"/>
    <mergeCell ref="C26:D26"/>
    <mergeCell ref="C27:D27"/>
    <mergeCell ref="C28:D28"/>
    <mergeCell ref="C29:D29"/>
    <mergeCell ref="C30:D30"/>
    <mergeCell ref="C18:E18"/>
    <mergeCell ref="F18:I18"/>
    <mergeCell ref="C32:D32"/>
    <mergeCell ref="C33:D33"/>
    <mergeCell ref="C34:D34"/>
    <mergeCell ref="C38:D38"/>
  </mergeCells>
  <conditionalFormatting sqref="S41:S49">
    <cfRule type="containsText" dxfId="6" priority="1" operator="containsText" text="zzzz">
      <formula>NOT(ISERROR(SEARCH("zzzz",S41)))</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49D7F-408D-824C-837A-35FFDAD13AF7}">
  <sheetPr codeName="Sheet2"/>
  <dimension ref="A1:H213"/>
  <sheetViews>
    <sheetView workbookViewId="0">
      <selection activeCell="G9" sqref="G9"/>
    </sheetView>
    <sheetView zoomScale="86" workbookViewId="1">
      <selection activeCell="C9" sqref="C9"/>
    </sheetView>
  </sheetViews>
  <sheetFormatPr baseColWidth="10" defaultRowHeight="16"/>
  <cols>
    <col min="1" max="1" width="8.1640625" customWidth="1"/>
    <col min="2" max="2" width="28.1640625" customWidth="1"/>
    <col min="4" max="4" width="10.83203125" customWidth="1"/>
    <col min="5" max="5" width="15.33203125" customWidth="1"/>
    <col min="6" max="6" width="26.6640625" customWidth="1"/>
    <col min="7" max="7" width="41.5" customWidth="1"/>
    <col min="8" max="8" width="20.33203125" customWidth="1"/>
  </cols>
  <sheetData>
    <row r="1" spans="1:8" ht="58" customHeight="1">
      <c r="A1" s="8"/>
      <c r="B1" s="8"/>
      <c r="C1" s="8"/>
      <c r="D1" s="8"/>
      <c r="E1" s="8"/>
      <c r="F1" s="8"/>
      <c r="G1" s="8"/>
      <c r="H1" s="8"/>
    </row>
    <row r="2" spans="1:8">
      <c r="A2" s="10"/>
      <c r="B2" s="10"/>
      <c r="C2" s="11"/>
      <c r="D2" s="12"/>
      <c r="E2" s="10"/>
      <c r="F2" s="13"/>
      <c r="G2" s="10"/>
      <c r="H2" s="9"/>
    </row>
    <row r="3" spans="1:8">
      <c r="A3" s="10"/>
      <c r="B3" s="10"/>
      <c r="C3" s="11"/>
      <c r="D3" s="12"/>
      <c r="E3" s="10"/>
      <c r="F3" s="13"/>
      <c r="G3" s="10"/>
      <c r="H3" s="9"/>
    </row>
    <row r="4" spans="1:8" ht="23">
      <c r="A4" s="93" t="s">
        <v>15</v>
      </c>
      <c r="B4" s="93"/>
      <c r="C4" s="93"/>
      <c r="D4" s="93"/>
      <c r="E4" s="93"/>
      <c r="F4" s="93"/>
      <c r="G4" s="93"/>
      <c r="H4" s="93"/>
    </row>
    <row r="5" spans="1:8">
      <c r="A5" s="14" t="str">
        <f>IF(TRIM(Job_Name)="", "", Job_Name)</f>
        <v/>
      </c>
      <c r="B5" s="10"/>
      <c r="C5" s="11"/>
      <c r="D5" s="12"/>
      <c r="E5" s="10"/>
      <c r="F5" s="13"/>
      <c r="G5" s="11"/>
      <c r="H5" s="9"/>
    </row>
    <row r="6" spans="1:8">
      <c r="A6" s="10" t="str">
        <f>IF(TRIM(Job_Number)="", "", Job_Number)</f>
        <v/>
      </c>
      <c r="B6" s="10"/>
      <c r="C6" s="15"/>
      <c r="D6" s="15"/>
      <c r="E6" s="15"/>
      <c r="F6" s="15"/>
      <c r="G6" s="11"/>
      <c r="H6" s="9"/>
    </row>
    <row r="7" spans="1:8">
      <c r="A7" s="16"/>
      <c r="B7" s="16"/>
      <c r="C7" s="17"/>
      <c r="D7" s="18"/>
      <c r="E7" s="16"/>
      <c r="F7" s="19"/>
      <c r="G7" s="16"/>
      <c r="H7" s="9"/>
    </row>
    <row r="8" spans="1:8">
      <c r="A8" s="78" t="s">
        <v>4</v>
      </c>
      <c r="B8" s="79" t="s">
        <v>16</v>
      </c>
      <c r="C8" s="79" t="s">
        <v>17</v>
      </c>
      <c r="D8" s="80" t="s">
        <v>12</v>
      </c>
      <c r="E8" s="79" t="s">
        <v>18</v>
      </c>
      <c r="F8" s="81" t="s">
        <v>242</v>
      </c>
      <c r="G8" s="82" t="s">
        <v>19</v>
      </c>
      <c r="H8" s="83" t="s">
        <v>20</v>
      </c>
    </row>
    <row r="9" spans="1:8">
      <c r="A9" s="106"/>
      <c r="B9" s="106"/>
      <c r="C9" s="106"/>
      <c r="D9" s="107"/>
      <c r="E9" s="106"/>
      <c r="F9" s="109"/>
      <c r="G9" s="106" t="str">
        <f>IF(ISBLANK(PO_LOG[[#This Row],[LINE]]), "",
   IF(COUNTIF('Line No'!$A$1:$A$342, PO_LOG[[#This Row],[LINE]]) &gt; 0,
      INDEX('Line No'!$B$1:$B$342, MATCH(PO_LOG[[#This Row],[LINE]], 'Line No'!$A$1:$A$342, 0)),
      IF(PO_LOG[[#This Row],[LINE]]="PC", "Petty Cash Log",
      IF(PO_LOG[[#This Row],[LINE]]="PR", "Payroll Log",
      "LINE CODE NOT VALID"))))</f>
        <v/>
      </c>
      <c r="H9" s="131"/>
    </row>
    <row r="10" spans="1:8">
      <c r="A10" s="114"/>
      <c r="B10" s="114"/>
      <c r="C10" s="106"/>
      <c r="D10" s="107"/>
      <c r="E10" s="114"/>
      <c r="F10" s="115"/>
      <c r="G10" s="106" t="str">
        <f>IF(ISBLANK(PO_LOG[[#This Row],[LINE]]), "",
   IF(COUNTIF('Line No'!$A$1:$A$342, PO_LOG[[#This Row],[LINE]]) &gt; 0,
      INDEX('Line No'!$B$1:$B$342, MATCH(PO_LOG[[#This Row],[LINE]], 'Line No'!$A$1:$A$342, 0)),
      IF(PO_LOG[[#This Row],[LINE]]="PC", "Petty Cash Log",
      IF(PO_LOG[[#This Row],[LINE]]="PR", "Payroll Log",
      "LINE CODE NOT VALID"))))</f>
        <v/>
      </c>
      <c r="H10" s="131"/>
    </row>
    <row r="11" spans="1:8">
      <c r="A11" s="106"/>
      <c r="B11" s="106"/>
      <c r="C11" s="106"/>
      <c r="D11" s="107"/>
      <c r="E11" s="106"/>
      <c r="F11" s="109"/>
      <c r="G11" s="106" t="str">
        <f>IF(ISBLANK(PO_LOG[[#This Row],[LINE]]), "",
   IF(COUNTIF('Line No'!$A$1:$A$342, PO_LOG[[#This Row],[LINE]]) &gt; 0,
      INDEX('Line No'!$B$1:$B$342, MATCH(PO_LOG[[#This Row],[LINE]], 'Line No'!$A$1:$A$342, 0)),
      IF(PO_LOG[[#This Row],[LINE]]="PC", "Petty Cash Log",
      IF(PO_LOG[[#This Row],[LINE]]="PR", "Payroll Log",
      "LINE CODE NOT VALID"))))</f>
        <v/>
      </c>
      <c r="H11" s="127"/>
    </row>
    <row r="12" spans="1:8">
      <c r="A12" s="106"/>
      <c r="B12" s="106"/>
      <c r="C12" s="106"/>
      <c r="D12" s="107"/>
      <c r="E12" s="106"/>
      <c r="F12" s="109"/>
      <c r="G12" s="106" t="str">
        <f>IF(ISBLANK(PO_LOG[[#This Row],[LINE]]), "",
   IF(COUNTIF('Line No'!$A$1:$A$342, PO_LOG[[#This Row],[LINE]]) &gt; 0,
      INDEX('Line No'!$B$1:$B$342, MATCH(PO_LOG[[#This Row],[LINE]], 'Line No'!$A$1:$A$342, 0)),
      IF(PO_LOG[[#This Row],[LINE]]="PC", "Petty Cash Log",
      IF(PO_LOG[[#This Row],[LINE]]="PR", "Payroll Log",
      "LINE CODE NOT VALID"))))</f>
        <v/>
      </c>
      <c r="H12" s="127"/>
    </row>
    <row r="13" spans="1:8">
      <c r="A13" s="106"/>
      <c r="B13" s="106"/>
      <c r="C13" s="106"/>
      <c r="D13" s="107"/>
      <c r="E13" s="106"/>
      <c r="F13" s="109"/>
      <c r="G13" s="106" t="str">
        <f>IF(ISBLANK(PO_LOG[[#This Row],[LINE]]), "",
   IF(COUNTIF('Line No'!$A$1:$A$342, PO_LOG[[#This Row],[LINE]]) &gt; 0,
      INDEX('Line No'!$B$1:$B$342, MATCH(PO_LOG[[#This Row],[LINE]], 'Line No'!$A$1:$A$342, 0)),
      IF(PO_LOG[[#This Row],[LINE]]="PC", "Petty Cash Log",
      IF(PO_LOG[[#This Row],[LINE]]="PR", "Payroll Log",
      "LINE CODE NOT VALID"))))</f>
        <v/>
      </c>
      <c r="H13" s="127"/>
    </row>
    <row r="14" spans="1:8">
      <c r="A14" s="106"/>
      <c r="B14" s="106"/>
      <c r="C14" s="106"/>
      <c r="D14" s="107"/>
      <c r="E14" s="106"/>
      <c r="F14" s="109"/>
      <c r="G14" s="106" t="str">
        <f>IF(ISBLANK(PO_LOG[[#This Row],[LINE]]), "",
   IF(COUNTIF('Line No'!$A$1:$A$342, PO_LOG[[#This Row],[LINE]]) &gt; 0,
      INDEX('Line No'!$B$1:$B$342, MATCH(PO_LOG[[#This Row],[LINE]], 'Line No'!$A$1:$A$342, 0)),
      IF(PO_LOG[[#This Row],[LINE]]="PC", "Petty Cash Log",
      IF(PO_LOG[[#This Row],[LINE]]="PR", "Payroll Log",
      "LINE CODE NOT VALID"))))</f>
        <v/>
      </c>
      <c r="H14" s="127"/>
    </row>
    <row r="15" spans="1:8">
      <c r="A15" s="106"/>
      <c r="B15" s="106"/>
      <c r="C15" s="106"/>
      <c r="D15" s="107"/>
      <c r="E15" s="106"/>
      <c r="F15" s="109"/>
      <c r="G15" s="106" t="str">
        <f>IF(ISBLANK(PO_LOG[[#This Row],[LINE]]), "",
   IF(COUNTIF('Line No'!$A$1:$A$342, PO_LOG[[#This Row],[LINE]]) &gt; 0,
      INDEX('Line No'!$B$1:$B$342, MATCH(PO_LOG[[#This Row],[LINE]], 'Line No'!$A$1:$A$342, 0)),
      IF(PO_LOG[[#This Row],[LINE]]="PC", "Petty Cash Log",
      IF(PO_LOG[[#This Row],[LINE]]="PR", "Payroll Log",
      "LINE CODE NOT VALID"))))</f>
        <v/>
      </c>
      <c r="H15" s="127"/>
    </row>
    <row r="16" spans="1:8">
      <c r="A16" s="106"/>
      <c r="B16" s="106"/>
      <c r="C16" s="106"/>
      <c r="D16" s="107"/>
      <c r="E16" s="106"/>
      <c r="F16" s="109"/>
      <c r="G16" s="106" t="str">
        <f>IF(ISBLANK(PO_LOG[[#This Row],[LINE]]), "",
   IF(COUNTIF('Line No'!$A$1:$A$342, PO_LOG[[#This Row],[LINE]]) &gt; 0,
      INDEX('Line No'!$B$1:$B$342, MATCH(PO_LOG[[#This Row],[LINE]], 'Line No'!$A$1:$A$342, 0)),
      IF(PO_LOG[[#This Row],[LINE]]="PC", "Petty Cash Log",
      IF(PO_LOG[[#This Row],[LINE]]="PR", "Payroll Log",
      "LINE CODE NOT VALID"))))</f>
        <v/>
      </c>
      <c r="H16" s="127"/>
    </row>
    <row r="17" spans="1:8">
      <c r="A17" s="106"/>
      <c r="B17" s="106"/>
      <c r="C17" s="106"/>
      <c r="D17" s="107"/>
      <c r="E17" s="106"/>
      <c r="F17" s="109"/>
      <c r="G17" s="106" t="str">
        <f>IF(ISBLANK(PO_LOG[[#This Row],[LINE]]), "",
   IF(COUNTIF('Line No'!$A$1:$A$342, PO_LOG[[#This Row],[LINE]]) &gt; 0,
      INDEX('Line No'!$B$1:$B$342, MATCH(PO_LOG[[#This Row],[LINE]], 'Line No'!$A$1:$A$342, 0)),
      IF(PO_LOG[[#This Row],[LINE]]="PC", "Petty Cash Log",
      IF(PO_LOG[[#This Row],[LINE]]="PR", "Payroll Log",
      "LINE CODE NOT VALID"))))</f>
        <v/>
      </c>
      <c r="H17" s="127"/>
    </row>
    <row r="18" spans="1:8">
      <c r="A18" s="106"/>
      <c r="B18" s="106"/>
      <c r="C18" s="106"/>
      <c r="D18" s="107"/>
      <c r="E18" s="116"/>
      <c r="F18" s="109"/>
      <c r="G18" s="129" t="str">
        <f>IF(ISBLANK(PO_LOG[[#This Row],[LINE]]), "",
   IF(COUNTIF('Line No'!$A$1:$A$342, PO_LOG[[#This Row],[LINE]]) &gt; 0,
      INDEX('Line No'!$B$1:$B$342, MATCH(PO_LOG[[#This Row],[LINE]], 'Line No'!$A$1:$A$342, 0)),
      IF(PO_LOG[[#This Row],[LINE]]="PC", "Petty Cash Log",
      IF(PO_LOG[[#This Row],[LINE]]="PR", "Payroll Log",
      "LINE CODE NOT VALID"))))</f>
        <v/>
      </c>
      <c r="H18" s="132"/>
    </row>
    <row r="19" spans="1:8">
      <c r="A19" s="106"/>
      <c r="B19" s="106"/>
      <c r="C19" s="106"/>
      <c r="D19" s="107"/>
      <c r="E19" s="116"/>
      <c r="F19" s="109"/>
      <c r="G19" s="106" t="str">
        <f>IF(ISBLANK(PO_LOG[[#This Row],[LINE]]), "",
   IF(COUNTIF('Line No'!$A$1:$A$342, PO_LOG[[#This Row],[LINE]]) &gt; 0,
      INDEX('Line No'!$B$1:$B$342, MATCH(PO_LOG[[#This Row],[LINE]], 'Line No'!$A$1:$A$342, 0)),
      IF(PO_LOG[[#This Row],[LINE]]="PC", "Petty Cash Log",
      IF(PO_LOG[[#This Row],[LINE]]="PR", "Payroll Log",
      "LINE CODE NOT VALID"))))</f>
        <v/>
      </c>
      <c r="H19" s="127"/>
    </row>
    <row r="20" spans="1:8">
      <c r="A20" s="106"/>
      <c r="B20" s="106"/>
      <c r="C20" s="106"/>
      <c r="D20" s="107"/>
      <c r="E20" s="116"/>
      <c r="F20" s="109"/>
      <c r="G20" s="106" t="str">
        <f>IF(ISBLANK(PO_LOG[[#This Row],[LINE]]), "",
   IF(COUNTIF('Line No'!$A$1:$A$342, PO_LOG[[#This Row],[LINE]]) &gt; 0,
      INDEX('Line No'!$B$1:$B$342, MATCH(PO_LOG[[#This Row],[LINE]], 'Line No'!$A$1:$A$342, 0)),
      IF(PO_LOG[[#This Row],[LINE]]="PC", "Petty Cash Log",
      IF(PO_LOG[[#This Row],[LINE]]="PR", "Payroll Log",
      "LINE CODE NOT VALID"))))</f>
        <v/>
      </c>
      <c r="H20" s="127"/>
    </row>
    <row r="21" spans="1:8">
      <c r="A21" s="106"/>
      <c r="B21" s="106"/>
      <c r="C21" s="106"/>
      <c r="D21" s="107"/>
      <c r="E21" s="116"/>
      <c r="F21" s="109"/>
      <c r="G21" s="106" t="str">
        <f>IF(ISBLANK(PO_LOG[[#This Row],[LINE]]), "",
   IF(COUNTIF('Line No'!$A$1:$A$342, PO_LOG[[#This Row],[LINE]]) &gt; 0,
      INDEX('Line No'!$B$1:$B$342, MATCH(PO_LOG[[#This Row],[LINE]], 'Line No'!$A$1:$A$342, 0)),
      IF(PO_LOG[[#This Row],[LINE]]="PC", "Petty Cash Log",
      IF(PO_LOG[[#This Row],[LINE]]="PR", "Payroll Log",
      "LINE CODE NOT VALID"))))</f>
        <v/>
      </c>
      <c r="H21" s="127"/>
    </row>
    <row r="22" spans="1:8">
      <c r="A22" s="106"/>
      <c r="B22" s="106"/>
      <c r="C22" s="106"/>
      <c r="D22" s="107"/>
      <c r="E22" s="116"/>
      <c r="F22" s="109"/>
      <c r="G22" s="106" t="str">
        <f>IF(ISBLANK(PO_LOG[[#This Row],[LINE]]), "",
   IF(COUNTIF('Line No'!$A$1:$A$342, PO_LOG[[#This Row],[LINE]]) &gt; 0,
      INDEX('Line No'!$B$1:$B$342, MATCH(PO_LOG[[#This Row],[LINE]], 'Line No'!$A$1:$A$342, 0)),
      IF(PO_LOG[[#This Row],[LINE]]="PC", "Petty Cash Log",
      IF(PO_LOG[[#This Row],[LINE]]="PR", "Payroll Log",
      "LINE CODE NOT VALID"))))</f>
        <v/>
      </c>
      <c r="H22" s="131"/>
    </row>
    <row r="23" spans="1:8">
      <c r="A23" s="106"/>
      <c r="B23" s="106"/>
      <c r="C23" s="106"/>
      <c r="D23" s="107"/>
      <c r="E23" s="116"/>
      <c r="F23" s="109"/>
      <c r="G23" s="106" t="str">
        <f>IF(ISBLANK(PO_LOG[[#This Row],[LINE]]), "",
   IF(COUNTIF('Line No'!$A$1:$A$342, PO_LOG[[#This Row],[LINE]]) &gt; 0,
      INDEX('Line No'!$B$1:$B$342, MATCH(PO_LOG[[#This Row],[LINE]], 'Line No'!$A$1:$A$342, 0)),
      IF(PO_LOG[[#This Row],[LINE]]="PC", "Petty Cash Log",
      IF(PO_LOG[[#This Row],[LINE]]="PR", "Payroll Log",
      "LINE CODE NOT VALID"))))</f>
        <v/>
      </c>
      <c r="H23" s="127"/>
    </row>
    <row r="24" spans="1:8">
      <c r="A24" s="106"/>
      <c r="B24" s="106"/>
      <c r="C24" s="106"/>
      <c r="D24" s="107"/>
      <c r="E24" s="116"/>
      <c r="F24" s="109"/>
      <c r="G24" s="106" t="str">
        <f>IF(ISBLANK(PO_LOG[[#This Row],[LINE]]), "",
   IF(COUNTIF('Line No'!$A$1:$A$342, PO_LOG[[#This Row],[LINE]]) &gt; 0,
      INDEX('Line No'!$B$1:$B$342, MATCH(PO_LOG[[#This Row],[LINE]], 'Line No'!$A$1:$A$342, 0)),
      IF(PO_LOG[[#This Row],[LINE]]="PC", "Petty Cash Log",
      IF(PO_LOG[[#This Row],[LINE]]="PR", "Payroll Log",
      "LINE CODE NOT VALID"))))</f>
        <v/>
      </c>
      <c r="H24" s="127"/>
    </row>
    <row r="25" spans="1:8">
      <c r="A25" s="114"/>
      <c r="B25" s="117"/>
      <c r="C25" s="117"/>
      <c r="D25" s="118"/>
      <c r="E25" s="117"/>
      <c r="F25" s="117"/>
      <c r="G25" s="106" t="str">
        <f>IF(ISBLANK(PO_LOG[[#This Row],[LINE]]), "",
   IF(COUNTIF('Line No'!$A$1:$A$342, PO_LOG[[#This Row],[LINE]]) &gt; 0,
      INDEX('Line No'!$B$1:$B$342, MATCH(PO_LOG[[#This Row],[LINE]], 'Line No'!$A$1:$A$342, 0)),
      IF(PO_LOG[[#This Row],[LINE]]="PC", "Petty Cash Log",
      IF(PO_LOG[[#This Row],[LINE]]="PR", "Payroll Log",
      "LINE CODE NOT VALID"))))</f>
        <v/>
      </c>
      <c r="H25" s="127"/>
    </row>
    <row r="26" spans="1:8">
      <c r="A26" s="114"/>
      <c r="B26" s="114"/>
      <c r="C26" s="106"/>
      <c r="D26" s="119"/>
      <c r="E26" s="114"/>
      <c r="F26" s="114"/>
      <c r="G26" s="106" t="str">
        <f>IF(ISBLANK(PO_LOG[[#This Row],[LINE]]), "",
   IF(COUNTIF('Line No'!$A$1:$A$342, PO_LOG[[#This Row],[LINE]]) &gt; 0,
      INDEX('Line No'!$B$1:$B$342, MATCH(PO_LOG[[#This Row],[LINE]], 'Line No'!$A$1:$A$342, 0)),
      IF(PO_LOG[[#This Row],[LINE]]="PC", "Petty Cash Log",
      IF(PO_LOG[[#This Row],[LINE]]="PR", "Payroll Log",
      "LINE CODE NOT VALID"))))</f>
        <v/>
      </c>
      <c r="H26" s="131"/>
    </row>
    <row r="27" spans="1:8">
      <c r="A27" s="114"/>
      <c r="B27" s="114"/>
      <c r="C27" s="106"/>
      <c r="D27" s="107"/>
      <c r="E27" s="114"/>
      <c r="F27" s="114"/>
      <c r="G27" s="106" t="str">
        <f>IF(ISBLANK(PO_LOG[[#This Row],[LINE]]), "",
   IF(COUNTIF('Line No'!$A$1:$A$342, PO_LOG[[#This Row],[LINE]]) &gt; 0,
      INDEX('Line No'!$B$1:$B$342, MATCH(PO_LOG[[#This Row],[LINE]], 'Line No'!$A$1:$A$342, 0)),
      IF(PO_LOG[[#This Row],[LINE]]="PC", "Petty Cash Log",
      IF(PO_LOG[[#This Row],[LINE]]="PR", "Payroll Log",
      "LINE CODE NOT VALID"))))</f>
        <v/>
      </c>
      <c r="H27" s="127"/>
    </row>
    <row r="28" spans="1:8">
      <c r="A28" s="114"/>
      <c r="B28" s="114"/>
      <c r="C28" s="106"/>
      <c r="D28" s="107"/>
      <c r="E28" s="114"/>
      <c r="F28" s="114"/>
      <c r="G28" s="106" t="str">
        <f>IF(ISBLANK(PO_LOG[[#This Row],[LINE]]), "",
   IF(COUNTIF('Line No'!$A$1:$A$342, PO_LOG[[#This Row],[LINE]]) &gt; 0,
      INDEX('Line No'!$B$1:$B$342, MATCH(PO_LOG[[#This Row],[LINE]], 'Line No'!$A$1:$A$342, 0)),
      IF(PO_LOG[[#This Row],[LINE]]="PC", "Petty Cash Log",
      IF(PO_LOG[[#This Row],[LINE]]="PR", "Payroll Log",
      "LINE CODE NOT VALID"))))</f>
        <v/>
      </c>
      <c r="H28" s="127"/>
    </row>
    <row r="29" spans="1:8">
      <c r="A29" s="114"/>
      <c r="B29" s="120"/>
      <c r="C29" s="120"/>
      <c r="D29" s="121"/>
      <c r="E29" s="120"/>
      <c r="F29" s="120"/>
      <c r="G29" s="106" t="str">
        <f>IF(ISBLANK(PO_LOG[[#This Row],[LINE]]), "",
   IF(COUNTIF('Line No'!$A$1:$A$342, PO_LOG[[#This Row],[LINE]]) &gt; 0,
      INDEX('Line No'!$B$1:$B$342, MATCH(PO_LOG[[#This Row],[LINE]], 'Line No'!$A$1:$A$342, 0)),
      IF(PO_LOG[[#This Row],[LINE]]="PC", "Petty Cash Log",
      IF(PO_LOG[[#This Row],[LINE]]="PR", "Payroll Log",
      "LINE CODE NOT VALID"))))</f>
        <v/>
      </c>
      <c r="H29" s="131"/>
    </row>
    <row r="30" spans="1:8">
      <c r="A30" s="114"/>
      <c r="B30" s="114"/>
      <c r="C30" s="106"/>
      <c r="D30" s="107"/>
      <c r="E30" s="114"/>
      <c r="F30" s="114"/>
      <c r="G30" s="106" t="str">
        <f>IF(ISBLANK(PO_LOG[[#This Row],[LINE]]), "",
   IF(COUNTIF('Line No'!$A$1:$A$342, PO_LOG[[#This Row],[LINE]]) &gt; 0,
      INDEX('Line No'!$B$1:$B$342, MATCH(PO_LOG[[#This Row],[LINE]], 'Line No'!$A$1:$A$342, 0)),
      IF(PO_LOG[[#This Row],[LINE]]="PC", "Petty Cash Log",
      IF(PO_LOG[[#This Row],[LINE]]="PR", "Payroll Log",
      "LINE CODE NOT VALID"))))</f>
        <v/>
      </c>
      <c r="H30" s="127"/>
    </row>
    <row r="31" spans="1:8">
      <c r="A31" s="114"/>
      <c r="B31" s="120"/>
      <c r="C31" s="120"/>
      <c r="D31" s="121"/>
      <c r="E31" s="120"/>
      <c r="F31" s="120"/>
      <c r="G31" s="106" t="str">
        <f>IF(ISBLANK(PO_LOG[[#This Row],[LINE]]), "",
   IF(COUNTIF('Line No'!$A$1:$A$342, PO_LOG[[#This Row],[LINE]]) &gt; 0,
      INDEX('Line No'!$B$1:$B$342, MATCH(PO_LOG[[#This Row],[LINE]], 'Line No'!$A$1:$A$342, 0)),
      IF(PO_LOG[[#This Row],[LINE]]="PC", "Petty Cash Log",
      IF(PO_LOG[[#This Row],[LINE]]="PR", "Payroll Log",
      "LINE CODE NOT VALID"))))</f>
        <v/>
      </c>
      <c r="H31" s="127"/>
    </row>
    <row r="32" spans="1:8">
      <c r="A32" s="114"/>
      <c r="B32" s="117"/>
      <c r="C32" s="117"/>
      <c r="D32" s="118"/>
      <c r="E32" s="117"/>
      <c r="F32" s="117"/>
      <c r="G32" s="106" t="str">
        <f>IF(ISBLANK(PO_LOG[[#This Row],[LINE]]), "",
   IF(COUNTIF('Line No'!$A$1:$A$342, PO_LOG[[#This Row],[LINE]]) &gt; 0,
      INDEX('Line No'!$B$1:$B$342, MATCH(PO_LOG[[#This Row],[LINE]], 'Line No'!$A$1:$A$342, 0)),
      IF(PO_LOG[[#This Row],[LINE]]="PC", "Petty Cash Log",
      IF(PO_LOG[[#This Row],[LINE]]="PR", "Payroll Log",
      "LINE CODE NOT VALID"))))</f>
        <v/>
      </c>
      <c r="H32" s="131"/>
    </row>
    <row r="33" spans="1:8">
      <c r="A33" s="114"/>
      <c r="B33" s="114"/>
      <c r="C33" s="106"/>
      <c r="D33" s="107"/>
      <c r="E33" s="114"/>
      <c r="F33" s="114"/>
      <c r="G33" s="106" t="str">
        <f>IF(ISBLANK(PO_LOG[[#This Row],[LINE]]), "",
   IF(COUNTIF('Line No'!$A$1:$A$342, PO_LOG[[#This Row],[LINE]]) &gt; 0,
      INDEX('Line No'!$B$1:$B$342, MATCH(PO_LOG[[#This Row],[LINE]], 'Line No'!$A$1:$A$342, 0)),
      IF(PO_LOG[[#This Row],[LINE]]="PC", "Petty Cash Log",
      IF(PO_LOG[[#This Row],[LINE]]="PR", "Payroll Log",
      "LINE CODE NOT VALID"))))</f>
        <v/>
      </c>
      <c r="H33" s="127"/>
    </row>
    <row r="34" spans="1:8">
      <c r="A34" s="114"/>
      <c r="B34" s="114"/>
      <c r="C34" s="106"/>
      <c r="D34" s="107"/>
      <c r="E34" s="114"/>
      <c r="F34" s="114"/>
      <c r="G34" s="106" t="str">
        <f>IF(ISBLANK(PO_LOG[[#This Row],[LINE]]), "",
   IF(COUNTIF('Line No'!$A$1:$A$342, PO_LOG[[#This Row],[LINE]]) &gt; 0,
      INDEX('Line No'!$B$1:$B$342, MATCH(PO_LOG[[#This Row],[LINE]], 'Line No'!$A$1:$A$342, 0)),
      IF(PO_LOG[[#This Row],[LINE]]="PC", "Petty Cash Log",
      IF(PO_LOG[[#This Row],[LINE]]="PR", "Payroll Log",
      "LINE CODE NOT VALID"))))</f>
        <v/>
      </c>
      <c r="H34" s="127"/>
    </row>
    <row r="35" spans="1:8">
      <c r="A35" s="106"/>
      <c r="B35" s="106"/>
      <c r="C35" s="106"/>
      <c r="D35" s="107"/>
      <c r="E35" s="106"/>
      <c r="F35" s="109"/>
      <c r="G35" s="106" t="str">
        <f>IF(ISBLANK(PO_LOG[[#This Row],[LINE]]), "",
   IF(COUNTIF('Line No'!$A$1:$A$342, PO_LOG[[#This Row],[LINE]]) &gt; 0,
      INDEX('Line No'!$B$1:$B$342, MATCH(PO_LOG[[#This Row],[LINE]], 'Line No'!$A$1:$A$342, 0)),
      IF(PO_LOG[[#This Row],[LINE]]="PC", "Petty Cash Log",
      IF(PO_LOG[[#This Row],[LINE]]="PR", "Payroll Log",
      "LINE CODE NOT VALID"))))</f>
        <v/>
      </c>
      <c r="H35" s="127"/>
    </row>
    <row r="36" spans="1:8">
      <c r="A36" s="106"/>
      <c r="B36" s="106"/>
      <c r="C36" s="106"/>
      <c r="D36" s="107"/>
      <c r="E36" s="106"/>
      <c r="F36" s="109"/>
      <c r="G36" s="106" t="str">
        <f>IF(ISBLANK(PO_LOG[[#This Row],[LINE]]), "",
   IF(COUNTIF('Line No'!$A$1:$A$342, PO_LOG[[#This Row],[LINE]]) &gt; 0,
      INDEX('Line No'!$B$1:$B$342, MATCH(PO_LOG[[#This Row],[LINE]], 'Line No'!$A$1:$A$342, 0)),
      IF(PO_LOG[[#This Row],[LINE]]="PC", "Petty Cash Log",
      IF(PO_LOG[[#This Row],[LINE]]="PR", "Payroll Log",
      "LINE CODE NOT VALID"))))</f>
        <v/>
      </c>
      <c r="H36" s="127"/>
    </row>
    <row r="37" spans="1:8">
      <c r="A37" s="106"/>
      <c r="B37" s="106"/>
      <c r="C37" s="106"/>
      <c r="D37" s="107"/>
      <c r="E37" s="116"/>
      <c r="F37" s="109"/>
      <c r="G37" s="106" t="str">
        <f>IF(ISBLANK(PO_LOG[[#This Row],[LINE]]), "",
   IF(COUNTIF('Line No'!$A$1:$A$342, PO_LOG[[#This Row],[LINE]]) &gt; 0,
      INDEX('Line No'!$B$1:$B$342, MATCH(PO_LOG[[#This Row],[LINE]], 'Line No'!$A$1:$A$342, 0)),
      IF(PO_LOG[[#This Row],[LINE]]="PC", "Petty Cash Log",
      IF(PO_LOG[[#This Row],[LINE]]="PR", "Payroll Log",
      "LINE CODE NOT VALID"))))</f>
        <v/>
      </c>
      <c r="H37" s="127"/>
    </row>
    <row r="38" spans="1:8">
      <c r="A38" s="106"/>
      <c r="B38" s="106"/>
      <c r="C38" s="106"/>
      <c r="D38" s="107"/>
      <c r="E38" s="106"/>
      <c r="F38" s="122"/>
      <c r="G38" s="106" t="str">
        <f>IF(ISBLANK(PO_LOG[[#This Row],[LINE]]), "",
   IF(COUNTIF('Line No'!$A$1:$A$342, PO_LOG[[#This Row],[LINE]]) &gt; 0,
      INDEX('Line No'!$B$1:$B$342, MATCH(PO_LOG[[#This Row],[LINE]], 'Line No'!$A$1:$A$342, 0)),
      IF(PO_LOG[[#This Row],[LINE]]="PC", "Petty Cash Log",
      IF(PO_LOG[[#This Row],[LINE]]="PR", "Payroll Log",
      "LINE CODE NOT VALID"))))</f>
        <v/>
      </c>
      <c r="H38" s="127"/>
    </row>
    <row r="39" spans="1:8">
      <c r="A39" s="106"/>
      <c r="B39" s="106"/>
      <c r="C39" s="106"/>
      <c r="D39" s="107"/>
      <c r="E39" s="116"/>
      <c r="F39" s="109"/>
      <c r="G39" s="106" t="str">
        <f>IF(ISBLANK(PO_LOG[[#This Row],[LINE]]), "",
   IF(COUNTIF('Line No'!$A$1:$A$342, PO_LOG[[#This Row],[LINE]]) &gt; 0,
      INDEX('Line No'!$B$1:$B$342, MATCH(PO_LOG[[#This Row],[LINE]], 'Line No'!$A$1:$A$342, 0)),
      IF(PO_LOG[[#This Row],[LINE]]="PC", "Petty Cash Log",
      IF(PO_LOG[[#This Row],[LINE]]="PR", "Payroll Log",
      "LINE CODE NOT VALID"))))</f>
        <v/>
      </c>
      <c r="H39" s="127"/>
    </row>
    <row r="40" spans="1:8">
      <c r="A40" s="106"/>
      <c r="B40" s="106"/>
      <c r="C40" s="106"/>
      <c r="D40" s="107"/>
      <c r="E40" s="116"/>
      <c r="F40" s="109"/>
      <c r="G40" s="106" t="str">
        <f>IF(ISBLANK(PO_LOG[[#This Row],[LINE]]), "",
   IF(COUNTIF('Line No'!$A$1:$A$342, PO_LOG[[#This Row],[LINE]]) &gt; 0,
      INDEX('Line No'!$B$1:$B$342, MATCH(PO_LOG[[#This Row],[LINE]], 'Line No'!$A$1:$A$342, 0)),
      IF(PO_LOG[[#This Row],[LINE]]="PC", "Petty Cash Log",
      IF(PO_LOG[[#This Row],[LINE]]="PR", "Payroll Log",
      "LINE CODE NOT VALID"))))</f>
        <v/>
      </c>
      <c r="H40" s="127"/>
    </row>
    <row r="41" spans="1:8">
      <c r="A41" s="106"/>
      <c r="B41" s="106"/>
      <c r="C41" s="106"/>
      <c r="D41" s="107"/>
      <c r="E41" s="116"/>
      <c r="F41" s="109"/>
      <c r="G41" s="106" t="str">
        <f>IF(ISBLANK(PO_LOG[[#This Row],[LINE]]), "",
   IF(COUNTIF('Line No'!$A$1:$A$342, PO_LOG[[#This Row],[LINE]]) &gt; 0,
      INDEX('Line No'!$B$1:$B$342, MATCH(PO_LOG[[#This Row],[LINE]], 'Line No'!$A$1:$A$342, 0)),
      IF(PO_LOG[[#This Row],[LINE]]="PC", "Petty Cash Log",
      IF(PO_LOG[[#This Row],[LINE]]="PR", "Payroll Log",
      "LINE CODE NOT VALID"))))</f>
        <v/>
      </c>
      <c r="H41" s="127"/>
    </row>
    <row r="42" spans="1:8">
      <c r="A42" s="106"/>
      <c r="B42" s="106"/>
      <c r="C42" s="106"/>
      <c r="D42" s="107"/>
      <c r="E42" s="106"/>
      <c r="F42" s="109"/>
      <c r="G42" s="106" t="str">
        <f>IF(ISBLANK(PO_LOG[[#This Row],[LINE]]), "",
   IF(COUNTIF('Line No'!$A$1:$A$342, PO_LOG[[#This Row],[LINE]]) &gt; 0,
      INDEX('Line No'!$B$1:$B$342, MATCH(PO_LOG[[#This Row],[LINE]], 'Line No'!$A$1:$A$342, 0)),
      IF(PO_LOG[[#This Row],[LINE]]="PC", "Petty Cash Log",
      IF(PO_LOG[[#This Row],[LINE]]="PR", "Payroll Log",
      "LINE CODE NOT VALID"))))</f>
        <v/>
      </c>
      <c r="H42" s="127"/>
    </row>
    <row r="43" spans="1:8">
      <c r="A43" s="117"/>
      <c r="B43" s="117"/>
      <c r="C43" s="117"/>
      <c r="D43" s="118"/>
      <c r="E43" s="117"/>
      <c r="F43" s="123"/>
      <c r="G43" s="117" t="str">
        <f>IF(ISBLANK(PO_LOG[[#This Row],[LINE]]), "",
   IF(COUNTIF('Line No'!$A$1:$A$342, PO_LOG[[#This Row],[LINE]]) &gt; 0,
      INDEX('Line No'!$B$1:$B$342, MATCH(PO_LOG[[#This Row],[LINE]], 'Line No'!$A$1:$A$342, 0)),
      IF(PO_LOG[[#This Row],[LINE]]="PC", "Petty Cash Log",
      IF(PO_LOG[[#This Row],[LINE]]="PR", "Payroll Log",
      "LINE CODE NOT VALID"))))</f>
        <v/>
      </c>
      <c r="H43" s="127"/>
    </row>
    <row r="44" spans="1:8">
      <c r="A44" s="106"/>
      <c r="B44" s="106"/>
      <c r="C44" s="106"/>
      <c r="D44" s="107"/>
      <c r="E44" s="107"/>
      <c r="F44" s="106"/>
      <c r="G44" s="106" t="str">
        <f>IF(ISBLANK(PO_LOG[[#This Row],[LINE]]), "",
   IF(COUNTIF('Line No'!$A$1:$A$342, PO_LOG[[#This Row],[LINE]]) &gt; 0,
      INDEX('Line No'!$B$1:$B$342, MATCH(PO_LOG[[#This Row],[LINE]], 'Line No'!$A$1:$A$342, 0)),
      IF(PO_LOG[[#This Row],[LINE]]="PC", "Petty Cash Log",
      IF(PO_LOG[[#This Row],[LINE]]="PR", "Payroll Log",
      "LINE CODE NOT VALID"))))</f>
        <v/>
      </c>
      <c r="H44" s="127"/>
    </row>
    <row r="45" spans="1:8">
      <c r="A45" s="106"/>
      <c r="B45" s="106"/>
      <c r="C45" s="106"/>
      <c r="D45" s="107"/>
      <c r="E45" s="107"/>
      <c r="F45" s="106"/>
      <c r="G45" s="106" t="str">
        <f>IF(ISBLANK(PO_LOG[[#This Row],[LINE]]), "",
   IF(COUNTIF('Line No'!$A$1:$A$342, PO_LOG[[#This Row],[LINE]]) &gt; 0,
      INDEX('Line No'!$B$1:$B$342, MATCH(PO_LOG[[#This Row],[LINE]], 'Line No'!$A$1:$A$342, 0)),
      IF(PO_LOG[[#This Row],[LINE]]="PC", "Petty Cash Log",
      IF(PO_LOG[[#This Row],[LINE]]="PR", "Payroll Log",
      "LINE CODE NOT VALID"))))</f>
        <v/>
      </c>
      <c r="H45" s="127"/>
    </row>
    <row r="46" spans="1:8">
      <c r="A46" s="106"/>
      <c r="B46" s="106"/>
      <c r="C46" s="106"/>
      <c r="D46" s="107"/>
      <c r="E46" s="107"/>
      <c r="F46" s="106"/>
      <c r="G46" s="106" t="str">
        <f>IF(ISBLANK(PO_LOG[[#This Row],[LINE]]), "",
   IF(COUNTIF('Line No'!$A$1:$A$342, PO_LOG[[#This Row],[LINE]]) &gt; 0,
      INDEX('Line No'!$B$1:$B$342, MATCH(PO_LOG[[#This Row],[LINE]], 'Line No'!$A$1:$A$342, 0)),
      IF(PO_LOG[[#This Row],[LINE]]="PC", "Petty Cash Log",
      IF(PO_LOG[[#This Row],[LINE]]="PR", "Payroll Log",
      "LINE CODE NOT VALID"))))</f>
        <v/>
      </c>
      <c r="H46" s="127"/>
    </row>
    <row r="47" spans="1:8">
      <c r="A47" s="114"/>
      <c r="B47" s="106"/>
      <c r="C47" s="106"/>
      <c r="D47" s="119"/>
      <c r="E47" s="106"/>
      <c r="F47" s="109"/>
      <c r="G47" s="106" t="str">
        <f>IF(ISBLANK(PO_LOG[[#This Row],[LINE]]), "",
   IF(COUNTIF('Line No'!$A$1:$A$342, PO_LOG[[#This Row],[LINE]]) &gt; 0,
      INDEX('Line No'!$B$1:$B$342, MATCH(PO_LOG[[#This Row],[LINE]], 'Line No'!$A$1:$A$342, 0)),
      IF(PO_LOG[[#This Row],[LINE]]="PC", "Petty Cash Log",
      IF(PO_LOG[[#This Row],[LINE]]="PR", "Payroll Log",
      "LINE CODE NOT VALID"))))</f>
        <v/>
      </c>
      <c r="H47" s="131"/>
    </row>
    <row r="48" spans="1:8">
      <c r="A48" s="106"/>
      <c r="B48" s="106"/>
      <c r="C48" s="106"/>
      <c r="D48" s="119"/>
      <c r="E48" s="106"/>
      <c r="F48" s="109"/>
      <c r="G48" s="106" t="str">
        <f>IF(ISBLANK(PO_LOG[[#This Row],[LINE]]), "",
   IF(COUNTIF('Line No'!$A$1:$A$342, PO_LOG[[#This Row],[LINE]]) &gt; 0,
      INDEX('Line No'!$B$1:$B$342, MATCH(PO_LOG[[#This Row],[LINE]], 'Line No'!$A$1:$A$342, 0)),
      IF(PO_LOG[[#This Row],[LINE]]="PC", "Petty Cash Log",
      IF(PO_LOG[[#This Row],[LINE]]="PR", "Payroll Log",
      "LINE CODE NOT VALID"))))</f>
        <v/>
      </c>
      <c r="H48" s="127"/>
    </row>
    <row r="49" spans="1:8">
      <c r="A49" s="106"/>
      <c r="B49" s="108"/>
      <c r="C49" s="106"/>
      <c r="D49" s="124"/>
      <c r="E49" s="106"/>
      <c r="F49" s="125"/>
      <c r="G49" s="106" t="str">
        <f>IF(ISBLANK(PO_LOG[[#This Row],[LINE]]), "",
   IF(COUNTIF('Line No'!$A$1:$A$342, PO_LOG[[#This Row],[LINE]]) &gt; 0,
      INDEX('Line No'!$B$1:$B$342, MATCH(PO_LOG[[#This Row],[LINE]], 'Line No'!$A$1:$A$342, 0)),
      IF(PO_LOG[[#This Row],[LINE]]="PC", "Petty Cash Log",
      IF(PO_LOG[[#This Row],[LINE]]="PR", "Payroll Log",
      "LINE CODE NOT VALID"))))</f>
        <v/>
      </c>
      <c r="H49" s="127"/>
    </row>
    <row r="50" spans="1:8">
      <c r="A50" s="106"/>
      <c r="B50" s="108"/>
      <c r="C50" s="106"/>
      <c r="D50" s="124"/>
      <c r="E50" s="106"/>
      <c r="F50" s="109"/>
      <c r="G50" s="106" t="str">
        <f>IF(ISBLANK(PO_LOG[[#This Row],[LINE]]), "",
   IF(COUNTIF('Line No'!$A$1:$A$342, PO_LOG[[#This Row],[LINE]]) &gt; 0,
      INDEX('Line No'!$B$1:$B$342, MATCH(PO_LOG[[#This Row],[LINE]], 'Line No'!$A$1:$A$342, 0)),
      IF(PO_LOG[[#This Row],[LINE]]="PC", "Petty Cash Log",
      IF(PO_LOG[[#This Row],[LINE]]="PR", "Payroll Log",
      "LINE CODE NOT VALID"))))</f>
        <v/>
      </c>
      <c r="H50" s="127"/>
    </row>
    <row r="51" spans="1:8">
      <c r="A51" s="106"/>
      <c r="B51" s="108"/>
      <c r="C51" s="106"/>
      <c r="D51" s="107"/>
      <c r="E51" s="106"/>
      <c r="F51" s="109"/>
      <c r="G51" s="106" t="str">
        <f>IF(ISBLANK(PO_LOG[[#This Row],[LINE]]), "",
   IF(COUNTIF('Line No'!$A$1:$A$342, PO_LOG[[#This Row],[LINE]]) &gt; 0,
      INDEX('Line No'!$B$1:$B$342, MATCH(PO_LOG[[#This Row],[LINE]], 'Line No'!$A$1:$A$342, 0)),
      IF(PO_LOG[[#This Row],[LINE]]="PC", "Petty Cash Log",
      IF(PO_LOG[[#This Row],[LINE]]="PR", "Payroll Log",
      "LINE CODE NOT VALID"))))</f>
        <v/>
      </c>
      <c r="H51" s="127"/>
    </row>
    <row r="52" spans="1:8">
      <c r="A52" s="106"/>
      <c r="B52" s="108"/>
      <c r="C52" s="106"/>
      <c r="D52" s="107"/>
      <c r="E52" s="106"/>
      <c r="F52" s="109"/>
      <c r="G52" s="106" t="str">
        <f>IF(ISBLANK(PO_LOG[[#This Row],[LINE]]), "",
   IF(COUNTIF('Line No'!$A$1:$A$342, PO_LOG[[#This Row],[LINE]]) &gt; 0,
      INDEX('Line No'!$B$1:$B$342, MATCH(PO_LOG[[#This Row],[LINE]], 'Line No'!$A$1:$A$342, 0)),
      IF(PO_LOG[[#This Row],[LINE]]="PC", "Petty Cash Log",
      IF(PO_LOG[[#This Row],[LINE]]="PR", "Payroll Log",
      "LINE CODE NOT VALID"))))</f>
        <v/>
      </c>
      <c r="H52" s="127"/>
    </row>
    <row r="53" spans="1:8">
      <c r="A53" s="106"/>
      <c r="B53" s="108"/>
      <c r="C53" s="106"/>
      <c r="D53" s="107"/>
      <c r="E53" s="106"/>
      <c r="F53" s="109"/>
      <c r="G53" s="106" t="str">
        <f>IF(ISBLANK(PO_LOG[[#This Row],[LINE]]), "",
   IF(COUNTIF('Line No'!$A$1:$A$342, PO_LOG[[#This Row],[LINE]]) &gt; 0,
      INDEX('Line No'!$B$1:$B$342, MATCH(PO_LOG[[#This Row],[LINE]], 'Line No'!$A$1:$A$342, 0)),
      IF(PO_LOG[[#This Row],[LINE]]="PC", "Petty Cash Log",
      IF(PO_LOG[[#This Row],[LINE]]="PR", "Payroll Log",
      "LINE CODE NOT VALID"))))</f>
        <v/>
      </c>
      <c r="H53" s="127"/>
    </row>
    <row r="54" spans="1:8">
      <c r="A54" s="106"/>
      <c r="B54" s="106"/>
      <c r="C54" s="106"/>
      <c r="D54" s="124"/>
      <c r="E54" s="116"/>
      <c r="F54" s="109"/>
      <c r="G54" s="106" t="str">
        <f>IF(ISBLANK(PO_LOG[[#This Row],[LINE]]), "",
   IF(COUNTIF('Line No'!$A$1:$A$342, PO_LOG[[#This Row],[LINE]]) &gt; 0,
      INDEX('Line No'!$B$1:$B$342, MATCH(PO_LOG[[#This Row],[LINE]], 'Line No'!$A$1:$A$342, 0)),
      IF(PO_LOG[[#This Row],[LINE]]="PC", "Petty Cash Log",
      IF(PO_LOG[[#This Row],[LINE]]="PR", "Payroll Log",
      "LINE CODE NOT VALID"))))</f>
        <v/>
      </c>
      <c r="H54" s="127"/>
    </row>
    <row r="55" spans="1:8">
      <c r="A55" s="106"/>
      <c r="B55" s="106"/>
      <c r="C55" s="106"/>
      <c r="D55" s="107"/>
      <c r="E55" s="116"/>
      <c r="F55" s="109"/>
      <c r="G55" s="106" t="str">
        <f>IF(ISBLANK(PO_LOG[[#This Row],[LINE]]), "",
   IF(COUNTIF('Line No'!$A$1:$A$342, PO_LOG[[#This Row],[LINE]]) &gt; 0,
      INDEX('Line No'!$B$1:$B$342, MATCH(PO_LOG[[#This Row],[LINE]], 'Line No'!$A$1:$A$342, 0)),
      IF(PO_LOG[[#This Row],[LINE]]="PC", "Petty Cash Log",
      IF(PO_LOG[[#This Row],[LINE]]="PR", "Payroll Log",
      "LINE CODE NOT VALID"))))</f>
        <v/>
      </c>
      <c r="H55" s="131"/>
    </row>
    <row r="56" spans="1:8">
      <c r="A56" s="106"/>
      <c r="B56" s="106"/>
      <c r="C56" s="106"/>
      <c r="D56" s="107"/>
      <c r="E56" s="106"/>
      <c r="F56" s="109"/>
      <c r="G56" s="106" t="str">
        <f>IF(ISBLANK(PO_LOG[[#This Row],[LINE]]), "",
   IF(COUNTIF('Line No'!$A$1:$A$342, PO_LOG[[#This Row],[LINE]]) &gt; 0,
      INDEX('Line No'!$B$1:$B$342, MATCH(PO_LOG[[#This Row],[LINE]], 'Line No'!$A$1:$A$342, 0)),
      IF(PO_LOG[[#This Row],[LINE]]="PC", "Petty Cash Log",
      IF(PO_LOG[[#This Row],[LINE]]="PR", "Payroll Log",
      "LINE CODE NOT VALID"))))</f>
        <v/>
      </c>
      <c r="H56" s="127"/>
    </row>
    <row r="57" spans="1:8">
      <c r="A57" s="106"/>
      <c r="B57" s="106"/>
      <c r="C57" s="106"/>
      <c r="D57" s="107"/>
      <c r="E57" s="116"/>
      <c r="F57" s="109"/>
      <c r="G57" s="106" t="str">
        <f>IF(ISBLANK(PO_LOG[[#This Row],[LINE]]), "",
   IF(COUNTIF('Line No'!$A$1:$A$342, PO_LOG[[#This Row],[LINE]]) &gt; 0,
      INDEX('Line No'!$B$1:$B$342, MATCH(PO_LOG[[#This Row],[LINE]], 'Line No'!$A$1:$A$342, 0)),
      IF(PO_LOG[[#This Row],[LINE]]="PC", "Petty Cash Log",
      IF(PO_LOG[[#This Row],[LINE]]="PR", "Payroll Log",
      "LINE CODE NOT VALID"))))</f>
        <v/>
      </c>
      <c r="H57" s="127"/>
    </row>
    <row r="58" spans="1:8">
      <c r="A58" s="106"/>
      <c r="B58" s="106"/>
      <c r="C58" s="106"/>
      <c r="D58" s="107"/>
      <c r="E58" s="108"/>
      <c r="F58" s="109"/>
      <c r="G58" s="106" t="str">
        <f>IF(ISBLANK(PO_LOG[[#This Row],[LINE]]), "",
   IF(COUNTIF('Line No'!$A$1:$A$342, PO_LOG[[#This Row],[LINE]]) &gt; 0,
      INDEX('Line No'!$B$1:$B$342, MATCH(PO_LOG[[#This Row],[LINE]], 'Line No'!$A$1:$A$342, 0)),
      IF(PO_LOG[[#This Row],[LINE]]="PC", "Petty Cash Log",
      IF(PO_LOG[[#This Row],[LINE]]="PR", "Payroll Log",
      "LINE CODE NOT VALID"))))</f>
        <v/>
      </c>
      <c r="H58" s="127"/>
    </row>
    <row r="59" spans="1:8">
      <c r="A59" s="106"/>
      <c r="B59" s="106"/>
      <c r="C59" s="106"/>
      <c r="D59" s="107"/>
      <c r="E59" s="116"/>
      <c r="F59" s="109"/>
      <c r="G59" s="106" t="str">
        <f>IF(ISBLANK(PO_LOG[[#This Row],[LINE]]), "",
   IF(COUNTIF('Line No'!$A$1:$A$342, PO_LOG[[#This Row],[LINE]]) &gt; 0,
      INDEX('Line No'!$B$1:$B$342, MATCH(PO_LOG[[#This Row],[LINE]], 'Line No'!$A$1:$A$342, 0)),
      IF(PO_LOG[[#This Row],[LINE]]="PC", "Petty Cash Log",
      IF(PO_LOG[[#This Row],[LINE]]="PR", "Payroll Log",
      "LINE CODE NOT VALID"))))</f>
        <v/>
      </c>
      <c r="H59" s="127"/>
    </row>
    <row r="60" spans="1:8">
      <c r="A60" s="106"/>
      <c r="B60" s="106"/>
      <c r="C60" s="106"/>
      <c r="D60" s="107"/>
      <c r="E60" s="116"/>
      <c r="F60" s="109"/>
      <c r="G60" s="106" t="str">
        <f>IF(ISBLANK(PO_LOG[[#This Row],[LINE]]), "",
   IF(COUNTIF('Line No'!$A$1:$A$342, PO_LOG[[#This Row],[LINE]]) &gt; 0,
      INDEX('Line No'!$B$1:$B$342, MATCH(PO_LOG[[#This Row],[LINE]], 'Line No'!$A$1:$A$342, 0)),
      IF(PO_LOG[[#This Row],[LINE]]="PC", "Petty Cash Log",
      IF(PO_LOG[[#This Row],[LINE]]="PR", "Payroll Log",
      "LINE CODE NOT VALID"))))</f>
        <v/>
      </c>
      <c r="H60" s="127"/>
    </row>
    <row r="61" spans="1:8">
      <c r="A61" s="106"/>
      <c r="B61" s="106"/>
      <c r="C61" s="106"/>
      <c r="D61" s="107"/>
      <c r="E61" s="116"/>
      <c r="F61" s="109"/>
      <c r="G61" s="106" t="str">
        <f>IF(ISBLANK(PO_LOG[[#This Row],[LINE]]), "",
   IF(COUNTIF('Line No'!$A$1:$A$342, PO_LOG[[#This Row],[LINE]]) &gt; 0,
      INDEX('Line No'!$B$1:$B$342, MATCH(PO_LOG[[#This Row],[LINE]], 'Line No'!$A$1:$A$342, 0)),
      IF(PO_LOG[[#This Row],[LINE]]="PC", "Petty Cash Log",
      IF(PO_LOG[[#This Row],[LINE]]="PR", "Payroll Log",
      "LINE CODE NOT VALID"))))</f>
        <v/>
      </c>
      <c r="H61" s="127"/>
    </row>
    <row r="62" spans="1:8">
      <c r="A62" s="106"/>
      <c r="B62" s="106"/>
      <c r="C62" s="106"/>
      <c r="D62" s="118"/>
      <c r="E62" s="116"/>
      <c r="F62" s="109"/>
      <c r="G62" s="106" t="str">
        <f>IF(ISBLANK(PO_LOG[[#This Row],[LINE]]), "",
   IF(COUNTIF('Line No'!$A$1:$A$342, PO_LOG[[#This Row],[LINE]]) &gt; 0,
      INDEX('Line No'!$B$1:$B$342, MATCH(PO_LOG[[#This Row],[LINE]], 'Line No'!$A$1:$A$342, 0)),
      IF(PO_LOG[[#This Row],[LINE]]="PC", "Petty Cash Log",
      IF(PO_LOG[[#This Row],[LINE]]="PR", "Payroll Log",
      "LINE CODE NOT VALID"))))</f>
        <v/>
      </c>
      <c r="H62" s="127"/>
    </row>
    <row r="63" spans="1:8">
      <c r="A63" s="106"/>
      <c r="B63" s="106"/>
      <c r="C63" s="106"/>
      <c r="D63" s="107"/>
      <c r="E63" s="116"/>
      <c r="F63" s="109"/>
      <c r="G63" s="106" t="str">
        <f>IF(ISBLANK(PO_LOG[[#This Row],[LINE]]), "",
   IF(COUNTIF('Line No'!$A$1:$A$342, PO_LOG[[#This Row],[LINE]]) &gt; 0,
      INDEX('Line No'!$B$1:$B$342, MATCH(PO_LOG[[#This Row],[LINE]], 'Line No'!$A$1:$A$342, 0)),
      IF(PO_LOG[[#This Row],[LINE]]="PC", "Petty Cash Log",
      IF(PO_LOG[[#This Row],[LINE]]="PR", "Payroll Log",
      "LINE CODE NOT VALID"))))</f>
        <v/>
      </c>
      <c r="H63" s="127"/>
    </row>
    <row r="64" spans="1:8">
      <c r="A64" s="106"/>
      <c r="B64" s="106"/>
      <c r="C64" s="106"/>
      <c r="D64" s="107"/>
      <c r="E64" s="116"/>
      <c r="F64" s="109"/>
      <c r="G64" s="106" t="str">
        <f>IF(ISBLANK(PO_LOG[[#This Row],[LINE]]), "",
   IF(COUNTIF('Line No'!$A$1:$A$342, PO_LOG[[#This Row],[LINE]]) &gt; 0,
      INDEX('Line No'!$B$1:$B$342, MATCH(PO_LOG[[#This Row],[LINE]], 'Line No'!$A$1:$A$342, 0)),
      IF(PO_LOG[[#This Row],[LINE]]="PC", "Petty Cash Log",
      IF(PO_LOG[[#This Row],[LINE]]="PR", "Payroll Log",
      "LINE CODE NOT VALID"))))</f>
        <v/>
      </c>
      <c r="H64" s="127"/>
    </row>
    <row r="65" spans="1:8">
      <c r="A65" s="106"/>
      <c r="B65" s="106"/>
      <c r="C65" s="106"/>
      <c r="D65" s="107"/>
      <c r="E65" s="106"/>
      <c r="F65" s="109"/>
      <c r="G65" s="106" t="str">
        <f>IF(ISBLANK(PO_LOG[[#This Row],[LINE]]), "",
   IF(COUNTIF('Line No'!$A$1:$A$342, PO_LOG[[#This Row],[LINE]]) &gt; 0,
      INDEX('Line No'!$B$1:$B$342, MATCH(PO_LOG[[#This Row],[LINE]], 'Line No'!$A$1:$A$342, 0)),
      IF(PO_LOG[[#This Row],[LINE]]="PC", "Petty Cash Log",
      IF(PO_LOG[[#This Row],[LINE]]="PR", "Payroll Log",
      "LINE CODE NOT VALID"))))</f>
        <v/>
      </c>
      <c r="H65" s="127"/>
    </row>
    <row r="66" spans="1:8">
      <c r="A66" s="106"/>
      <c r="B66" s="106"/>
      <c r="C66" s="106"/>
      <c r="D66" s="107"/>
      <c r="E66" s="116"/>
      <c r="F66" s="109"/>
      <c r="G66" s="106" t="str">
        <f>IF(ISBLANK(PO_LOG[[#This Row],[LINE]]), "",
   IF(COUNTIF('Line No'!$A$1:$A$342, PO_LOG[[#This Row],[LINE]]) &gt; 0,
      INDEX('Line No'!$B$1:$B$342, MATCH(PO_LOG[[#This Row],[LINE]], 'Line No'!$A$1:$A$342, 0)),
      IF(PO_LOG[[#This Row],[LINE]]="PC", "Petty Cash Log",
      IF(PO_LOG[[#This Row],[LINE]]="PR", "Payroll Log",
      "LINE CODE NOT VALID"))))</f>
        <v/>
      </c>
      <c r="H66" s="127"/>
    </row>
    <row r="67" spans="1:8">
      <c r="A67" s="106"/>
      <c r="B67" s="106"/>
      <c r="C67" s="106"/>
      <c r="D67" s="119"/>
      <c r="E67" s="114"/>
      <c r="F67" s="109"/>
      <c r="G67" s="106" t="str">
        <f>IF(ISBLANK(PO_LOG[[#This Row],[LINE]]), "",
   IF(COUNTIF('Line No'!$A$1:$A$342, PO_LOG[[#This Row],[LINE]]) &gt; 0,
      INDEX('Line No'!$B$1:$B$342, MATCH(PO_LOG[[#This Row],[LINE]], 'Line No'!$A$1:$A$342, 0)),
      IF(PO_LOG[[#This Row],[LINE]]="PC", "Petty Cash Log",
      IF(PO_LOG[[#This Row],[LINE]]="PR", "Payroll Log",
      "LINE CODE NOT VALID"))))</f>
        <v/>
      </c>
      <c r="H67" s="131"/>
    </row>
    <row r="68" spans="1:8">
      <c r="A68" s="106"/>
      <c r="B68" s="106"/>
      <c r="C68" s="106"/>
      <c r="D68" s="118"/>
      <c r="E68" s="116"/>
      <c r="F68" s="109"/>
      <c r="G68" s="106" t="str">
        <f>IF(ISBLANK(PO_LOG[[#This Row],[LINE]]), "",
   IF(COUNTIF('Line No'!$A$1:$A$342, PO_LOG[[#This Row],[LINE]]) &gt; 0,
      INDEX('Line No'!$B$1:$B$342, MATCH(PO_LOG[[#This Row],[LINE]], 'Line No'!$A$1:$A$342, 0)),
      IF(PO_LOG[[#This Row],[LINE]]="PC", "Petty Cash Log",
      IF(PO_LOG[[#This Row],[LINE]]="PR", "Payroll Log",
      "LINE CODE NOT VALID"))))</f>
        <v/>
      </c>
      <c r="H68" s="127"/>
    </row>
    <row r="69" spans="1:8">
      <c r="A69" s="106"/>
      <c r="B69" s="106"/>
      <c r="C69" s="106"/>
      <c r="D69" s="107"/>
      <c r="E69" s="106"/>
      <c r="F69" s="109"/>
      <c r="G69" s="106" t="str">
        <f>IF(ISBLANK(PO_LOG[[#This Row],[LINE]]), "",
   IF(COUNTIF('Line No'!$A$1:$A$342, PO_LOG[[#This Row],[LINE]]) &gt; 0,
      INDEX('Line No'!$B$1:$B$342, MATCH(PO_LOG[[#This Row],[LINE]], 'Line No'!$A$1:$A$342, 0)),
      IF(PO_LOG[[#This Row],[LINE]]="PC", "Petty Cash Log",
      IF(PO_LOG[[#This Row],[LINE]]="PR", "Payroll Log",
      "LINE CODE NOT VALID"))))</f>
        <v/>
      </c>
      <c r="H69" s="127"/>
    </row>
    <row r="70" spans="1:8">
      <c r="A70" s="106"/>
      <c r="B70" s="106"/>
      <c r="C70" s="106"/>
      <c r="D70" s="107"/>
      <c r="E70" s="106"/>
      <c r="F70" s="109"/>
      <c r="G70" s="106" t="str">
        <f>IF(ISBLANK(PO_LOG[[#This Row],[LINE]]), "",
   IF(COUNTIF('Line No'!$A$1:$A$342, PO_LOG[[#This Row],[LINE]]) &gt; 0,
      INDEX('Line No'!$B$1:$B$342, MATCH(PO_LOG[[#This Row],[LINE]], 'Line No'!$A$1:$A$342, 0)),
      IF(PO_LOG[[#This Row],[LINE]]="PC", "Petty Cash Log",
      IF(PO_LOG[[#This Row],[LINE]]="PR", "Payroll Log",
      "LINE CODE NOT VALID"))))</f>
        <v/>
      </c>
      <c r="H70" s="127"/>
    </row>
    <row r="71" spans="1:8">
      <c r="A71" s="106"/>
      <c r="B71" s="106"/>
      <c r="C71" s="106"/>
      <c r="D71" s="107"/>
      <c r="E71" s="106"/>
      <c r="F71" s="109"/>
      <c r="G71" s="106" t="str">
        <f>IF(ISBLANK(PO_LOG[[#This Row],[LINE]]), "",
   IF(COUNTIF('Line No'!$A$1:$A$342, PO_LOG[[#This Row],[LINE]]) &gt; 0,
      INDEX('Line No'!$B$1:$B$342, MATCH(PO_LOG[[#This Row],[LINE]], 'Line No'!$A$1:$A$342, 0)),
      IF(PO_LOG[[#This Row],[LINE]]="PC", "Petty Cash Log",
      IF(PO_LOG[[#This Row],[LINE]]="PR", "Payroll Log",
      "LINE CODE NOT VALID"))))</f>
        <v/>
      </c>
      <c r="H71" s="127"/>
    </row>
    <row r="72" spans="1:8">
      <c r="A72" s="106"/>
      <c r="B72" s="106"/>
      <c r="C72" s="106"/>
      <c r="D72" s="107"/>
      <c r="E72" s="106"/>
      <c r="F72" s="109"/>
      <c r="G72" s="106" t="str">
        <f>IF(ISBLANK(PO_LOG[[#This Row],[LINE]]), "",
   IF(COUNTIF('Line No'!$A$1:$A$342, PO_LOG[[#This Row],[LINE]]) &gt; 0,
      INDEX('Line No'!$B$1:$B$342, MATCH(PO_LOG[[#This Row],[LINE]], 'Line No'!$A$1:$A$342, 0)),
      IF(PO_LOG[[#This Row],[LINE]]="PC", "Petty Cash Log",
      IF(PO_LOG[[#This Row],[LINE]]="PR", "Payroll Log",
      "LINE CODE NOT VALID"))))</f>
        <v/>
      </c>
      <c r="H72" s="127"/>
    </row>
    <row r="73" spans="1:8">
      <c r="A73" s="106"/>
      <c r="B73" s="106"/>
      <c r="C73" s="106"/>
      <c r="D73" s="107"/>
      <c r="E73" s="106"/>
      <c r="F73" s="109"/>
      <c r="G73" s="106" t="str">
        <f>IF(ISBLANK(PO_LOG[[#This Row],[LINE]]), "",
   IF(COUNTIF('Line No'!$A$1:$A$342, PO_LOG[[#This Row],[LINE]]) &gt; 0,
      INDEX('Line No'!$B$1:$B$342, MATCH(PO_LOG[[#This Row],[LINE]], 'Line No'!$A$1:$A$342, 0)),
      IF(PO_LOG[[#This Row],[LINE]]="PC", "Petty Cash Log",
      IF(PO_LOG[[#This Row],[LINE]]="PR", "Payroll Log",
      "LINE CODE NOT VALID"))))</f>
        <v/>
      </c>
      <c r="H73" s="127"/>
    </row>
    <row r="74" spans="1:8">
      <c r="A74" s="106"/>
      <c r="B74" s="106"/>
      <c r="C74" s="106"/>
      <c r="D74" s="107"/>
      <c r="E74" s="106"/>
      <c r="F74" s="109"/>
      <c r="G74" s="106" t="str">
        <f>IF(ISBLANK(PO_LOG[[#This Row],[LINE]]), "",
   IF(COUNTIF('Line No'!$A$1:$A$342, PO_LOG[[#This Row],[LINE]]) &gt; 0,
      INDEX('Line No'!$B$1:$B$342, MATCH(PO_LOG[[#This Row],[LINE]], 'Line No'!$A$1:$A$342, 0)),
      IF(PO_LOG[[#This Row],[LINE]]="PC", "Petty Cash Log",
      IF(PO_LOG[[#This Row],[LINE]]="PR", "Payroll Log",
      "LINE CODE NOT VALID"))))</f>
        <v/>
      </c>
      <c r="H74" s="127"/>
    </row>
    <row r="75" spans="1:8">
      <c r="A75" s="114"/>
      <c r="B75" s="106"/>
      <c r="C75" s="106"/>
      <c r="D75" s="107"/>
      <c r="E75" s="106"/>
      <c r="F75" s="109"/>
      <c r="G75" s="106" t="str">
        <f>IF(ISBLANK(PO_LOG[[#This Row],[LINE]]), "",
   IF(COUNTIF('Line No'!$A$1:$A$342, PO_LOG[[#This Row],[LINE]]) &gt; 0,
      INDEX('Line No'!$B$1:$B$342, MATCH(PO_LOG[[#This Row],[LINE]], 'Line No'!$A$1:$A$342, 0)),
      IF(PO_LOG[[#This Row],[LINE]]="PC", "Petty Cash Log",
      IF(PO_LOG[[#This Row],[LINE]]="PR", "Payroll Log",
      "LINE CODE NOT VALID"))))</f>
        <v/>
      </c>
      <c r="H75" s="127"/>
    </row>
    <row r="76" spans="1:8">
      <c r="A76" s="114"/>
      <c r="B76" s="106"/>
      <c r="C76" s="106"/>
      <c r="D76" s="107"/>
      <c r="E76" s="106"/>
      <c r="F76" s="109"/>
      <c r="G76" s="106" t="str">
        <f>IF(ISBLANK(PO_LOG[[#This Row],[LINE]]), "",
   IF(COUNTIF('Line No'!$A$1:$A$342, PO_LOG[[#This Row],[LINE]]) &gt; 0,
      INDEX('Line No'!$B$1:$B$342, MATCH(PO_LOG[[#This Row],[LINE]], 'Line No'!$A$1:$A$342, 0)),
      IF(PO_LOG[[#This Row],[LINE]]="PC", "Petty Cash Log",
      IF(PO_LOG[[#This Row],[LINE]]="PR", "Payroll Log",
      "LINE CODE NOT VALID"))))</f>
        <v/>
      </c>
      <c r="H76" s="127"/>
    </row>
    <row r="77" spans="1:8">
      <c r="A77" s="114"/>
      <c r="B77" s="106"/>
      <c r="C77" s="106"/>
      <c r="D77" s="107"/>
      <c r="E77" s="106"/>
      <c r="F77" s="109"/>
      <c r="G77" s="106" t="str">
        <f>IF(ISBLANK(PO_LOG[[#This Row],[LINE]]), "",
   IF(COUNTIF('Line No'!$A$1:$A$342, PO_LOG[[#This Row],[LINE]]) &gt; 0,
      INDEX('Line No'!$B$1:$B$342, MATCH(PO_LOG[[#This Row],[LINE]], 'Line No'!$A$1:$A$342, 0)),
      IF(PO_LOG[[#This Row],[LINE]]="PC", "Petty Cash Log",
      IF(PO_LOG[[#This Row],[LINE]]="PR", "Payroll Log",
      "LINE CODE NOT VALID"))))</f>
        <v/>
      </c>
      <c r="H77" s="127"/>
    </row>
    <row r="78" spans="1:8">
      <c r="A78" s="106"/>
      <c r="B78" s="106"/>
      <c r="C78" s="106"/>
      <c r="D78" s="107"/>
      <c r="E78" s="106"/>
      <c r="F78" s="109"/>
      <c r="G78" s="106" t="str">
        <f>IF(ISBLANK(PO_LOG[[#This Row],[LINE]]), "",
   IF(COUNTIF('Line No'!$A$1:$A$342, PO_LOG[[#This Row],[LINE]]) &gt; 0,
      INDEX('Line No'!$B$1:$B$342, MATCH(PO_LOG[[#This Row],[LINE]], 'Line No'!$A$1:$A$342, 0)),
      IF(PO_LOG[[#This Row],[LINE]]="PC", "Petty Cash Log",
      IF(PO_LOG[[#This Row],[LINE]]="PR", "Payroll Log",
      "LINE CODE NOT VALID"))))</f>
        <v/>
      </c>
      <c r="H78" s="127"/>
    </row>
    <row r="79" spans="1:8">
      <c r="A79" s="106"/>
      <c r="B79" s="106"/>
      <c r="C79" s="106"/>
      <c r="D79" s="107"/>
      <c r="E79" s="106"/>
      <c r="F79" s="109"/>
      <c r="G79" s="106" t="str">
        <f>IF(ISBLANK(PO_LOG[[#This Row],[LINE]]), "",
   IF(COUNTIF('Line No'!$A$1:$A$342, PO_LOG[[#This Row],[LINE]]) &gt; 0,
      INDEX('Line No'!$B$1:$B$342, MATCH(PO_LOG[[#This Row],[LINE]], 'Line No'!$A$1:$A$342, 0)),
      IF(PO_LOG[[#This Row],[LINE]]="PC", "Petty Cash Log",
      IF(PO_LOG[[#This Row],[LINE]]="PR", "Payroll Log",
      "LINE CODE NOT VALID"))))</f>
        <v/>
      </c>
      <c r="H79" s="127"/>
    </row>
    <row r="80" spans="1:8">
      <c r="A80" s="106"/>
      <c r="B80" s="106"/>
      <c r="C80" s="106"/>
      <c r="D80" s="107"/>
      <c r="E80" s="106"/>
      <c r="F80" s="109"/>
      <c r="G80" s="106" t="str">
        <f>IF(ISBLANK(PO_LOG[[#This Row],[LINE]]), "",
   IF(COUNTIF('Line No'!$A$1:$A$342, PO_LOG[[#This Row],[LINE]]) &gt; 0,
      INDEX('Line No'!$B$1:$B$342, MATCH(PO_LOG[[#This Row],[LINE]], 'Line No'!$A$1:$A$342, 0)),
      IF(PO_LOG[[#This Row],[LINE]]="PC", "Petty Cash Log",
      IF(PO_LOG[[#This Row],[LINE]]="PR", "Payroll Log",
      "LINE CODE NOT VALID"))))</f>
        <v/>
      </c>
      <c r="H80" s="127"/>
    </row>
    <row r="81" spans="1:8">
      <c r="A81" s="106"/>
      <c r="B81" s="106"/>
      <c r="C81" s="106"/>
      <c r="D81" s="107"/>
      <c r="E81" s="106"/>
      <c r="F81" s="109"/>
      <c r="G81" s="106" t="str">
        <f>IF(ISBLANK(PO_LOG[[#This Row],[LINE]]), "",
   IF(COUNTIF('Line No'!$A$1:$A$342, PO_LOG[[#This Row],[LINE]]) &gt; 0,
      INDEX('Line No'!$B$1:$B$342, MATCH(PO_LOG[[#This Row],[LINE]], 'Line No'!$A$1:$A$342, 0)),
      IF(PO_LOG[[#This Row],[LINE]]="PC", "Petty Cash Log",
      IF(PO_LOG[[#This Row],[LINE]]="PR", "Payroll Log",
      "LINE CODE NOT VALID"))))</f>
        <v/>
      </c>
      <c r="H81" s="127"/>
    </row>
    <row r="82" spans="1:8">
      <c r="A82" s="106"/>
      <c r="B82" s="106"/>
      <c r="C82" s="106"/>
      <c r="D82" s="107"/>
      <c r="E82" s="106"/>
      <c r="F82" s="109"/>
      <c r="G82" s="106" t="str">
        <f>IF(ISBLANK(PO_LOG[[#This Row],[LINE]]), "",
   IF(COUNTIF('Line No'!$A$1:$A$342, PO_LOG[[#This Row],[LINE]]) &gt; 0,
      INDEX('Line No'!$B$1:$B$342, MATCH(PO_LOG[[#This Row],[LINE]], 'Line No'!$A$1:$A$342, 0)),
      IF(PO_LOG[[#This Row],[LINE]]="PC", "Petty Cash Log",
      IF(PO_LOG[[#This Row],[LINE]]="PR", "Payroll Log",
      "LINE CODE NOT VALID"))))</f>
        <v/>
      </c>
      <c r="H82" s="127"/>
    </row>
    <row r="83" spans="1:8">
      <c r="A83" s="106"/>
      <c r="B83" s="106"/>
      <c r="C83" s="106"/>
      <c r="D83" s="107"/>
      <c r="E83" s="106"/>
      <c r="F83" s="109"/>
      <c r="G83" s="106" t="str">
        <f>IF(ISBLANK(PO_LOG[[#This Row],[LINE]]), "",
   IF(COUNTIF('Line No'!$A$1:$A$342, PO_LOG[[#This Row],[LINE]]) &gt; 0,
      INDEX('Line No'!$B$1:$B$342, MATCH(PO_LOG[[#This Row],[LINE]], 'Line No'!$A$1:$A$342, 0)),
      IF(PO_LOG[[#This Row],[LINE]]="PC", "Petty Cash Log",
      IF(PO_LOG[[#This Row],[LINE]]="PR", "Payroll Log",
      "LINE CODE NOT VALID"))))</f>
        <v/>
      </c>
      <c r="H83" s="127"/>
    </row>
    <row r="84" spans="1:8">
      <c r="A84" s="106"/>
      <c r="B84" s="106"/>
      <c r="C84" s="106"/>
      <c r="D84" s="107"/>
      <c r="E84" s="106"/>
      <c r="F84" s="109"/>
      <c r="G84" s="106" t="str">
        <f>IF(ISBLANK(PO_LOG[[#This Row],[LINE]]), "",
   IF(COUNTIF('Line No'!$A$1:$A$342, PO_LOG[[#This Row],[LINE]]) &gt; 0,
      INDEX('Line No'!$B$1:$B$342, MATCH(PO_LOG[[#This Row],[LINE]], 'Line No'!$A$1:$A$342, 0)),
      IF(PO_LOG[[#This Row],[LINE]]="PC", "Petty Cash Log",
      IF(PO_LOG[[#This Row],[LINE]]="PR", "Payroll Log",
      "LINE CODE NOT VALID"))))</f>
        <v/>
      </c>
      <c r="H84" s="127"/>
    </row>
    <row r="85" spans="1:8">
      <c r="A85" s="106"/>
      <c r="B85" s="106"/>
      <c r="C85" s="106"/>
      <c r="D85" s="107"/>
      <c r="E85" s="106"/>
      <c r="F85" s="109"/>
      <c r="G85" s="106" t="str">
        <f>IF(ISBLANK(PO_LOG[[#This Row],[LINE]]), "",
   IF(COUNTIF('Line No'!$A$1:$A$342, PO_LOG[[#This Row],[LINE]]) &gt; 0,
      INDEX('Line No'!$B$1:$B$342, MATCH(PO_LOG[[#This Row],[LINE]], 'Line No'!$A$1:$A$342, 0)),
      IF(PO_LOG[[#This Row],[LINE]]="PC", "Petty Cash Log",
      IF(PO_LOG[[#This Row],[LINE]]="PR", "Payroll Log",
      "LINE CODE NOT VALID"))))</f>
        <v/>
      </c>
      <c r="H85" s="127"/>
    </row>
    <row r="86" spans="1:8">
      <c r="A86" s="114"/>
      <c r="B86" s="114"/>
      <c r="C86" s="106"/>
      <c r="D86" s="119"/>
      <c r="E86" s="106"/>
      <c r="F86" s="115"/>
      <c r="G86" s="106" t="str">
        <f>IF(ISBLANK(PO_LOG[[#This Row],[LINE]]), "",
   IF(COUNTIF('Line No'!$A$1:$A$342, PO_LOG[[#This Row],[LINE]]) &gt; 0,
      INDEX('Line No'!$B$1:$B$342, MATCH(PO_LOG[[#This Row],[LINE]], 'Line No'!$A$1:$A$342, 0)),
      IF(PO_LOG[[#This Row],[LINE]]="PC", "Petty Cash Log",
      IF(PO_LOG[[#This Row],[LINE]]="PR", "Payroll Log",
      "LINE CODE NOT VALID"))))</f>
        <v/>
      </c>
      <c r="H86" s="127"/>
    </row>
    <row r="87" spans="1:8">
      <c r="A87" s="114"/>
      <c r="B87" s="114"/>
      <c r="C87" s="106"/>
      <c r="D87" s="119"/>
      <c r="E87" s="106"/>
      <c r="F87" s="115"/>
      <c r="G87" s="106" t="str">
        <f>IF(ISBLANK(PO_LOG[[#This Row],[LINE]]), "",
   IF(COUNTIF('Line No'!$A$1:$A$342, PO_LOG[[#This Row],[LINE]]) &gt; 0,
      INDEX('Line No'!$B$1:$B$342, MATCH(PO_LOG[[#This Row],[LINE]], 'Line No'!$A$1:$A$342, 0)),
      IF(PO_LOG[[#This Row],[LINE]]="PC", "Petty Cash Log",
      IF(PO_LOG[[#This Row],[LINE]]="PR", "Payroll Log",
      "LINE CODE NOT VALID"))))</f>
        <v/>
      </c>
      <c r="H87" s="127"/>
    </row>
    <row r="88" spans="1:8">
      <c r="A88" s="106"/>
      <c r="B88" s="106"/>
      <c r="C88" s="106"/>
      <c r="D88" s="107"/>
      <c r="E88" s="106"/>
      <c r="F88" s="109"/>
      <c r="G88" s="106" t="str">
        <f>IF(ISBLANK(PO_LOG[[#This Row],[LINE]]), "",
   IF(COUNTIF('Line No'!$A$1:$A$342, PO_LOG[[#This Row],[LINE]]) &gt; 0,
      INDEX('Line No'!$B$1:$B$342, MATCH(PO_LOG[[#This Row],[LINE]], 'Line No'!$A$1:$A$342, 0)),
      IF(PO_LOG[[#This Row],[LINE]]="PC", "Petty Cash Log",
      IF(PO_LOG[[#This Row],[LINE]]="PR", "Payroll Log",
      "LINE CODE NOT VALID"))))</f>
        <v/>
      </c>
      <c r="H88" s="127"/>
    </row>
    <row r="89" spans="1:8">
      <c r="A89" s="106"/>
      <c r="B89" s="106"/>
      <c r="C89" s="106"/>
      <c r="D89" s="107"/>
      <c r="E89" s="106"/>
      <c r="F89" s="109"/>
      <c r="G89" s="106" t="str">
        <f>IF(ISBLANK(PO_LOG[[#This Row],[LINE]]), "",
   IF(COUNTIF('Line No'!$A$1:$A$342, PO_LOG[[#This Row],[LINE]]) &gt; 0,
      INDEX('Line No'!$B$1:$B$342, MATCH(PO_LOG[[#This Row],[LINE]], 'Line No'!$A$1:$A$342, 0)),
      IF(PO_LOG[[#This Row],[LINE]]="PC", "Petty Cash Log",
      IF(PO_LOG[[#This Row],[LINE]]="PR", "Payroll Log",
      "LINE CODE NOT VALID"))))</f>
        <v/>
      </c>
      <c r="H89" s="127"/>
    </row>
    <row r="90" spans="1:8">
      <c r="A90" s="106"/>
      <c r="B90" s="106"/>
      <c r="C90" s="106"/>
      <c r="D90" s="107"/>
      <c r="E90" s="106"/>
      <c r="F90" s="109"/>
      <c r="G90" s="106" t="str">
        <f>IF(ISBLANK(PO_LOG[[#This Row],[LINE]]), "",
   IF(COUNTIF('Line No'!$A$1:$A$342, PO_LOG[[#This Row],[LINE]]) &gt; 0,
      INDEX('Line No'!$B$1:$B$342, MATCH(PO_LOG[[#This Row],[LINE]], 'Line No'!$A$1:$A$342, 0)),
      IF(PO_LOG[[#This Row],[LINE]]="PC", "Petty Cash Log",
      IF(PO_LOG[[#This Row],[LINE]]="PR", "Payroll Log",
      "LINE CODE NOT VALID"))))</f>
        <v/>
      </c>
      <c r="H90" s="127"/>
    </row>
    <row r="91" spans="1:8">
      <c r="A91" s="106"/>
      <c r="B91" s="106"/>
      <c r="C91" s="106"/>
      <c r="D91" s="107"/>
      <c r="E91" s="106"/>
      <c r="F91" s="109"/>
      <c r="G91" s="106" t="str">
        <f>IF(ISBLANK(PO_LOG[[#This Row],[LINE]]), "",
   IF(COUNTIF('Line No'!$A$1:$A$342, PO_LOG[[#This Row],[LINE]]) &gt; 0,
      INDEX('Line No'!$B$1:$B$342, MATCH(PO_LOG[[#This Row],[LINE]], 'Line No'!$A$1:$A$342, 0)),
      IF(PO_LOG[[#This Row],[LINE]]="PC", "Petty Cash Log",
      IF(PO_LOG[[#This Row],[LINE]]="PR", "Payroll Log",
      "LINE CODE NOT VALID"))))</f>
        <v/>
      </c>
      <c r="H91" s="127"/>
    </row>
    <row r="92" spans="1:8">
      <c r="A92" s="106"/>
      <c r="B92" s="106"/>
      <c r="C92" s="106"/>
      <c r="D92" s="107"/>
      <c r="E92" s="106"/>
      <c r="F92" s="109"/>
      <c r="G92" s="106" t="str">
        <f>IF(ISBLANK(PO_LOG[[#This Row],[LINE]]), "",
   IF(COUNTIF('Line No'!$A$1:$A$342, PO_LOG[[#This Row],[LINE]]) &gt; 0,
      INDEX('Line No'!$B$1:$B$342, MATCH(PO_LOG[[#This Row],[LINE]], 'Line No'!$A$1:$A$342, 0)),
      IF(PO_LOG[[#This Row],[LINE]]="PC", "Petty Cash Log",
      IF(PO_LOG[[#This Row],[LINE]]="PR", "Payroll Log",
      "LINE CODE NOT VALID"))))</f>
        <v/>
      </c>
      <c r="H92" s="127"/>
    </row>
    <row r="93" spans="1:8">
      <c r="A93" s="106"/>
      <c r="B93" s="106"/>
      <c r="C93" s="106"/>
      <c r="D93" s="107"/>
      <c r="E93" s="106"/>
      <c r="F93" s="109"/>
      <c r="G93" s="106" t="str">
        <f>IF(ISBLANK(PO_LOG[[#This Row],[LINE]]), "",
   IF(COUNTIF('Line No'!$A$1:$A$342, PO_LOG[[#This Row],[LINE]]) &gt; 0,
      INDEX('Line No'!$B$1:$B$342, MATCH(PO_LOG[[#This Row],[LINE]], 'Line No'!$A$1:$A$342, 0)),
      IF(PO_LOG[[#This Row],[LINE]]="PC", "Petty Cash Log",
      IF(PO_LOG[[#This Row],[LINE]]="PR", "Payroll Log",
      "LINE CODE NOT VALID"))))</f>
        <v/>
      </c>
      <c r="H93" s="127"/>
    </row>
    <row r="94" spans="1:8">
      <c r="A94" s="106"/>
      <c r="B94" s="106"/>
      <c r="C94" s="106"/>
      <c r="D94" s="107"/>
      <c r="E94" s="106"/>
      <c r="F94" s="109"/>
      <c r="G94" s="106" t="str">
        <f>IF(ISBLANK(PO_LOG[[#This Row],[LINE]]), "",
   IF(COUNTIF('Line No'!$A$1:$A$342, PO_LOG[[#This Row],[LINE]]) &gt; 0,
      INDEX('Line No'!$B$1:$B$342, MATCH(PO_LOG[[#This Row],[LINE]], 'Line No'!$A$1:$A$342, 0)),
      IF(PO_LOG[[#This Row],[LINE]]="PC", "Petty Cash Log",
      IF(PO_LOG[[#This Row],[LINE]]="PR", "Payroll Log",
      "LINE CODE NOT VALID"))))</f>
        <v/>
      </c>
      <c r="H94" s="127"/>
    </row>
    <row r="95" spans="1:8">
      <c r="A95" s="106"/>
      <c r="B95" s="106"/>
      <c r="C95" s="106"/>
      <c r="D95" s="107"/>
      <c r="E95" s="106"/>
      <c r="F95" s="109"/>
      <c r="G95" s="106" t="str">
        <f>IF(ISBLANK(PO_LOG[[#This Row],[LINE]]), "",
   IF(COUNTIF('Line No'!$A$1:$A$342, PO_LOG[[#This Row],[LINE]]) &gt; 0,
      INDEX('Line No'!$B$1:$B$342, MATCH(PO_LOG[[#This Row],[LINE]], 'Line No'!$A$1:$A$342, 0)),
      IF(PO_LOG[[#This Row],[LINE]]="PC", "Petty Cash Log",
      IF(PO_LOG[[#This Row],[LINE]]="PR", "Payroll Log",
      "LINE CODE NOT VALID"))))</f>
        <v/>
      </c>
      <c r="H95" s="127"/>
    </row>
    <row r="96" spans="1:8">
      <c r="A96" s="106"/>
      <c r="B96" s="106"/>
      <c r="C96" s="106"/>
      <c r="D96" s="107"/>
      <c r="E96" s="106"/>
      <c r="F96" s="109"/>
      <c r="G96" s="106" t="str">
        <f>IF(ISBLANK(PO_LOG[[#This Row],[LINE]]), "",
   IF(COUNTIF('Line No'!$A$1:$A$342, PO_LOG[[#This Row],[LINE]]) &gt; 0,
      INDEX('Line No'!$B$1:$B$342, MATCH(PO_LOG[[#This Row],[LINE]], 'Line No'!$A$1:$A$342, 0)),
      IF(PO_LOG[[#This Row],[LINE]]="PC", "Petty Cash Log",
      IF(PO_LOG[[#This Row],[LINE]]="PR", "Payroll Log",
      "LINE CODE NOT VALID"))))</f>
        <v/>
      </c>
      <c r="H96" s="127"/>
    </row>
    <row r="97" spans="1:8">
      <c r="A97" s="106"/>
      <c r="B97" s="106"/>
      <c r="C97" s="106"/>
      <c r="D97" s="107"/>
      <c r="E97" s="116"/>
      <c r="F97" s="109"/>
      <c r="G97" s="106" t="str">
        <f>IF(ISBLANK(PO_LOG[[#This Row],[LINE]]), "",
   IF(COUNTIF('Line No'!$A$1:$A$342, PO_LOG[[#This Row],[LINE]]) &gt; 0,
      INDEX('Line No'!$B$1:$B$342, MATCH(PO_LOG[[#This Row],[LINE]], 'Line No'!$A$1:$A$342, 0)),
      IF(PO_LOG[[#This Row],[LINE]]="PC", "Petty Cash Log",
      IF(PO_LOG[[#This Row],[LINE]]="PR", "Payroll Log",
      "LINE CODE NOT VALID"))))</f>
        <v/>
      </c>
      <c r="H97" s="127"/>
    </row>
    <row r="98" spans="1:8">
      <c r="A98" s="106"/>
      <c r="B98" s="106"/>
      <c r="C98" s="106"/>
      <c r="D98" s="107"/>
      <c r="E98" s="106"/>
      <c r="F98" s="109"/>
      <c r="G98" s="106" t="str">
        <f>IF(ISBLANK(PO_LOG[[#This Row],[LINE]]), "",
   IF(COUNTIF('Line No'!$A$1:$A$342, PO_LOG[[#This Row],[LINE]]) &gt; 0,
      INDEX('Line No'!$B$1:$B$342, MATCH(PO_LOG[[#This Row],[LINE]], 'Line No'!$A$1:$A$342, 0)),
      IF(PO_LOG[[#This Row],[LINE]]="PC", "Petty Cash Log",
      IF(PO_LOG[[#This Row],[LINE]]="PR", "Payroll Log",
      "LINE CODE NOT VALID"))))</f>
        <v/>
      </c>
      <c r="H98" s="127"/>
    </row>
    <row r="99" spans="1:8">
      <c r="A99" s="106"/>
      <c r="B99" s="106"/>
      <c r="C99" s="106"/>
      <c r="D99" s="107"/>
      <c r="E99" s="106"/>
      <c r="F99" s="109"/>
      <c r="G99" s="106" t="str">
        <f>IF(ISBLANK(PO_LOG[[#This Row],[LINE]]), "",
   IF(COUNTIF('Line No'!$A$1:$A$342, PO_LOG[[#This Row],[LINE]]) &gt; 0,
      INDEX('Line No'!$B$1:$B$342, MATCH(PO_LOG[[#This Row],[LINE]], 'Line No'!$A$1:$A$342, 0)),
      IF(PO_LOG[[#This Row],[LINE]]="PC", "Petty Cash Log",
      IF(PO_LOG[[#This Row],[LINE]]="PR", "Payroll Log",
      "LINE CODE NOT VALID"))))</f>
        <v/>
      </c>
      <c r="H99" s="127"/>
    </row>
    <row r="100" spans="1:8">
      <c r="A100" s="106"/>
      <c r="B100" s="106"/>
      <c r="C100" s="106"/>
      <c r="D100" s="107"/>
      <c r="E100" s="106"/>
      <c r="F100" s="109"/>
      <c r="G100" s="106" t="str">
        <f>IF(ISBLANK(PO_LOG[[#This Row],[LINE]]), "",
   IF(COUNTIF('Line No'!$A$1:$A$342, PO_LOG[[#This Row],[LINE]]) &gt; 0,
      INDEX('Line No'!$B$1:$B$342, MATCH(PO_LOG[[#This Row],[LINE]], 'Line No'!$A$1:$A$342, 0)),
      IF(PO_LOG[[#This Row],[LINE]]="PC", "Petty Cash Log",
      IF(PO_LOG[[#This Row],[LINE]]="PR", "Payroll Log",
      "LINE CODE NOT VALID"))))</f>
        <v/>
      </c>
      <c r="H100" s="127"/>
    </row>
    <row r="101" spans="1:8">
      <c r="A101" s="106"/>
      <c r="B101" s="106"/>
      <c r="C101" s="106"/>
      <c r="D101" s="107"/>
      <c r="E101" s="106"/>
      <c r="F101" s="109"/>
      <c r="G101" s="106" t="str">
        <f>IF(ISBLANK(PO_LOG[[#This Row],[LINE]]), "",
   IF(COUNTIF('Line No'!$A$1:$A$342, PO_LOG[[#This Row],[LINE]]) &gt; 0,
      INDEX('Line No'!$B$1:$B$342, MATCH(PO_LOG[[#This Row],[LINE]], 'Line No'!$A$1:$A$342, 0)),
      IF(PO_LOG[[#This Row],[LINE]]="PC", "Petty Cash Log",
      IF(PO_LOG[[#This Row],[LINE]]="PR", "Payroll Log",
      "LINE CODE NOT VALID"))))</f>
        <v/>
      </c>
      <c r="H101" s="127"/>
    </row>
    <row r="102" spans="1:8">
      <c r="A102" s="106"/>
      <c r="B102" s="106"/>
      <c r="C102" s="106"/>
      <c r="D102" s="107"/>
      <c r="E102" s="106"/>
      <c r="F102" s="109"/>
      <c r="G102" s="106" t="str">
        <f>IF(ISBLANK(PO_LOG[[#This Row],[LINE]]), "",
   IF(COUNTIF('Line No'!$A$1:$A$342, PO_LOG[[#This Row],[LINE]]) &gt; 0,
      INDEX('Line No'!$B$1:$B$342, MATCH(PO_LOG[[#This Row],[LINE]], 'Line No'!$A$1:$A$342, 0)),
      IF(PO_LOG[[#This Row],[LINE]]="PC", "Petty Cash Log",
      IF(PO_LOG[[#This Row],[LINE]]="PR", "Payroll Log",
      "LINE CODE NOT VALID"))))</f>
        <v/>
      </c>
      <c r="H102" s="127"/>
    </row>
    <row r="103" spans="1:8">
      <c r="A103" s="106"/>
      <c r="B103" s="106"/>
      <c r="C103" s="106"/>
      <c r="D103" s="107"/>
      <c r="E103" s="106"/>
      <c r="F103" s="109"/>
      <c r="G103" s="106" t="str">
        <f>IF(ISBLANK(PO_LOG[[#This Row],[LINE]]), "",
   IF(COUNTIF('Line No'!$A$1:$A$342, PO_LOG[[#This Row],[LINE]]) &gt; 0,
      INDEX('Line No'!$B$1:$B$342, MATCH(PO_LOG[[#This Row],[LINE]], 'Line No'!$A$1:$A$342, 0)),
      IF(PO_LOG[[#This Row],[LINE]]="PC", "Petty Cash Log",
      IF(PO_LOG[[#This Row],[LINE]]="PR", "Payroll Log",
      "LINE CODE NOT VALID"))))</f>
        <v/>
      </c>
      <c r="H103" s="127"/>
    </row>
    <row r="104" spans="1:8">
      <c r="A104" s="106"/>
      <c r="B104" s="106"/>
      <c r="C104" s="106"/>
      <c r="D104" s="107"/>
      <c r="E104" s="106"/>
      <c r="F104" s="109"/>
      <c r="G104" s="106" t="str">
        <f>IF(ISBLANK(PO_LOG[[#This Row],[LINE]]), "",
   IF(COUNTIF('Line No'!$A$1:$A$342, PO_LOG[[#This Row],[LINE]]) &gt; 0,
      INDEX('Line No'!$B$1:$B$342, MATCH(PO_LOG[[#This Row],[LINE]], 'Line No'!$A$1:$A$342, 0)),
      IF(PO_LOG[[#This Row],[LINE]]="PC", "Petty Cash Log",
      IF(PO_LOG[[#This Row],[LINE]]="PR", "Payroll Log",
      "LINE CODE NOT VALID"))))</f>
        <v/>
      </c>
      <c r="H104" s="127"/>
    </row>
    <row r="105" spans="1:8">
      <c r="A105" s="106"/>
      <c r="B105" s="106"/>
      <c r="C105" s="106"/>
      <c r="D105" s="107"/>
      <c r="E105" s="106"/>
      <c r="F105" s="109"/>
      <c r="G105" s="106" t="str">
        <f>IF(ISBLANK(PO_LOG[[#This Row],[LINE]]), "",
   IF(COUNTIF('Line No'!$A$1:$A$342, PO_LOG[[#This Row],[LINE]]) &gt; 0,
      INDEX('Line No'!$B$1:$B$342, MATCH(PO_LOG[[#This Row],[LINE]], 'Line No'!$A$1:$A$342, 0)),
      IF(PO_LOG[[#This Row],[LINE]]="PC", "Petty Cash Log",
      IF(PO_LOG[[#This Row],[LINE]]="PR", "Payroll Log",
      "LINE CODE NOT VALID"))))</f>
        <v/>
      </c>
      <c r="H105" s="127"/>
    </row>
    <row r="106" spans="1:8">
      <c r="A106" s="106"/>
      <c r="B106" s="106"/>
      <c r="C106" s="106"/>
      <c r="D106" s="107"/>
      <c r="E106" s="106"/>
      <c r="F106" s="109"/>
      <c r="G106" s="106" t="str">
        <f>IF(ISBLANK(PO_LOG[[#This Row],[LINE]]), "",
   IF(COUNTIF('Line No'!$A$1:$A$342, PO_LOG[[#This Row],[LINE]]) &gt; 0,
      INDEX('Line No'!$B$1:$B$342, MATCH(PO_LOG[[#This Row],[LINE]], 'Line No'!$A$1:$A$342, 0)),
      IF(PO_LOG[[#This Row],[LINE]]="PC", "Petty Cash Log",
      IF(PO_LOG[[#This Row],[LINE]]="PR", "Payroll Log",
      "LINE CODE NOT VALID"))))</f>
        <v/>
      </c>
      <c r="H106" s="127"/>
    </row>
    <row r="107" spans="1:8">
      <c r="A107" s="106"/>
      <c r="B107" s="106"/>
      <c r="C107" s="106"/>
      <c r="D107" s="107"/>
      <c r="E107" s="106"/>
      <c r="F107" s="109"/>
      <c r="G107" s="106" t="str">
        <f>IF(ISBLANK(PO_LOG[[#This Row],[LINE]]), "",
   IF(COUNTIF('Line No'!$A$1:$A$342, PO_LOG[[#This Row],[LINE]]) &gt; 0,
      INDEX('Line No'!$B$1:$B$342, MATCH(PO_LOG[[#This Row],[LINE]], 'Line No'!$A$1:$A$342, 0)),
      IF(PO_LOG[[#This Row],[LINE]]="PC", "Petty Cash Log",
      IF(PO_LOG[[#This Row],[LINE]]="PR", "Payroll Log",
      "LINE CODE NOT VALID"))))</f>
        <v/>
      </c>
      <c r="H107" s="127"/>
    </row>
    <row r="108" spans="1:8">
      <c r="A108" s="106"/>
      <c r="B108" s="106"/>
      <c r="C108" s="106"/>
      <c r="D108" s="107"/>
      <c r="E108" s="106"/>
      <c r="F108" s="109"/>
      <c r="G108" s="106" t="str">
        <f>IF(ISBLANK(PO_LOG[[#This Row],[LINE]]), "",
   IF(COUNTIF('Line No'!$A$1:$A$342, PO_LOG[[#This Row],[LINE]]) &gt; 0,
      INDEX('Line No'!$B$1:$B$342, MATCH(PO_LOG[[#This Row],[LINE]], 'Line No'!$A$1:$A$342, 0)),
      IF(PO_LOG[[#This Row],[LINE]]="PC", "Petty Cash Log",
      IF(PO_LOG[[#This Row],[LINE]]="PR", "Payroll Log",
      "LINE CODE NOT VALID"))))</f>
        <v/>
      </c>
      <c r="H108" s="127"/>
    </row>
    <row r="109" spans="1:8">
      <c r="A109" s="106"/>
      <c r="B109" s="106"/>
      <c r="C109" s="106"/>
      <c r="D109" s="107"/>
      <c r="E109" s="106"/>
      <c r="F109" s="109"/>
      <c r="G109" s="106" t="str">
        <f>IF(ISBLANK(PO_LOG[[#This Row],[LINE]]), "",
   IF(COUNTIF('Line No'!$A$1:$A$342, PO_LOG[[#This Row],[LINE]]) &gt; 0,
      INDEX('Line No'!$B$1:$B$342, MATCH(PO_LOG[[#This Row],[LINE]], 'Line No'!$A$1:$A$342, 0)),
      IF(PO_LOG[[#This Row],[LINE]]="PC", "Petty Cash Log",
      IF(PO_LOG[[#This Row],[LINE]]="PR", "Payroll Log",
      "LINE CODE NOT VALID"))))</f>
        <v/>
      </c>
      <c r="H109" s="127"/>
    </row>
    <row r="110" spans="1:8">
      <c r="A110" s="106"/>
      <c r="B110" s="106"/>
      <c r="C110" s="106"/>
      <c r="D110" s="107"/>
      <c r="E110" s="116"/>
      <c r="F110" s="109"/>
      <c r="G110" s="106" t="str">
        <f>IF(ISBLANK(PO_LOG[[#This Row],[LINE]]), "",
   IF(COUNTIF('Line No'!$A$1:$A$342, PO_LOG[[#This Row],[LINE]]) &gt; 0,
      INDEX('Line No'!$B$1:$B$342, MATCH(PO_LOG[[#This Row],[LINE]], 'Line No'!$A$1:$A$342, 0)),
      IF(PO_LOG[[#This Row],[LINE]]="PC", "Petty Cash Log",
      IF(PO_LOG[[#This Row],[LINE]]="PR", "Payroll Log",
      "LINE CODE NOT VALID"))))</f>
        <v/>
      </c>
      <c r="H110" s="127"/>
    </row>
    <row r="111" spans="1:8">
      <c r="A111" s="106"/>
      <c r="B111" s="106"/>
      <c r="C111" s="106"/>
      <c r="D111" s="107"/>
      <c r="E111" s="106"/>
      <c r="F111" s="109"/>
      <c r="G111" s="106" t="str">
        <f>IF(ISBLANK(PO_LOG[[#This Row],[LINE]]), "",
   IF(COUNTIF('Line No'!$A$1:$A$342, PO_LOG[[#This Row],[LINE]]) &gt; 0,
      INDEX('Line No'!$B$1:$B$342, MATCH(PO_LOG[[#This Row],[LINE]], 'Line No'!$A$1:$A$342, 0)),
      IF(PO_LOG[[#This Row],[LINE]]="PC", "Petty Cash Log",
      IF(PO_LOG[[#This Row],[LINE]]="PR", "Payroll Log",
      "LINE CODE NOT VALID"))))</f>
        <v/>
      </c>
      <c r="H111" s="127"/>
    </row>
    <row r="112" spans="1:8">
      <c r="A112" s="106"/>
      <c r="B112" s="106"/>
      <c r="C112" s="106"/>
      <c r="D112" s="107"/>
      <c r="E112" s="106"/>
      <c r="F112" s="109"/>
      <c r="G112" s="106" t="str">
        <f>IF(ISBLANK(PO_LOG[[#This Row],[LINE]]), "",
   IF(COUNTIF('Line No'!$A$1:$A$342, PO_LOG[[#This Row],[LINE]]) &gt; 0,
      INDEX('Line No'!$B$1:$B$342, MATCH(PO_LOG[[#This Row],[LINE]], 'Line No'!$A$1:$A$342, 0)),
      IF(PO_LOG[[#This Row],[LINE]]="PC", "Petty Cash Log",
      IF(PO_LOG[[#This Row],[LINE]]="PR", "Payroll Log",
      "LINE CODE NOT VALID"))))</f>
        <v/>
      </c>
      <c r="H112" s="127"/>
    </row>
    <row r="113" spans="1:8">
      <c r="A113" s="106"/>
      <c r="B113" s="106"/>
      <c r="C113" s="106"/>
      <c r="D113" s="107"/>
      <c r="E113" s="106"/>
      <c r="F113" s="109"/>
      <c r="G113" s="106" t="str">
        <f>IF(ISBLANK(PO_LOG[[#This Row],[LINE]]), "",
   IF(COUNTIF('Line No'!$A$1:$A$342, PO_LOG[[#This Row],[LINE]]) &gt; 0,
      INDEX('Line No'!$B$1:$B$342, MATCH(PO_LOG[[#This Row],[LINE]], 'Line No'!$A$1:$A$342, 0)),
      IF(PO_LOG[[#This Row],[LINE]]="PC", "Petty Cash Log",
      IF(PO_LOG[[#This Row],[LINE]]="PR", "Payroll Log",
      "LINE CODE NOT VALID"))))</f>
        <v/>
      </c>
      <c r="H113" s="127"/>
    </row>
    <row r="114" spans="1:8">
      <c r="A114" s="106"/>
      <c r="B114" s="106"/>
      <c r="C114" s="106"/>
      <c r="D114" s="107"/>
      <c r="E114" s="106"/>
      <c r="F114" s="109"/>
      <c r="G114" s="106" t="str">
        <f>IF(ISBLANK(PO_LOG[[#This Row],[LINE]]), "",
   IF(COUNTIF('Line No'!$A$1:$A$342, PO_LOG[[#This Row],[LINE]]) &gt; 0,
      INDEX('Line No'!$B$1:$B$342, MATCH(PO_LOG[[#This Row],[LINE]], 'Line No'!$A$1:$A$342, 0)),
      IF(PO_LOG[[#This Row],[LINE]]="PC", "Petty Cash Log",
      IF(PO_LOG[[#This Row],[LINE]]="PR", "Payroll Log",
      "LINE CODE NOT VALID"))))</f>
        <v/>
      </c>
      <c r="H114" s="127"/>
    </row>
    <row r="115" spans="1:8">
      <c r="A115" s="106"/>
      <c r="B115" s="106"/>
      <c r="C115" s="106"/>
      <c r="D115" s="107"/>
      <c r="E115" s="106"/>
      <c r="F115" s="109"/>
      <c r="G115" s="106" t="str">
        <f>IF(ISBLANK(PO_LOG[[#This Row],[LINE]]), "",
   IF(COUNTIF('Line No'!$A$1:$A$342, PO_LOG[[#This Row],[LINE]]) &gt; 0,
      INDEX('Line No'!$B$1:$B$342, MATCH(PO_LOG[[#This Row],[LINE]], 'Line No'!$A$1:$A$342, 0)),
      IF(PO_LOG[[#This Row],[LINE]]="PC", "Petty Cash Log",
      IF(PO_LOG[[#This Row],[LINE]]="PR", "Payroll Log",
      "LINE CODE NOT VALID"))))</f>
        <v/>
      </c>
      <c r="H115" s="127"/>
    </row>
    <row r="116" spans="1:8">
      <c r="A116" s="106"/>
      <c r="B116" s="106"/>
      <c r="C116" s="106"/>
      <c r="D116" s="126"/>
      <c r="E116" s="127"/>
      <c r="F116" s="109"/>
      <c r="G116" s="106" t="str">
        <f>IF(ISBLANK(PO_LOG[[#This Row],[LINE]]), "",
   IF(COUNTIF('Line No'!$A$1:$A$342, PO_LOG[[#This Row],[LINE]]) &gt; 0,
      INDEX('Line No'!$B$1:$B$342, MATCH(PO_LOG[[#This Row],[LINE]], 'Line No'!$A$1:$A$342, 0)),
      IF(PO_LOG[[#This Row],[LINE]]="PC", "Petty Cash Log",
      IF(PO_LOG[[#This Row],[LINE]]="PR", "Payroll Log",
      "LINE CODE NOT VALID"))))</f>
        <v/>
      </c>
      <c r="H116" s="127"/>
    </row>
    <row r="117" spans="1:8">
      <c r="A117" s="106"/>
      <c r="B117" s="106"/>
      <c r="C117" s="106"/>
      <c r="D117" s="126"/>
      <c r="E117" s="127"/>
      <c r="F117" s="109"/>
      <c r="G117" s="106" t="str">
        <f>IF(ISBLANK(PO_LOG[[#This Row],[LINE]]), "",
   IF(COUNTIF('Line No'!$A$1:$A$342, PO_LOG[[#This Row],[LINE]]) &gt; 0,
      INDEX('Line No'!$B$1:$B$342, MATCH(PO_LOG[[#This Row],[LINE]], 'Line No'!$A$1:$A$342, 0)),
      IF(PO_LOG[[#This Row],[LINE]]="PC", "Petty Cash Log",
      IF(PO_LOG[[#This Row],[LINE]]="PR", "Payroll Log",
      "LINE CODE NOT VALID"))))</f>
        <v/>
      </c>
      <c r="H117" s="127"/>
    </row>
    <row r="118" spans="1:8">
      <c r="A118" s="106"/>
      <c r="B118" s="106"/>
      <c r="C118" s="106"/>
      <c r="D118" s="126"/>
      <c r="E118" s="127"/>
      <c r="F118" s="109"/>
      <c r="G118" s="106" t="str">
        <f>IF(ISBLANK(PO_LOG[[#This Row],[LINE]]), "",
   IF(COUNTIF('Line No'!$A$1:$A$342, PO_LOG[[#This Row],[LINE]]) &gt; 0,
      INDEX('Line No'!$B$1:$B$342, MATCH(PO_LOG[[#This Row],[LINE]], 'Line No'!$A$1:$A$342, 0)),
      IF(PO_LOG[[#This Row],[LINE]]="PC", "Petty Cash Log",
      IF(PO_LOG[[#This Row],[LINE]]="PR", "Payroll Log",
      "LINE CODE NOT VALID"))))</f>
        <v/>
      </c>
      <c r="H118" s="127"/>
    </row>
    <row r="119" spans="1:8">
      <c r="A119" s="106"/>
      <c r="B119" s="106"/>
      <c r="C119" s="106"/>
      <c r="D119" s="126"/>
      <c r="E119" s="127"/>
      <c r="F119" s="109"/>
      <c r="G119" s="106" t="str">
        <f>IF(ISBLANK(PO_LOG[[#This Row],[LINE]]), "",
   IF(COUNTIF('Line No'!$A$1:$A$342, PO_LOG[[#This Row],[LINE]]) &gt; 0,
      INDEX('Line No'!$B$1:$B$342, MATCH(PO_LOG[[#This Row],[LINE]], 'Line No'!$A$1:$A$342, 0)),
      IF(PO_LOG[[#This Row],[LINE]]="PC", "Petty Cash Log",
      IF(PO_LOG[[#This Row],[LINE]]="PR", "Payroll Log",
      "LINE CODE NOT VALID"))))</f>
        <v/>
      </c>
      <c r="H119" s="127"/>
    </row>
    <row r="120" spans="1:8">
      <c r="A120" s="106"/>
      <c r="B120" s="106"/>
      <c r="C120" s="106"/>
      <c r="D120" s="107"/>
      <c r="E120" s="106"/>
      <c r="F120" s="109"/>
      <c r="G120" s="106" t="str">
        <f>IF(ISBLANK(PO_LOG[[#This Row],[LINE]]), "",
   IF(COUNTIF('Line No'!$A$1:$A$342, PO_LOG[[#This Row],[LINE]]) &gt; 0,
      INDEX('Line No'!$B$1:$B$342, MATCH(PO_LOG[[#This Row],[LINE]], 'Line No'!$A$1:$A$342, 0)),
      IF(PO_LOG[[#This Row],[LINE]]="PC", "Petty Cash Log",
      IF(PO_LOG[[#This Row],[LINE]]="PR", "Payroll Log",
      "LINE CODE NOT VALID"))))</f>
        <v/>
      </c>
      <c r="H120" s="127"/>
    </row>
    <row r="121" spans="1:8">
      <c r="A121" s="106"/>
      <c r="B121" s="106"/>
      <c r="C121" s="106"/>
      <c r="D121" s="107"/>
      <c r="E121" s="106"/>
      <c r="F121" s="109"/>
      <c r="G121" s="106" t="str">
        <f>IF(ISBLANK(PO_LOG[[#This Row],[LINE]]), "",
   IF(COUNTIF('Line No'!$A$1:$A$342, PO_LOG[[#This Row],[LINE]]) &gt; 0,
      INDEX('Line No'!$B$1:$B$342, MATCH(PO_LOG[[#This Row],[LINE]], 'Line No'!$A$1:$A$342, 0)),
      IF(PO_LOG[[#This Row],[LINE]]="PC", "Petty Cash Log",
      IF(PO_LOG[[#This Row],[LINE]]="PR", "Payroll Log",
      "LINE CODE NOT VALID"))))</f>
        <v/>
      </c>
      <c r="H121" s="127"/>
    </row>
    <row r="122" spans="1:8">
      <c r="A122" s="106"/>
      <c r="B122" s="106"/>
      <c r="C122" s="106"/>
      <c r="D122" s="107"/>
      <c r="E122" s="106"/>
      <c r="F122" s="109"/>
      <c r="G122" s="106" t="str">
        <f>IF(ISBLANK(PO_LOG[[#This Row],[LINE]]), "",
   IF(COUNTIF('Line No'!$A$1:$A$342, PO_LOG[[#This Row],[LINE]]) &gt; 0,
      INDEX('Line No'!$B$1:$B$342, MATCH(PO_LOG[[#This Row],[LINE]], 'Line No'!$A$1:$A$342, 0)),
      IF(PO_LOG[[#This Row],[LINE]]="PC", "Petty Cash Log",
      IF(PO_LOG[[#This Row],[LINE]]="PR", "Payroll Log",
      "LINE CODE NOT VALID"))))</f>
        <v/>
      </c>
      <c r="H122" s="127"/>
    </row>
    <row r="123" spans="1:8">
      <c r="A123" s="106"/>
      <c r="B123" s="108"/>
      <c r="C123" s="106"/>
      <c r="D123" s="107"/>
      <c r="E123" s="116"/>
      <c r="F123" s="109"/>
      <c r="G123" s="106" t="str">
        <f>IF(ISBLANK(PO_LOG[[#This Row],[LINE]]), "",
   IF(COUNTIF('Line No'!$A$1:$A$342, PO_LOG[[#This Row],[LINE]]) &gt; 0,
      INDEX('Line No'!$B$1:$B$342, MATCH(PO_LOG[[#This Row],[LINE]], 'Line No'!$A$1:$A$342, 0)),
      IF(PO_LOG[[#This Row],[LINE]]="PC", "Petty Cash Log",
      IF(PO_LOG[[#This Row],[LINE]]="PR", "Payroll Log",
      "LINE CODE NOT VALID"))))</f>
        <v/>
      </c>
      <c r="H123" s="127"/>
    </row>
    <row r="124" spans="1:8">
      <c r="A124" s="106"/>
      <c r="B124" s="106"/>
      <c r="C124" s="106"/>
      <c r="D124" s="107"/>
      <c r="E124" s="106"/>
      <c r="F124" s="109"/>
      <c r="G124" s="106" t="str">
        <f>IF(ISBLANK(PO_LOG[[#This Row],[LINE]]), "",
   IF(COUNTIF('Line No'!$A$1:$A$342, PO_LOG[[#This Row],[LINE]]) &gt; 0,
      INDEX('Line No'!$B$1:$B$342, MATCH(PO_LOG[[#This Row],[LINE]], 'Line No'!$A$1:$A$342, 0)),
      IF(PO_LOG[[#This Row],[LINE]]="PC", "Petty Cash Log",
      IF(PO_LOG[[#This Row],[LINE]]="PR", "Payroll Log",
      "LINE CODE NOT VALID"))))</f>
        <v/>
      </c>
      <c r="H124" s="127"/>
    </row>
    <row r="125" spans="1:8">
      <c r="A125" s="106"/>
      <c r="B125" s="106"/>
      <c r="C125" s="106"/>
      <c r="D125" s="126"/>
      <c r="E125" s="127"/>
      <c r="F125" s="109"/>
      <c r="G125" s="106" t="str">
        <f>IF(ISBLANK(PO_LOG[[#This Row],[LINE]]), "",
   IF(COUNTIF('Line No'!$A$1:$A$342, PO_LOG[[#This Row],[LINE]]) &gt; 0,
      INDEX('Line No'!$B$1:$B$342, MATCH(PO_LOG[[#This Row],[LINE]], 'Line No'!$A$1:$A$342, 0)),
      IF(PO_LOG[[#This Row],[LINE]]="PC", "Petty Cash Log",
      IF(PO_LOG[[#This Row],[LINE]]="PR", "Payroll Log",
      "LINE CODE NOT VALID"))))</f>
        <v/>
      </c>
      <c r="H125" s="127"/>
    </row>
    <row r="126" spans="1:8">
      <c r="A126" s="106"/>
      <c r="B126" s="106"/>
      <c r="C126" s="106"/>
      <c r="D126" s="126"/>
      <c r="E126" s="127"/>
      <c r="F126" s="109"/>
      <c r="G126" s="106" t="str">
        <f>IF(ISBLANK(PO_LOG[[#This Row],[LINE]]), "",
   IF(COUNTIF('Line No'!$A$1:$A$342, PO_LOG[[#This Row],[LINE]]) &gt; 0,
      INDEX('Line No'!$B$1:$B$342, MATCH(PO_LOG[[#This Row],[LINE]], 'Line No'!$A$1:$A$342, 0)),
      IF(PO_LOG[[#This Row],[LINE]]="PC", "Petty Cash Log",
      IF(PO_LOG[[#This Row],[LINE]]="PR", "Payroll Log",
      "LINE CODE NOT VALID"))))</f>
        <v/>
      </c>
      <c r="H126" s="127"/>
    </row>
    <row r="127" spans="1:8">
      <c r="A127" s="106"/>
      <c r="B127" s="106"/>
      <c r="C127" s="106"/>
      <c r="D127" s="107"/>
      <c r="E127" s="106"/>
      <c r="F127" s="109"/>
      <c r="G127" s="106" t="str">
        <f>IF(ISBLANK(PO_LOG[[#This Row],[LINE]]), "",
   IF(COUNTIF('Line No'!$A$1:$A$342, PO_LOG[[#This Row],[LINE]]) &gt; 0,
      INDEX('Line No'!$B$1:$B$342, MATCH(PO_LOG[[#This Row],[LINE]], 'Line No'!$A$1:$A$342, 0)),
      IF(PO_LOG[[#This Row],[LINE]]="PC", "Petty Cash Log",
      IF(PO_LOG[[#This Row],[LINE]]="PR", "Payroll Log",
      "LINE CODE NOT VALID"))))</f>
        <v/>
      </c>
      <c r="H127" s="127"/>
    </row>
    <row r="128" spans="1:8">
      <c r="A128" s="106"/>
      <c r="B128" s="106"/>
      <c r="C128" s="106"/>
      <c r="D128" s="126"/>
      <c r="E128" s="127"/>
      <c r="F128" s="109"/>
      <c r="G128" s="106" t="str">
        <f>IF(ISBLANK(PO_LOG[[#This Row],[LINE]]), "",
   IF(COUNTIF('Line No'!$A$1:$A$342, PO_LOG[[#This Row],[LINE]]) &gt; 0,
      INDEX('Line No'!$B$1:$B$342, MATCH(PO_LOG[[#This Row],[LINE]], 'Line No'!$A$1:$A$342, 0)),
      IF(PO_LOG[[#This Row],[LINE]]="PC", "Petty Cash Log",
      IF(PO_LOG[[#This Row],[LINE]]="PR", "Payroll Log",
      "LINE CODE NOT VALID"))))</f>
        <v/>
      </c>
      <c r="H128" s="127"/>
    </row>
    <row r="129" spans="1:8">
      <c r="A129" s="106"/>
      <c r="B129" s="106"/>
      <c r="C129" s="106"/>
      <c r="D129" s="126"/>
      <c r="E129" s="127"/>
      <c r="F129" s="109"/>
      <c r="G129" s="106" t="str">
        <f>IF(ISBLANK(PO_LOG[[#This Row],[LINE]]), "",
   IF(COUNTIF('Line No'!$A$1:$A$342, PO_LOG[[#This Row],[LINE]]) &gt; 0,
      INDEX('Line No'!$B$1:$B$342, MATCH(PO_LOG[[#This Row],[LINE]], 'Line No'!$A$1:$A$342, 0)),
      IF(PO_LOG[[#This Row],[LINE]]="PC", "Petty Cash Log",
      IF(PO_LOG[[#This Row],[LINE]]="PR", "Payroll Log",
      "LINE CODE NOT VALID"))))</f>
        <v/>
      </c>
      <c r="H129" s="127"/>
    </row>
    <row r="130" spans="1:8">
      <c r="A130" s="106"/>
      <c r="B130" s="106"/>
      <c r="C130" s="106"/>
      <c r="D130" s="107"/>
      <c r="E130" s="106"/>
      <c r="F130" s="109"/>
      <c r="G130" s="106" t="str">
        <f>IF(ISBLANK(PO_LOG[[#This Row],[LINE]]), "",
   IF(COUNTIF('Line No'!$A$1:$A$342, PO_LOG[[#This Row],[LINE]]) &gt; 0,
      INDEX('Line No'!$B$1:$B$342, MATCH(PO_LOG[[#This Row],[LINE]], 'Line No'!$A$1:$A$342, 0)),
      IF(PO_LOG[[#This Row],[LINE]]="PC", "Petty Cash Log",
      IF(PO_LOG[[#This Row],[LINE]]="PR", "Payroll Log",
      "LINE CODE NOT VALID"))))</f>
        <v/>
      </c>
      <c r="H130" s="127"/>
    </row>
    <row r="131" spans="1:8">
      <c r="A131" s="106"/>
      <c r="B131" s="106"/>
      <c r="C131" s="106"/>
      <c r="D131" s="107"/>
      <c r="E131" s="106"/>
      <c r="F131" s="109"/>
      <c r="G131" s="106" t="str">
        <f>IF(ISBLANK(PO_LOG[[#This Row],[LINE]]), "",
   IF(COUNTIF('Line No'!$A$1:$A$342, PO_LOG[[#This Row],[LINE]]) &gt; 0,
      INDEX('Line No'!$B$1:$B$342, MATCH(PO_LOG[[#This Row],[LINE]], 'Line No'!$A$1:$A$342, 0)),
      IF(PO_LOG[[#This Row],[LINE]]="PC", "Petty Cash Log",
      IF(PO_LOG[[#This Row],[LINE]]="PR", "Payroll Log",
      "LINE CODE NOT VALID"))))</f>
        <v/>
      </c>
      <c r="H131" s="127"/>
    </row>
    <row r="132" spans="1:8">
      <c r="A132" s="106"/>
      <c r="B132" s="106"/>
      <c r="C132" s="106"/>
      <c r="D132" s="126"/>
      <c r="E132" s="127"/>
      <c r="F132" s="109"/>
      <c r="G132" s="106" t="str">
        <f>IF(ISBLANK(PO_LOG[[#This Row],[LINE]]), "",
   IF(COUNTIF('Line No'!$A$1:$A$342, PO_LOG[[#This Row],[LINE]]) &gt; 0,
      INDEX('Line No'!$B$1:$B$342, MATCH(PO_LOG[[#This Row],[LINE]], 'Line No'!$A$1:$A$342, 0)),
      IF(PO_LOG[[#This Row],[LINE]]="PC", "Petty Cash Log",
      IF(PO_LOG[[#This Row],[LINE]]="PR", "Payroll Log",
      "LINE CODE NOT VALID"))))</f>
        <v/>
      </c>
      <c r="H132" s="127"/>
    </row>
    <row r="133" spans="1:8">
      <c r="A133" s="106"/>
      <c r="B133" s="106"/>
      <c r="C133" s="106"/>
      <c r="D133" s="107"/>
      <c r="E133" s="116"/>
      <c r="F133" s="109"/>
      <c r="G133" s="106" t="str">
        <f>IF(ISBLANK(PO_LOG[[#This Row],[LINE]]), "",
   IF(COUNTIF('Line No'!$A$1:$A$342, PO_LOG[[#This Row],[LINE]]) &gt; 0,
      INDEX('Line No'!$B$1:$B$342, MATCH(PO_LOG[[#This Row],[LINE]], 'Line No'!$A$1:$A$342, 0)),
      IF(PO_LOG[[#This Row],[LINE]]="PC", "Petty Cash Log",
      IF(PO_LOG[[#This Row],[LINE]]="PR", "Payroll Log",
      "LINE CODE NOT VALID"))))</f>
        <v/>
      </c>
      <c r="H133" s="127"/>
    </row>
    <row r="134" spans="1:8">
      <c r="A134" s="106"/>
      <c r="B134" s="106"/>
      <c r="C134" s="106"/>
      <c r="D134" s="126"/>
      <c r="E134" s="127"/>
      <c r="F134" s="109"/>
      <c r="G134" s="106" t="str">
        <f>IF(ISBLANK(PO_LOG[[#This Row],[LINE]]), "",
   IF(COUNTIF('Line No'!$A$1:$A$342, PO_LOG[[#This Row],[LINE]]) &gt; 0,
      INDEX('Line No'!$B$1:$B$342, MATCH(PO_LOG[[#This Row],[LINE]], 'Line No'!$A$1:$A$342, 0)),
      IF(PO_LOG[[#This Row],[LINE]]="PC", "Petty Cash Log",
      IF(PO_LOG[[#This Row],[LINE]]="PR", "Payroll Log",
      "LINE CODE NOT VALID"))))</f>
        <v/>
      </c>
      <c r="H134" s="127"/>
    </row>
    <row r="135" spans="1:8">
      <c r="A135" s="106"/>
      <c r="B135" s="106"/>
      <c r="C135" s="106"/>
      <c r="D135" s="107"/>
      <c r="E135" s="106"/>
      <c r="F135" s="109"/>
      <c r="G135" s="106" t="str">
        <f>IF(ISBLANK(PO_LOG[[#This Row],[LINE]]), "",
   IF(COUNTIF('Line No'!$A$1:$A$342, PO_LOG[[#This Row],[LINE]]) &gt; 0,
      INDEX('Line No'!$B$1:$B$342, MATCH(PO_LOG[[#This Row],[LINE]], 'Line No'!$A$1:$A$342, 0)),
      IF(PO_LOG[[#This Row],[LINE]]="PC", "Petty Cash Log",
      IF(PO_LOG[[#This Row],[LINE]]="PR", "Payroll Log",
      "LINE CODE NOT VALID"))))</f>
        <v/>
      </c>
      <c r="H135" s="127"/>
    </row>
    <row r="136" spans="1:8">
      <c r="A136" s="106"/>
      <c r="B136" s="106"/>
      <c r="C136" s="106"/>
      <c r="D136" s="107"/>
      <c r="E136" s="106"/>
      <c r="F136" s="109"/>
      <c r="G136" s="106" t="str">
        <f>IF(ISBLANK(PO_LOG[[#This Row],[LINE]]), "",
   IF(COUNTIF('Line No'!$A$1:$A$342, PO_LOG[[#This Row],[LINE]]) &gt; 0,
      INDEX('Line No'!$B$1:$B$342, MATCH(PO_LOG[[#This Row],[LINE]], 'Line No'!$A$1:$A$342, 0)),
      IF(PO_LOG[[#This Row],[LINE]]="PC", "Petty Cash Log",
      IF(PO_LOG[[#This Row],[LINE]]="PR", "Payroll Log",
      "LINE CODE NOT VALID"))))</f>
        <v/>
      </c>
      <c r="H136" s="127"/>
    </row>
    <row r="137" spans="1:8">
      <c r="A137" s="106"/>
      <c r="B137" s="106"/>
      <c r="C137" s="106"/>
      <c r="D137" s="126"/>
      <c r="E137" s="127"/>
      <c r="F137" s="109"/>
      <c r="G137" s="106" t="str">
        <f>IF(ISBLANK(PO_LOG[[#This Row],[LINE]]), "",
   IF(COUNTIF('Line No'!$A$1:$A$342, PO_LOG[[#This Row],[LINE]]) &gt; 0,
      INDEX('Line No'!$B$1:$B$342, MATCH(PO_LOG[[#This Row],[LINE]], 'Line No'!$A$1:$A$342, 0)),
      IF(PO_LOG[[#This Row],[LINE]]="PC", "Petty Cash Log",
      IF(PO_LOG[[#This Row],[LINE]]="PR", "Payroll Log",
      "LINE CODE NOT VALID"))))</f>
        <v/>
      </c>
      <c r="H137" s="127"/>
    </row>
    <row r="138" spans="1:8">
      <c r="A138" s="106"/>
      <c r="B138" s="106"/>
      <c r="C138" s="106"/>
      <c r="D138" s="126"/>
      <c r="E138" s="127"/>
      <c r="F138" s="109"/>
      <c r="G138" s="106" t="str">
        <f>IF(ISBLANK(PO_LOG[[#This Row],[LINE]]), "",
   IF(COUNTIF('Line No'!$A$1:$A$342, PO_LOG[[#This Row],[LINE]]) &gt; 0,
      INDEX('Line No'!$B$1:$B$342, MATCH(PO_LOG[[#This Row],[LINE]], 'Line No'!$A$1:$A$342, 0)),
      IF(PO_LOG[[#This Row],[LINE]]="PC", "Petty Cash Log",
      IF(PO_LOG[[#This Row],[LINE]]="PR", "Payroll Log",
      "LINE CODE NOT VALID"))))</f>
        <v/>
      </c>
      <c r="H138" s="127"/>
    </row>
    <row r="139" spans="1:8">
      <c r="A139" s="106"/>
      <c r="B139" s="106"/>
      <c r="C139" s="106"/>
      <c r="D139" s="107"/>
      <c r="E139" s="106"/>
      <c r="F139" s="109"/>
      <c r="G139" s="106" t="str">
        <f>IF(ISBLANK(PO_LOG[[#This Row],[LINE]]), "",
   IF(COUNTIF('Line No'!$A$1:$A$342, PO_LOG[[#This Row],[LINE]]) &gt; 0,
      INDEX('Line No'!$B$1:$B$342, MATCH(PO_LOG[[#This Row],[LINE]], 'Line No'!$A$1:$A$342, 0)),
      IF(PO_LOG[[#This Row],[LINE]]="PC", "Petty Cash Log",
      IF(PO_LOG[[#This Row],[LINE]]="PR", "Payroll Log",
      "LINE CODE NOT VALID"))))</f>
        <v/>
      </c>
      <c r="H139" s="127"/>
    </row>
    <row r="140" spans="1:8">
      <c r="A140" s="106"/>
      <c r="B140" s="106"/>
      <c r="C140" s="106"/>
      <c r="D140" s="107"/>
      <c r="E140" s="106"/>
      <c r="F140" s="109"/>
      <c r="G140" s="106" t="str">
        <f>IF(ISBLANK(PO_LOG[[#This Row],[LINE]]), "",
   IF(COUNTIF('Line No'!$A$1:$A$342, PO_LOG[[#This Row],[LINE]]) &gt; 0,
      INDEX('Line No'!$B$1:$B$342, MATCH(PO_LOG[[#This Row],[LINE]], 'Line No'!$A$1:$A$342, 0)),
      IF(PO_LOG[[#This Row],[LINE]]="PC", "Petty Cash Log",
      IF(PO_LOG[[#This Row],[LINE]]="PR", "Payroll Log",
      "LINE CODE NOT VALID"))))</f>
        <v/>
      </c>
      <c r="H140" s="127"/>
    </row>
    <row r="141" spans="1:8">
      <c r="A141" s="106"/>
      <c r="B141" s="106"/>
      <c r="C141" s="106"/>
      <c r="D141" s="126"/>
      <c r="E141" s="127"/>
      <c r="F141" s="109"/>
      <c r="G141" s="106" t="str">
        <f>IF(ISBLANK(PO_LOG[[#This Row],[LINE]]), "",
   IF(COUNTIF('Line No'!$A$1:$A$342, PO_LOG[[#This Row],[LINE]]) &gt; 0,
      INDEX('Line No'!$B$1:$B$342, MATCH(PO_LOG[[#This Row],[LINE]], 'Line No'!$A$1:$A$342, 0)),
      IF(PO_LOG[[#This Row],[LINE]]="PC", "Petty Cash Log",
      IF(PO_LOG[[#This Row],[LINE]]="PR", "Payroll Log",
      "LINE CODE NOT VALID"))))</f>
        <v/>
      </c>
      <c r="H141" s="127"/>
    </row>
    <row r="142" spans="1:8">
      <c r="A142" s="106"/>
      <c r="B142" s="106"/>
      <c r="C142" s="106"/>
      <c r="D142" s="126"/>
      <c r="E142" s="127"/>
      <c r="F142" s="109"/>
      <c r="G142" s="106" t="str">
        <f>IF(ISBLANK(PO_LOG[[#This Row],[LINE]]), "",
   IF(COUNTIF('Line No'!$A$1:$A$342, PO_LOG[[#This Row],[LINE]]) &gt; 0,
      INDEX('Line No'!$B$1:$B$342, MATCH(PO_LOG[[#This Row],[LINE]], 'Line No'!$A$1:$A$342, 0)),
      IF(PO_LOG[[#This Row],[LINE]]="PC", "Petty Cash Log",
      IF(PO_LOG[[#This Row],[LINE]]="PR", "Payroll Log",
      "LINE CODE NOT VALID"))))</f>
        <v/>
      </c>
      <c r="H142" s="127"/>
    </row>
    <row r="143" spans="1:8">
      <c r="A143" s="106"/>
      <c r="B143" s="106"/>
      <c r="C143" s="106"/>
      <c r="D143" s="126"/>
      <c r="E143" s="127"/>
      <c r="F143" s="109"/>
      <c r="G143" s="106" t="str">
        <f>IF(ISBLANK(PO_LOG[[#This Row],[LINE]]), "",
   IF(COUNTIF('Line No'!$A$1:$A$342, PO_LOG[[#This Row],[LINE]]) &gt; 0,
      INDEX('Line No'!$B$1:$B$342, MATCH(PO_LOG[[#This Row],[LINE]], 'Line No'!$A$1:$A$342, 0)),
      IF(PO_LOG[[#This Row],[LINE]]="PC", "Petty Cash Log",
      IF(PO_LOG[[#This Row],[LINE]]="PR", "Payroll Log",
      "LINE CODE NOT VALID"))))</f>
        <v/>
      </c>
      <c r="H143" s="127"/>
    </row>
    <row r="144" spans="1:8">
      <c r="A144" s="106"/>
      <c r="B144" s="106"/>
      <c r="C144" s="106"/>
      <c r="D144" s="107"/>
      <c r="E144" s="106"/>
      <c r="F144" s="109"/>
      <c r="G144" s="106" t="str">
        <f>IF(ISBLANK(PO_LOG[[#This Row],[LINE]]), "",
   IF(COUNTIF('Line No'!$A$1:$A$342, PO_LOG[[#This Row],[LINE]]) &gt; 0,
      INDEX('Line No'!$B$1:$B$342, MATCH(PO_LOG[[#This Row],[LINE]], 'Line No'!$A$1:$A$342, 0)),
      IF(PO_LOG[[#This Row],[LINE]]="PC", "Petty Cash Log",
      IF(PO_LOG[[#This Row],[LINE]]="PR", "Payroll Log",
      "LINE CODE NOT VALID"))))</f>
        <v/>
      </c>
      <c r="H144" s="127"/>
    </row>
    <row r="145" spans="1:8">
      <c r="A145" s="106"/>
      <c r="B145" s="106"/>
      <c r="C145" s="106"/>
      <c r="D145" s="126"/>
      <c r="E145" s="127"/>
      <c r="F145" s="109"/>
      <c r="G145" s="106" t="str">
        <f>IF(ISBLANK(PO_LOG[[#This Row],[LINE]]), "",
   IF(COUNTIF('Line No'!$A$1:$A$342, PO_LOG[[#This Row],[LINE]]) &gt; 0,
      INDEX('Line No'!$B$1:$B$342, MATCH(PO_LOG[[#This Row],[LINE]], 'Line No'!$A$1:$A$342, 0)),
      IF(PO_LOG[[#This Row],[LINE]]="PC", "Petty Cash Log",
      IF(PO_LOG[[#This Row],[LINE]]="PR", "Payroll Log",
      "LINE CODE NOT VALID"))))</f>
        <v/>
      </c>
      <c r="H145" s="127"/>
    </row>
    <row r="146" spans="1:8">
      <c r="A146" s="106"/>
      <c r="B146" s="106"/>
      <c r="C146" s="106"/>
      <c r="D146" s="126"/>
      <c r="E146" s="127"/>
      <c r="F146" s="109"/>
      <c r="G146" s="106" t="str">
        <f>IF(ISBLANK(PO_LOG[[#This Row],[LINE]]), "",
   IF(COUNTIF('Line No'!$A$1:$A$342, PO_LOG[[#This Row],[LINE]]) &gt; 0,
      INDEX('Line No'!$B$1:$B$342, MATCH(PO_LOG[[#This Row],[LINE]], 'Line No'!$A$1:$A$342, 0)),
      IF(PO_LOG[[#This Row],[LINE]]="PC", "Petty Cash Log",
      IF(PO_LOG[[#This Row],[LINE]]="PR", "Payroll Log",
      "LINE CODE NOT VALID"))))</f>
        <v/>
      </c>
      <c r="H146" s="127"/>
    </row>
    <row r="147" spans="1:8">
      <c r="A147" s="106"/>
      <c r="B147" s="106"/>
      <c r="C147" s="106"/>
      <c r="D147" s="126"/>
      <c r="E147" s="127"/>
      <c r="F147" s="109"/>
      <c r="G147" s="106" t="str">
        <f>IF(ISBLANK(PO_LOG[[#This Row],[LINE]]), "",
   IF(COUNTIF('Line No'!$A$1:$A$342, PO_LOG[[#This Row],[LINE]]) &gt; 0,
      INDEX('Line No'!$B$1:$B$342, MATCH(PO_LOG[[#This Row],[LINE]], 'Line No'!$A$1:$A$342, 0)),
      IF(PO_LOG[[#This Row],[LINE]]="PC", "Petty Cash Log",
      IF(PO_LOG[[#This Row],[LINE]]="PR", "Payroll Log",
      "LINE CODE NOT VALID"))))</f>
        <v/>
      </c>
      <c r="H147" s="127"/>
    </row>
    <row r="148" spans="1:8">
      <c r="A148" s="106"/>
      <c r="B148" s="106"/>
      <c r="C148" s="106"/>
      <c r="D148" s="107"/>
      <c r="E148" s="106"/>
      <c r="F148" s="109"/>
      <c r="G148" s="106" t="str">
        <f>IF(ISBLANK(PO_LOG[[#This Row],[LINE]]), "",
   IF(COUNTIF('Line No'!$A$1:$A$342, PO_LOG[[#This Row],[LINE]]) &gt; 0,
      INDEX('Line No'!$B$1:$B$342, MATCH(PO_LOG[[#This Row],[LINE]], 'Line No'!$A$1:$A$342, 0)),
      IF(PO_LOG[[#This Row],[LINE]]="PC", "Petty Cash Log",
      IF(PO_LOG[[#This Row],[LINE]]="PR", "Payroll Log",
      "LINE CODE NOT VALID"))))</f>
        <v/>
      </c>
      <c r="H148" s="127"/>
    </row>
    <row r="149" spans="1:8">
      <c r="A149" s="106"/>
      <c r="B149" s="106"/>
      <c r="C149" s="106"/>
      <c r="D149" s="107"/>
      <c r="E149" s="106"/>
      <c r="F149" s="109"/>
      <c r="G149" s="106" t="str">
        <f>IF(ISBLANK(PO_LOG[[#This Row],[LINE]]), "",
   IF(COUNTIF('Line No'!$A$1:$A$342, PO_LOG[[#This Row],[LINE]]) &gt; 0,
      INDEX('Line No'!$B$1:$B$342, MATCH(PO_LOG[[#This Row],[LINE]], 'Line No'!$A$1:$A$342, 0)),
      IF(PO_LOG[[#This Row],[LINE]]="PC", "Petty Cash Log",
      IF(PO_LOG[[#This Row],[LINE]]="PR", "Payroll Log",
      "LINE CODE NOT VALID"))))</f>
        <v/>
      </c>
      <c r="H149" s="127"/>
    </row>
    <row r="150" spans="1:8">
      <c r="A150" s="106"/>
      <c r="B150" s="106"/>
      <c r="C150" s="106"/>
      <c r="D150" s="107"/>
      <c r="E150" s="106"/>
      <c r="F150" s="109"/>
      <c r="G150" s="106" t="str">
        <f>IF(ISBLANK(PO_LOG[[#This Row],[LINE]]), "",
   IF(COUNTIF('Line No'!$A$1:$A$342, PO_LOG[[#This Row],[LINE]]) &gt; 0,
      INDEX('Line No'!$B$1:$B$342, MATCH(PO_LOG[[#This Row],[LINE]], 'Line No'!$A$1:$A$342, 0)),
      IF(PO_LOG[[#This Row],[LINE]]="PC", "Petty Cash Log",
      IF(PO_LOG[[#This Row],[LINE]]="PR", "Payroll Log",
      "LINE CODE NOT VALID"))))</f>
        <v/>
      </c>
      <c r="H150" s="127"/>
    </row>
    <row r="151" spans="1:8">
      <c r="A151" s="106"/>
      <c r="B151" s="106"/>
      <c r="C151" s="106"/>
      <c r="D151" s="107"/>
      <c r="E151" s="106"/>
      <c r="F151" s="109"/>
      <c r="G151" s="106" t="str">
        <f>IF(ISBLANK(PO_LOG[[#This Row],[LINE]]), "",
   IF(COUNTIF('Line No'!$A$1:$A$342, PO_LOG[[#This Row],[LINE]]) &gt; 0,
      INDEX('Line No'!$B$1:$B$342, MATCH(PO_LOG[[#This Row],[LINE]], 'Line No'!$A$1:$A$342, 0)),
      IF(PO_LOG[[#This Row],[LINE]]="PC", "Petty Cash Log",
      IF(PO_LOG[[#This Row],[LINE]]="PR", "Payroll Log",
      "LINE CODE NOT VALID"))))</f>
        <v/>
      </c>
      <c r="H151" s="127"/>
    </row>
    <row r="152" spans="1:8">
      <c r="A152" s="114"/>
      <c r="B152" s="106"/>
      <c r="C152" s="106"/>
      <c r="D152" s="107"/>
      <c r="E152" s="106"/>
      <c r="F152" s="109"/>
      <c r="G152" s="106" t="str">
        <f>IF(ISBLANK(PO_LOG[[#This Row],[LINE]]), "",
   IF(COUNTIF('Line No'!$A$1:$A$342, PO_LOG[[#This Row],[LINE]]) &gt; 0,
      INDEX('Line No'!$B$1:$B$342, MATCH(PO_LOG[[#This Row],[LINE]], 'Line No'!$A$1:$A$342, 0)),
      IF(PO_LOG[[#This Row],[LINE]]="PC", "Petty Cash Log",
      IF(PO_LOG[[#This Row],[LINE]]="PR", "Payroll Log",
      "LINE CODE NOT VALID"))))</f>
        <v/>
      </c>
      <c r="H152" s="131"/>
    </row>
    <row r="153" spans="1:8">
      <c r="A153" s="106"/>
      <c r="B153" s="106"/>
      <c r="C153" s="106"/>
      <c r="D153" s="107"/>
      <c r="E153" s="106"/>
      <c r="F153" s="109"/>
      <c r="G153" s="106" t="str">
        <f>IF(ISBLANK(PO_LOG[[#This Row],[LINE]]), "",
   IF(COUNTIF('Line No'!$A$1:$A$342, PO_LOG[[#This Row],[LINE]]) &gt; 0,
      INDEX('Line No'!$B$1:$B$342, MATCH(PO_LOG[[#This Row],[LINE]], 'Line No'!$A$1:$A$342, 0)),
      IF(PO_LOG[[#This Row],[LINE]]="PC", "Petty Cash Log",
      IF(PO_LOG[[#This Row],[LINE]]="PR", "Payroll Log",
      "LINE CODE NOT VALID"))))</f>
        <v/>
      </c>
      <c r="H153" s="127"/>
    </row>
    <row r="154" spans="1:8">
      <c r="A154" s="106"/>
      <c r="B154" s="106"/>
      <c r="C154" s="106"/>
      <c r="D154" s="107"/>
      <c r="E154" s="116"/>
      <c r="F154" s="128"/>
      <c r="G154" s="106" t="str">
        <f>IF(ISBLANK(PO_LOG[[#This Row],[LINE]]), "",
   IF(COUNTIF('Line No'!$A$1:$A$342, PO_LOG[[#This Row],[LINE]]) &gt; 0,
      INDEX('Line No'!$B$1:$B$342, MATCH(PO_LOG[[#This Row],[LINE]], 'Line No'!$A$1:$A$342, 0)),
      IF(PO_LOG[[#This Row],[LINE]]="PC", "Petty Cash Log",
      IF(PO_LOG[[#This Row],[LINE]]="PR", "Payroll Log",
      "LINE CODE NOT VALID"))))</f>
        <v/>
      </c>
      <c r="H154" s="127"/>
    </row>
    <row r="155" spans="1:8">
      <c r="A155" s="106"/>
      <c r="B155" s="106"/>
      <c r="C155" s="106"/>
      <c r="D155" s="107"/>
      <c r="E155" s="116"/>
      <c r="F155" s="128"/>
      <c r="G155" s="106" t="str">
        <f>IF(ISBLANK(PO_LOG[[#This Row],[LINE]]), "",
   IF(COUNTIF('Line No'!$A$1:$A$342, PO_LOG[[#This Row],[LINE]]) &gt; 0,
      INDEX('Line No'!$B$1:$B$342, MATCH(PO_LOG[[#This Row],[LINE]], 'Line No'!$A$1:$A$342, 0)),
      IF(PO_LOG[[#This Row],[LINE]]="PC", "Petty Cash Log",
      IF(PO_LOG[[#This Row],[LINE]]="PR", "Payroll Log",
      "LINE CODE NOT VALID"))))</f>
        <v/>
      </c>
      <c r="H155" s="127"/>
    </row>
    <row r="156" spans="1:8">
      <c r="A156" s="106"/>
      <c r="B156" s="106"/>
      <c r="C156" s="106"/>
      <c r="D156" s="107"/>
      <c r="E156" s="106"/>
      <c r="F156" s="109"/>
      <c r="G156" s="106" t="str">
        <f>IF(ISBLANK(PO_LOG[[#This Row],[LINE]]), "",
   IF(COUNTIF('Line No'!$A$1:$A$342, PO_LOG[[#This Row],[LINE]]) &gt; 0,
      INDEX('Line No'!$B$1:$B$342, MATCH(PO_LOG[[#This Row],[LINE]], 'Line No'!$A$1:$A$342, 0)),
      IF(PO_LOG[[#This Row],[LINE]]="PC", "Petty Cash Log",
      IF(PO_LOG[[#This Row],[LINE]]="PR", "Payroll Log",
      "LINE CODE NOT VALID"))))</f>
        <v/>
      </c>
      <c r="H156" s="127"/>
    </row>
    <row r="157" spans="1:8">
      <c r="A157" s="106"/>
      <c r="B157" s="106"/>
      <c r="C157" s="106"/>
      <c r="D157" s="126"/>
      <c r="E157" s="127"/>
      <c r="F157" s="109"/>
      <c r="G157" s="106" t="str">
        <f>IF(ISBLANK(PO_LOG[[#This Row],[LINE]]), "",
   IF(COUNTIF('Line No'!$A$1:$A$342, PO_LOG[[#This Row],[LINE]]) &gt; 0,
      INDEX('Line No'!$B$1:$B$342, MATCH(PO_LOG[[#This Row],[LINE]], 'Line No'!$A$1:$A$342, 0)),
      IF(PO_LOG[[#This Row],[LINE]]="PC", "Petty Cash Log",
      IF(PO_LOG[[#This Row],[LINE]]="PR", "Payroll Log",
      "LINE CODE NOT VALID"))))</f>
        <v/>
      </c>
      <c r="H157" s="127"/>
    </row>
    <row r="158" spans="1:8">
      <c r="A158" s="106"/>
      <c r="B158" s="106"/>
      <c r="C158" s="106"/>
      <c r="D158" s="107"/>
      <c r="E158" s="106"/>
      <c r="F158" s="109"/>
      <c r="G158" s="106" t="str">
        <f>IF(ISBLANK(PO_LOG[[#This Row],[LINE]]), "",
   IF(COUNTIF('Line No'!$A$1:$A$342, PO_LOG[[#This Row],[LINE]]) &gt; 0,
      INDEX('Line No'!$B$1:$B$342, MATCH(PO_LOG[[#This Row],[LINE]], 'Line No'!$A$1:$A$342, 0)),
      IF(PO_LOG[[#This Row],[LINE]]="PC", "Petty Cash Log",
      IF(PO_LOG[[#This Row],[LINE]]="PR", "Payroll Log",
      "LINE CODE NOT VALID"))))</f>
        <v/>
      </c>
      <c r="H158" s="127"/>
    </row>
    <row r="159" spans="1:8">
      <c r="A159" s="106"/>
      <c r="B159" s="106"/>
      <c r="C159" s="106"/>
      <c r="D159" s="107"/>
      <c r="E159" s="106"/>
      <c r="F159" s="109"/>
      <c r="G159" s="106" t="str">
        <f>IF(ISBLANK(PO_LOG[[#This Row],[LINE]]), "",
   IF(COUNTIF('Line No'!$A$1:$A$342, PO_LOG[[#This Row],[LINE]]) &gt; 0,
      INDEX('Line No'!$B$1:$B$342, MATCH(PO_LOG[[#This Row],[LINE]], 'Line No'!$A$1:$A$342, 0)),
      IF(PO_LOG[[#This Row],[LINE]]="PC", "Petty Cash Log",
      IF(PO_LOG[[#This Row],[LINE]]="PR", "Payroll Log",
      "LINE CODE NOT VALID"))))</f>
        <v/>
      </c>
      <c r="H159" s="127"/>
    </row>
    <row r="160" spans="1:8">
      <c r="A160" s="106"/>
      <c r="B160" s="106"/>
      <c r="C160" s="106"/>
      <c r="D160" s="107"/>
      <c r="E160" s="106"/>
      <c r="F160" s="109"/>
      <c r="G160" s="106" t="str">
        <f>IF(ISBLANK(PO_LOG[[#This Row],[LINE]]), "",
   IF(COUNTIF('Line No'!$A$1:$A$342, PO_LOG[[#This Row],[LINE]]) &gt; 0,
      INDEX('Line No'!$B$1:$B$342, MATCH(PO_LOG[[#This Row],[LINE]], 'Line No'!$A$1:$A$342, 0)),
      IF(PO_LOG[[#This Row],[LINE]]="PC", "Petty Cash Log",
      IF(PO_LOG[[#This Row],[LINE]]="PR", "Payroll Log",
      "LINE CODE NOT VALID"))))</f>
        <v/>
      </c>
      <c r="H160" s="127"/>
    </row>
    <row r="161" spans="1:8">
      <c r="A161" s="106"/>
      <c r="B161" s="106"/>
      <c r="C161" s="106"/>
      <c r="D161" s="107"/>
      <c r="E161" s="106"/>
      <c r="F161" s="109"/>
      <c r="G161" s="106" t="str">
        <f>IF(ISBLANK(PO_LOG[[#This Row],[LINE]]), "",
   IF(COUNTIF('Line No'!$A$1:$A$342, PO_LOG[[#This Row],[LINE]]) &gt; 0,
      INDEX('Line No'!$B$1:$B$342, MATCH(PO_LOG[[#This Row],[LINE]], 'Line No'!$A$1:$A$342, 0)),
      IF(PO_LOG[[#This Row],[LINE]]="PC", "Petty Cash Log",
      IF(PO_LOG[[#This Row],[LINE]]="PR", "Payroll Log",
      "LINE CODE NOT VALID"))))</f>
        <v/>
      </c>
      <c r="H161" s="127"/>
    </row>
    <row r="162" spans="1:8">
      <c r="A162" s="106"/>
      <c r="B162" s="106"/>
      <c r="C162" s="106"/>
      <c r="D162" s="107"/>
      <c r="E162" s="106"/>
      <c r="F162" s="109"/>
      <c r="G162" s="106" t="str">
        <f>IF(ISBLANK(PO_LOG[[#This Row],[LINE]]), "",
   IF(COUNTIF('Line No'!$A$1:$A$342, PO_LOG[[#This Row],[LINE]]) &gt; 0,
      INDEX('Line No'!$B$1:$B$342, MATCH(PO_LOG[[#This Row],[LINE]], 'Line No'!$A$1:$A$342, 0)),
      IF(PO_LOG[[#This Row],[LINE]]="PC", "Petty Cash Log",
      IF(PO_LOG[[#This Row],[LINE]]="PR", "Payroll Log",
      "LINE CODE NOT VALID"))))</f>
        <v/>
      </c>
      <c r="H162" s="127"/>
    </row>
    <row r="163" spans="1:8">
      <c r="A163" s="106"/>
      <c r="B163" s="106"/>
      <c r="C163" s="106"/>
      <c r="D163" s="107"/>
      <c r="E163" s="116"/>
      <c r="F163" s="109"/>
      <c r="G163" s="106" t="str">
        <f>IF(ISBLANK(PO_LOG[[#This Row],[LINE]]), "",
   IF(COUNTIF('Line No'!$A$1:$A$342, PO_LOG[[#This Row],[LINE]]) &gt; 0,
      INDEX('Line No'!$B$1:$B$342, MATCH(PO_LOG[[#This Row],[LINE]], 'Line No'!$A$1:$A$342, 0)),
      IF(PO_LOG[[#This Row],[LINE]]="PC", "Petty Cash Log",
      IF(PO_LOG[[#This Row],[LINE]]="PR", "Payroll Log",
      "LINE CODE NOT VALID"))))</f>
        <v/>
      </c>
      <c r="H163" s="127"/>
    </row>
    <row r="164" spans="1:8">
      <c r="A164" s="106"/>
      <c r="B164" s="106"/>
      <c r="C164" s="106"/>
      <c r="D164" s="107"/>
      <c r="E164" s="106"/>
      <c r="F164" s="109"/>
      <c r="G164" s="106" t="str">
        <f>IF(ISBLANK(PO_LOG[[#This Row],[LINE]]), "",
   IF(COUNTIF('Line No'!$A$1:$A$342, PO_LOG[[#This Row],[LINE]]) &gt; 0,
      INDEX('Line No'!$B$1:$B$342, MATCH(PO_LOG[[#This Row],[LINE]], 'Line No'!$A$1:$A$342, 0)),
      IF(PO_LOG[[#This Row],[LINE]]="PC", "Petty Cash Log",
      IF(PO_LOG[[#This Row],[LINE]]="PR", "Payroll Log",
      "LINE CODE NOT VALID"))))</f>
        <v/>
      </c>
      <c r="H164" s="127"/>
    </row>
    <row r="165" spans="1:8">
      <c r="A165" s="106"/>
      <c r="B165" s="106"/>
      <c r="C165" s="106"/>
      <c r="D165" s="107"/>
      <c r="E165" s="106"/>
      <c r="F165" s="109"/>
      <c r="G165" s="106" t="str">
        <f>IF(ISBLANK(PO_LOG[[#This Row],[LINE]]), "",
   IF(COUNTIF('Line No'!$A$1:$A$342, PO_LOG[[#This Row],[LINE]]) &gt; 0,
      INDEX('Line No'!$B$1:$B$342, MATCH(PO_LOG[[#This Row],[LINE]], 'Line No'!$A$1:$A$342, 0)),
      IF(PO_LOG[[#This Row],[LINE]]="PC", "Petty Cash Log",
      IF(PO_LOG[[#This Row],[LINE]]="PR", "Payroll Log",
      "LINE CODE NOT VALID"))))</f>
        <v/>
      </c>
      <c r="H165" s="127"/>
    </row>
    <row r="166" spans="1:8">
      <c r="A166" s="106"/>
      <c r="B166" s="106"/>
      <c r="C166" s="106"/>
      <c r="D166" s="107"/>
      <c r="E166" s="106"/>
      <c r="F166" s="109"/>
      <c r="G166" s="106" t="str">
        <f>IF(ISBLANK(PO_LOG[[#This Row],[LINE]]), "",
   IF(COUNTIF('Line No'!$A$1:$A$342, PO_LOG[[#This Row],[LINE]]) &gt; 0,
      INDEX('Line No'!$B$1:$B$342, MATCH(PO_LOG[[#This Row],[LINE]], 'Line No'!$A$1:$A$342, 0)),
      IF(PO_LOG[[#This Row],[LINE]]="PC", "Petty Cash Log",
      IF(PO_LOG[[#This Row],[LINE]]="PR", "Payroll Log",
      "LINE CODE NOT VALID"))))</f>
        <v/>
      </c>
      <c r="H166" s="127"/>
    </row>
    <row r="167" spans="1:8">
      <c r="A167" s="106"/>
      <c r="B167" s="106"/>
      <c r="C167" s="106"/>
      <c r="D167" s="107"/>
      <c r="E167" s="106"/>
      <c r="F167" s="109"/>
      <c r="G167" s="106" t="str">
        <f>IF(ISBLANK(PO_LOG[[#This Row],[LINE]]), "",
   IF(COUNTIF('Line No'!$A$1:$A$342, PO_LOG[[#This Row],[LINE]]) &gt; 0,
      INDEX('Line No'!$B$1:$B$342, MATCH(PO_LOG[[#This Row],[LINE]], 'Line No'!$A$1:$A$342, 0)),
      IF(PO_LOG[[#This Row],[LINE]]="PC", "Petty Cash Log",
      IF(PO_LOG[[#This Row],[LINE]]="PR", "Payroll Log",
      "LINE CODE NOT VALID"))))</f>
        <v/>
      </c>
      <c r="H167" s="127"/>
    </row>
    <row r="168" spans="1:8">
      <c r="A168" s="106"/>
      <c r="B168" s="114"/>
      <c r="C168" s="106"/>
      <c r="D168" s="107"/>
      <c r="E168" s="106"/>
      <c r="F168" s="109"/>
      <c r="G168" s="106" t="str">
        <f>IF(ISBLANK(PO_LOG[[#This Row],[LINE]]), "",
   IF(COUNTIF('Line No'!$A$1:$A$342, PO_LOG[[#This Row],[LINE]]) &gt; 0,
      INDEX('Line No'!$B$1:$B$342, MATCH(PO_LOG[[#This Row],[LINE]], 'Line No'!$A$1:$A$342, 0)),
      IF(PO_LOG[[#This Row],[LINE]]="PC", "Petty Cash Log",
      IF(PO_LOG[[#This Row],[LINE]]="PR", "Payroll Log",
      "LINE CODE NOT VALID"))))</f>
        <v/>
      </c>
      <c r="H168" s="127"/>
    </row>
    <row r="169" spans="1:8" s="85" customFormat="1">
      <c r="A169" s="106"/>
      <c r="B169" s="114"/>
      <c r="C169" s="106"/>
      <c r="D169" s="107"/>
      <c r="E169" s="106"/>
      <c r="F169" s="109"/>
      <c r="G169" s="106" t="str">
        <f>IF(ISBLANK(PO_LOG[[#This Row],[LINE]]), "",
   IF(COUNTIF('Line No'!$A$1:$A$342, PO_LOG[[#This Row],[LINE]]) &gt; 0,
      INDEX('Line No'!$B$1:$B$342, MATCH(PO_LOG[[#This Row],[LINE]], 'Line No'!$A$1:$A$342, 0)),
      IF(PO_LOG[[#This Row],[LINE]]="PC", "Petty Cash Log",
      IF(PO_LOG[[#This Row],[LINE]]="PR", "Payroll Log",
      "LINE CODE NOT VALID"))))</f>
        <v/>
      </c>
      <c r="H169" s="127"/>
    </row>
    <row r="170" spans="1:8">
      <c r="A170" s="106"/>
      <c r="B170" s="114"/>
      <c r="C170" s="106"/>
      <c r="D170" s="107"/>
      <c r="E170" s="106"/>
      <c r="F170" s="109"/>
      <c r="G170" s="106" t="str">
        <f>IF(ISBLANK(PO_LOG[[#This Row],[LINE]]), "",
   IF(COUNTIF('Line No'!$A$1:$A$342, PO_LOG[[#This Row],[LINE]]) &gt; 0,
      INDEX('Line No'!$B$1:$B$342, MATCH(PO_LOG[[#This Row],[LINE]], 'Line No'!$A$1:$A$342, 0)),
      IF(PO_LOG[[#This Row],[LINE]]="PC", "Petty Cash Log",
      IF(PO_LOG[[#This Row],[LINE]]="PR", "Payroll Log",
      "LINE CODE NOT VALID"))))</f>
        <v/>
      </c>
      <c r="H170" s="127"/>
    </row>
    <row r="171" spans="1:8">
      <c r="A171" s="106"/>
      <c r="B171" s="108"/>
      <c r="C171" s="106"/>
      <c r="D171" s="107"/>
      <c r="E171" s="108"/>
      <c r="F171" s="109"/>
      <c r="G171" s="106" t="str">
        <f>IF(ISBLANK(PO_LOG[[#This Row],[LINE]]), "",
   IF(COUNTIF('Line No'!$A$1:$A$342, PO_LOG[[#This Row],[LINE]]) &gt; 0,
      INDEX('Line No'!$B$1:$B$342, MATCH(PO_LOG[[#This Row],[LINE]], 'Line No'!$A$1:$A$342, 0)),
      IF(PO_LOG[[#This Row],[LINE]]="PC", "Petty Cash Log",
      IF(PO_LOG[[#This Row],[LINE]]="PR", "Payroll Log",
      "LINE CODE NOT VALID"))))</f>
        <v/>
      </c>
      <c r="H171" s="127"/>
    </row>
    <row r="172" spans="1:8">
      <c r="A172" s="106"/>
      <c r="B172" s="108"/>
      <c r="C172" s="106"/>
      <c r="D172" s="107"/>
      <c r="E172" s="108"/>
      <c r="F172" s="109"/>
      <c r="G172" s="106" t="str">
        <f>IF(ISBLANK(PO_LOG[[#This Row],[LINE]]), "",
   IF(COUNTIF('Line No'!$A$1:$A$342, PO_LOG[[#This Row],[LINE]]) &gt; 0,
      INDEX('Line No'!$B$1:$B$342, MATCH(PO_LOG[[#This Row],[LINE]], 'Line No'!$A$1:$A$342, 0)),
      IF(PO_LOG[[#This Row],[LINE]]="PC", "Petty Cash Log",
      IF(PO_LOG[[#This Row],[LINE]]="PR", "Payroll Log",
      "LINE CODE NOT VALID"))))</f>
        <v/>
      </c>
      <c r="H172" s="127"/>
    </row>
    <row r="173" spans="1:8">
      <c r="A173" s="106"/>
      <c r="B173" s="108"/>
      <c r="C173" s="106"/>
      <c r="D173" s="107"/>
      <c r="E173" s="108"/>
      <c r="F173" s="109"/>
      <c r="G173" s="106" t="str">
        <f>IF(ISBLANK(PO_LOG[[#This Row],[LINE]]), "",
   IF(COUNTIF('Line No'!$A$1:$A$342, PO_LOG[[#This Row],[LINE]]) &gt; 0,
      INDEX('Line No'!$B$1:$B$342, MATCH(PO_LOG[[#This Row],[LINE]], 'Line No'!$A$1:$A$342, 0)),
      IF(PO_LOG[[#This Row],[LINE]]="PC", "Petty Cash Log",
      IF(PO_LOG[[#This Row],[LINE]]="PR", "Payroll Log",
      "LINE CODE NOT VALID"))))</f>
        <v/>
      </c>
      <c r="H173" s="127"/>
    </row>
    <row r="174" spans="1:8">
      <c r="A174" s="106"/>
      <c r="B174" s="108"/>
      <c r="C174" s="106"/>
      <c r="D174" s="107"/>
      <c r="E174" s="108"/>
      <c r="F174" s="109"/>
      <c r="G174" s="106" t="str">
        <f>IF(ISBLANK(PO_LOG[[#This Row],[LINE]]), "",
   IF(COUNTIF('Line No'!$A$1:$A$342, PO_LOG[[#This Row],[LINE]]) &gt; 0,
      INDEX('Line No'!$B$1:$B$342, MATCH(PO_LOG[[#This Row],[LINE]], 'Line No'!$A$1:$A$342, 0)),
      IF(PO_LOG[[#This Row],[LINE]]="PC", "Petty Cash Log",
      IF(PO_LOG[[#This Row],[LINE]]="PR", "Payroll Log",
      "LINE CODE NOT VALID"))))</f>
        <v/>
      </c>
      <c r="H174" s="127"/>
    </row>
    <row r="175" spans="1:8">
      <c r="A175" s="106"/>
      <c r="B175" s="108"/>
      <c r="C175" s="106"/>
      <c r="D175" s="107"/>
      <c r="E175" s="108"/>
      <c r="F175" s="109"/>
      <c r="G175" s="106" t="str">
        <f>IF(ISBLANK(PO_LOG[[#This Row],[LINE]]), "",
   IF(COUNTIF('Line No'!$A$1:$A$342, PO_LOG[[#This Row],[LINE]]) &gt; 0,
      INDEX('Line No'!$B$1:$B$342, MATCH(PO_LOG[[#This Row],[LINE]], 'Line No'!$A$1:$A$342, 0)),
      IF(PO_LOG[[#This Row],[LINE]]="PC", "Petty Cash Log",
      IF(PO_LOG[[#This Row],[LINE]]="PR", "Payroll Log",
      "LINE CODE NOT VALID"))))</f>
        <v/>
      </c>
      <c r="H175" s="127"/>
    </row>
    <row r="176" spans="1:8">
      <c r="A176" s="106"/>
      <c r="B176" s="108"/>
      <c r="C176" s="106"/>
      <c r="D176" s="107"/>
      <c r="E176" s="108"/>
      <c r="F176" s="109"/>
      <c r="G176" s="106" t="str">
        <f>IF(ISBLANK(PO_LOG[[#This Row],[LINE]]), "",
   IF(COUNTIF('Line No'!$A$1:$A$342, PO_LOG[[#This Row],[LINE]]) &gt; 0,
      INDEX('Line No'!$B$1:$B$342, MATCH(PO_LOG[[#This Row],[LINE]], 'Line No'!$A$1:$A$342, 0)),
      IF(PO_LOG[[#This Row],[LINE]]="PC", "Petty Cash Log",
      IF(PO_LOG[[#This Row],[LINE]]="PR", "Payroll Log",
      "LINE CODE NOT VALID"))))</f>
        <v/>
      </c>
      <c r="H176" s="127"/>
    </row>
    <row r="177" spans="1:8">
      <c r="A177" s="106"/>
      <c r="B177" s="108"/>
      <c r="C177" s="106"/>
      <c r="D177" s="107"/>
      <c r="E177" s="108"/>
      <c r="F177" s="109"/>
      <c r="G177" s="106" t="str">
        <f>IF(ISBLANK(PO_LOG[[#This Row],[LINE]]), "",
   IF(COUNTIF('Line No'!$A$1:$A$342, PO_LOG[[#This Row],[LINE]]) &gt; 0,
      INDEX('Line No'!$B$1:$B$342, MATCH(PO_LOG[[#This Row],[LINE]], 'Line No'!$A$1:$A$342, 0)),
      IF(PO_LOG[[#This Row],[LINE]]="PC", "Petty Cash Log",
      IF(PO_LOG[[#This Row],[LINE]]="PR", "Payroll Log",
      "LINE CODE NOT VALID"))))</f>
        <v/>
      </c>
      <c r="H177" s="127"/>
    </row>
    <row r="178" spans="1:8">
      <c r="A178" s="106"/>
      <c r="B178" s="108"/>
      <c r="C178" s="106"/>
      <c r="D178" s="107"/>
      <c r="E178" s="108"/>
      <c r="F178" s="109"/>
      <c r="G178" s="106" t="str">
        <f>IF(ISBLANK(PO_LOG[[#This Row],[LINE]]), "",
   IF(COUNTIF('Line No'!$A$1:$A$342, PO_LOG[[#This Row],[LINE]]) &gt; 0,
      INDEX('Line No'!$B$1:$B$342, MATCH(PO_LOG[[#This Row],[LINE]], 'Line No'!$A$1:$A$342, 0)),
      IF(PO_LOG[[#This Row],[LINE]]="PC", "Petty Cash Log",
      IF(PO_LOG[[#This Row],[LINE]]="PR", "Payroll Log",
      "LINE CODE NOT VALID"))))</f>
        <v/>
      </c>
      <c r="H178" s="127"/>
    </row>
    <row r="179" spans="1:8">
      <c r="A179" s="106"/>
      <c r="B179" s="108"/>
      <c r="C179" s="106"/>
      <c r="D179" s="107"/>
      <c r="E179" s="108"/>
      <c r="F179" s="109"/>
      <c r="G179" s="106" t="str">
        <f>IF(ISBLANK(PO_LOG[[#This Row],[LINE]]), "",
   IF(COUNTIF('Line No'!$A$1:$A$342, PO_LOG[[#This Row],[LINE]]) &gt; 0,
      INDEX('Line No'!$B$1:$B$342, MATCH(PO_LOG[[#This Row],[LINE]], 'Line No'!$A$1:$A$342, 0)),
      IF(PO_LOG[[#This Row],[LINE]]="PC", "Petty Cash Log",
      IF(PO_LOG[[#This Row],[LINE]]="PR", "Payroll Log",
      "LINE CODE NOT VALID"))))</f>
        <v/>
      </c>
      <c r="H179" s="127"/>
    </row>
    <row r="180" spans="1:8">
      <c r="A180" s="106"/>
      <c r="B180" s="106"/>
      <c r="C180" s="106"/>
      <c r="D180" s="107"/>
      <c r="E180" s="116"/>
      <c r="F180" s="109"/>
      <c r="G180" s="106" t="str">
        <f>IF(ISBLANK(PO_LOG[[#This Row],[LINE]]), "",
   IF(COUNTIF('Line No'!$A$1:$A$342, PO_LOG[[#This Row],[LINE]]) &gt; 0,
      INDEX('Line No'!$B$1:$B$342, MATCH(PO_LOG[[#This Row],[LINE]], 'Line No'!$A$1:$A$342, 0)),
      IF(PO_LOG[[#This Row],[LINE]]="PC", "Petty Cash Log",
      IF(PO_LOG[[#This Row],[LINE]]="PR", "Payroll Log",
      "LINE CODE NOT VALID"))))</f>
        <v/>
      </c>
      <c r="H180" s="127"/>
    </row>
    <row r="181" spans="1:8">
      <c r="A181" s="106"/>
      <c r="B181" s="108"/>
      <c r="C181" s="106"/>
      <c r="D181" s="107"/>
      <c r="E181" s="108"/>
      <c r="F181" s="109"/>
      <c r="G181" s="106" t="str">
        <f>IF(ISBLANK(PO_LOG[[#This Row],[LINE]]), "",
   IF(COUNTIF('Line No'!$A$1:$A$342, PO_LOG[[#This Row],[LINE]]) &gt; 0,
      INDEX('Line No'!$B$1:$B$342, MATCH(PO_LOG[[#This Row],[LINE]], 'Line No'!$A$1:$A$342, 0)),
      IF(PO_LOG[[#This Row],[LINE]]="PC", "Petty Cash Log",
      IF(PO_LOG[[#This Row],[LINE]]="PR", "Payroll Log",
      "LINE CODE NOT VALID"))))</f>
        <v/>
      </c>
      <c r="H181" s="127"/>
    </row>
    <row r="182" spans="1:8">
      <c r="A182" s="106"/>
      <c r="B182" s="108"/>
      <c r="C182" s="106"/>
      <c r="D182" s="107"/>
      <c r="E182" s="108"/>
      <c r="F182" s="109"/>
      <c r="G182" s="106" t="str">
        <f>IF(ISBLANK(PO_LOG[[#This Row],[LINE]]), "",
   IF(COUNTIF('Line No'!$A$1:$A$342, PO_LOG[[#This Row],[LINE]]) &gt; 0,
      INDEX('Line No'!$B$1:$B$342, MATCH(PO_LOG[[#This Row],[LINE]], 'Line No'!$A$1:$A$342, 0)),
      IF(PO_LOG[[#This Row],[LINE]]="PC", "Petty Cash Log",
      IF(PO_LOG[[#This Row],[LINE]]="PR", "Payroll Log",
      "LINE CODE NOT VALID"))))</f>
        <v/>
      </c>
      <c r="H182" s="127"/>
    </row>
    <row r="183" spans="1:8">
      <c r="A183" s="106"/>
      <c r="B183" s="108"/>
      <c r="C183" s="106"/>
      <c r="D183" s="107"/>
      <c r="E183" s="108"/>
      <c r="F183" s="109"/>
      <c r="G183" s="106" t="str">
        <f>IF(ISBLANK(PO_LOG[[#This Row],[LINE]]), "",
   IF(COUNTIF('Line No'!$A$1:$A$342, PO_LOG[[#This Row],[LINE]]) &gt; 0,
      INDEX('Line No'!$B$1:$B$342, MATCH(PO_LOG[[#This Row],[LINE]], 'Line No'!$A$1:$A$342, 0)),
      IF(PO_LOG[[#This Row],[LINE]]="PC", "Petty Cash Log",
      IF(PO_LOG[[#This Row],[LINE]]="PR", "Payroll Log",
      "LINE CODE NOT VALID"))))</f>
        <v/>
      </c>
      <c r="H183" s="127"/>
    </row>
    <row r="184" spans="1:8">
      <c r="A184" s="106"/>
      <c r="B184" s="108"/>
      <c r="C184" s="106"/>
      <c r="D184" s="107"/>
      <c r="E184" s="108"/>
      <c r="F184" s="109"/>
      <c r="G184" s="106" t="str">
        <f>IF(ISBLANK(PO_LOG[[#This Row],[LINE]]), "",
   IF(COUNTIF('Line No'!$A$1:$A$342, PO_LOG[[#This Row],[LINE]]) &gt; 0,
      INDEX('Line No'!$B$1:$B$342, MATCH(PO_LOG[[#This Row],[LINE]], 'Line No'!$A$1:$A$342, 0)),
      IF(PO_LOG[[#This Row],[LINE]]="PC", "Petty Cash Log",
      IF(PO_LOG[[#This Row],[LINE]]="PR", "Payroll Log",
      "LINE CODE NOT VALID"))))</f>
        <v/>
      </c>
      <c r="H184" s="127"/>
    </row>
    <row r="185" spans="1:8">
      <c r="A185" s="106"/>
      <c r="B185" s="106"/>
      <c r="C185" s="106"/>
      <c r="D185" s="107"/>
      <c r="E185" s="106"/>
      <c r="F185" s="109"/>
      <c r="G185" s="106" t="str">
        <f>IF(ISBLANK(PO_LOG[[#This Row],[LINE]]), "",
   IF(COUNTIF('Line No'!$A$1:$A$342, PO_LOG[[#This Row],[LINE]]) &gt; 0,
      INDEX('Line No'!$B$1:$B$342, MATCH(PO_LOG[[#This Row],[LINE]], 'Line No'!$A$1:$A$342, 0)),
      IF(PO_LOG[[#This Row],[LINE]]="PC", "Petty Cash Log",
      IF(PO_LOG[[#This Row],[LINE]]="PR", "Payroll Log",
      "LINE CODE NOT VALID"))))</f>
        <v/>
      </c>
      <c r="H185" s="127"/>
    </row>
    <row r="186" spans="1:8">
      <c r="A186" s="106"/>
      <c r="B186" s="108"/>
      <c r="C186" s="106"/>
      <c r="D186" s="107"/>
      <c r="E186" s="116"/>
      <c r="F186" s="109"/>
      <c r="G186" s="106" t="str">
        <f>IF(ISBLANK(PO_LOG[[#This Row],[LINE]]), "",
   IF(COUNTIF('Line No'!$A$1:$A$342, PO_LOG[[#This Row],[LINE]]) &gt; 0,
      INDEX('Line No'!$B$1:$B$342, MATCH(PO_LOG[[#This Row],[LINE]], 'Line No'!$A$1:$A$342, 0)),
      IF(PO_LOG[[#This Row],[LINE]]="PC", "Petty Cash Log",
      IF(PO_LOG[[#This Row],[LINE]]="PR", "Payroll Log",
      "LINE CODE NOT VALID"))))</f>
        <v/>
      </c>
      <c r="H186" s="127"/>
    </row>
    <row r="187" spans="1:8">
      <c r="A187" s="106"/>
      <c r="B187" s="106"/>
      <c r="C187" s="106"/>
      <c r="D187" s="107"/>
      <c r="E187" s="106"/>
      <c r="F187" s="109"/>
      <c r="G187" s="106" t="str">
        <f>IF(ISBLANK(PO_LOG[[#This Row],[LINE]]), "",
   IF(COUNTIF('Line No'!$A$1:$A$342, PO_LOG[[#This Row],[LINE]]) &gt; 0,
      INDEX('Line No'!$B$1:$B$342, MATCH(PO_LOG[[#This Row],[LINE]], 'Line No'!$A$1:$A$342, 0)),
      IF(PO_LOG[[#This Row],[LINE]]="PC", "Petty Cash Log",
      IF(PO_LOG[[#This Row],[LINE]]="PR", "Payroll Log",
      "LINE CODE NOT VALID"))))</f>
        <v/>
      </c>
      <c r="H187" s="127"/>
    </row>
    <row r="188" spans="1:8">
      <c r="A188" s="106"/>
      <c r="B188" s="106"/>
      <c r="C188" s="106"/>
      <c r="D188" s="107"/>
      <c r="E188" s="106"/>
      <c r="F188" s="109"/>
      <c r="G188" s="106" t="str">
        <f>IF(ISBLANK(PO_LOG[[#This Row],[LINE]]), "",
   IF(COUNTIF('Line No'!$A$1:$A$342, PO_LOG[[#This Row],[LINE]]) &gt; 0,
      INDEX('Line No'!$B$1:$B$342, MATCH(PO_LOG[[#This Row],[LINE]], 'Line No'!$A$1:$A$342, 0)),
      IF(PO_LOG[[#This Row],[LINE]]="PC", "Petty Cash Log",
      IF(PO_LOG[[#This Row],[LINE]]="PR", "Payroll Log",
      "LINE CODE NOT VALID"))))</f>
        <v/>
      </c>
      <c r="H188" s="127"/>
    </row>
    <row r="189" spans="1:8">
      <c r="A189" s="106"/>
      <c r="B189" s="106"/>
      <c r="C189" s="106"/>
      <c r="D189" s="107"/>
      <c r="E189" s="106"/>
      <c r="F189" s="109"/>
      <c r="G189" s="106" t="str">
        <f>IF(ISBLANK(PO_LOG[[#This Row],[LINE]]), "",
   IF(COUNTIF('Line No'!$A$1:$A$342, PO_LOG[[#This Row],[LINE]]) &gt; 0,
      INDEX('Line No'!$B$1:$B$342, MATCH(PO_LOG[[#This Row],[LINE]], 'Line No'!$A$1:$A$342, 0)),
      IF(PO_LOG[[#This Row],[LINE]]="PC", "Petty Cash Log",
      IF(PO_LOG[[#This Row],[LINE]]="PR", "Payroll Log",
      "LINE CODE NOT VALID"))))</f>
        <v/>
      </c>
      <c r="H189" s="127"/>
    </row>
    <row r="190" spans="1:8">
      <c r="A190" s="106"/>
      <c r="B190" s="108"/>
      <c r="C190" s="106"/>
      <c r="D190" s="107"/>
      <c r="E190" s="108"/>
      <c r="F190" s="109"/>
      <c r="G190" s="106" t="str">
        <f>IF(ISBLANK(PO_LOG[[#This Row],[LINE]]), "",
   IF(COUNTIF('Line No'!$A$1:$A$342, PO_LOG[[#This Row],[LINE]]) &gt; 0,
      INDEX('Line No'!$B$1:$B$342, MATCH(PO_LOG[[#This Row],[LINE]], 'Line No'!$A$1:$A$342, 0)),
      IF(PO_LOG[[#This Row],[LINE]]="PC", "Petty Cash Log",
      IF(PO_LOG[[#This Row],[LINE]]="PR", "Payroll Log",
      "LINE CODE NOT VALID"))))</f>
        <v/>
      </c>
      <c r="H190" s="127"/>
    </row>
    <row r="191" spans="1:8">
      <c r="A191" s="106"/>
      <c r="B191" s="106"/>
      <c r="C191" s="106"/>
      <c r="D191" s="107"/>
      <c r="E191" s="116"/>
      <c r="F191" s="109"/>
      <c r="G191" s="106" t="str">
        <f>IF(ISBLANK(PO_LOG[[#This Row],[LINE]]), "",
   IF(COUNTIF('Line No'!$A$1:$A$342, PO_LOG[[#This Row],[LINE]]) &gt; 0,
      INDEX('Line No'!$B$1:$B$342, MATCH(PO_LOG[[#This Row],[LINE]], 'Line No'!$A$1:$A$342, 0)),
      IF(PO_LOG[[#This Row],[LINE]]="PC", "Petty Cash Log",
      IF(PO_LOG[[#This Row],[LINE]]="PR", "Payroll Log",
      "LINE CODE NOT VALID"))))</f>
        <v/>
      </c>
      <c r="H191" s="127"/>
    </row>
    <row r="192" spans="1:8">
      <c r="A192" s="106"/>
      <c r="B192" s="108"/>
      <c r="C192" s="106"/>
      <c r="D192" s="107"/>
      <c r="E192" s="108"/>
      <c r="F192" s="108"/>
      <c r="G192" s="106" t="str">
        <f>IF(ISBLANK(PO_LOG[[#This Row],[LINE]]), "",
   IF(COUNTIF('Line No'!$A$1:$A$342, PO_LOG[[#This Row],[LINE]]) &gt; 0,
      INDEX('Line No'!$B$1:$B$342, MATCH(PO_LOG[[#This Row],[LINE]], 'Line No'!$A$1:$A$342, 0)),
      IF(PO_LOG[[#This Row],[LINE]]="PC", "Petty Cash Log",
      IF(PO_LOG[[#This Row],[LINE]]="PR", "Payroll Log",
      "LINE CODE NOT VALID"))))</f>
        <v/>
      </c>
      <c r="H192" s="127"/>
    </row>
    <row r="193" spans="1:8">
      <c r="A193" s="114"/>
      <c r="B193" s="114"/>
      <c r="C193" s="106"/>
      <c r="D193" s="107"/>
      <c r="E193" s="114"/>
      <c r="F193" s="114"/>
      <c r="G193" s="106" t="str">
        <f>IF(ISBLANK(PO_LOG[[#This Row],[LINE]]), "",
   IF(COUNTIF('Line No'!$A$1:$A$342, PO_LOG[[#This Row],[LINE]]) &gt; 0,
      INDEX('Line No'!$B$1:$B$342, MATCH(PO_LOG[[#This Row],[LINE]], 'Line No'!$A$1:$A$342, 0)),
      IF(PO_LOG[[#This Row],[LINE]]="PC", "Petty Cash Log",
      IF(PO_LOG[[#This Row],[LINE]]="PR", "Payroll Log",
      "LINE CODE NOT VALID"))))</f>
        <v/>
      </c>
      <c r="H193" s="127"/>
    </row>
    <row r="194" spans="1:8">
      <c r="A194" s="106"/>
      <c r="B194" s="106"/>
      <c r="C194" s="106"/>
      <c r="D194" s="107"/>
      <c r="E194" s="108"/>
      <c r="F194" s="108"/>
      <c r="G194" s="106" t="str">
        <f>IF(ISBLANK(PO_LOG[[#This Row],[LINE]]), "",
   IF(COUNTIF('Line No'!$A$1:$A$342, PO_LOG[[#This Row],[LINE]]) &gt; 0,
      INDEX('Line No'!$B$1:$B$342, MATCH(PO_LOG[[#This Row],[LINE]], 'Line No'!$A$1:$A$342, 0)),
      IF(PO_LOG[[#This Row],[LINE]]="PC", "Petty Cash Log",
      IF(PO_LOG[[#This Row],[LINE]]="PR", "Payroll Log",
      "LINE CODE NOT VALID"))))</f>
        <v/>
      </c>
      <c r="H194" s="127"/>
    </row>
    <row r="195" spans="1:8">
      <c r="A195" s="106"/>
      <c r="B195" s="106"/>
      <c r="C195" s="106"/>
      <c r="D195" s="107"/>
      <c r="E195" s="108"/>
      <c r="F195" s="109"/>
      <c r="G195" s="106" t="str">
        <f>IF(ISBLANK(PO_LOG[[#This Row],[LINE]]), "",
   IF(COUNTIF('Line No'!$A$1:$A$342, PO_LOG[[#This Row],[LINE]]) &gt; 0,
      INDEX('Line No'!$B$1:$B$342, MATCH(PO_LOG[[#This Row],[LINE]], 'Line No'!$A$1:$A$342, 0)),
      IF(PO_LOG[[#This Row],[LINE]]="PC", "Petty Cash Log",
      IF(PO_LOG[[#This Row],[LINE]]="PR", "Payroll Log",
      "LINE CODE NOT VALID"))))</f>
        <v/>
      </c>
      <c r="H195" s="127"/>
    </row>
    <row r="196" spans="1:8">
      <c r="A196" s="106"/>
      <c r="B196" s="106"/>
      <c r="C196" s="106"/>
      <c r="D196" s="107"/>
      <c r="E196" s="108"/>
      <c r="F196" s="109"/>
      <c r="G196" s="106" t="str">
        <f>IF(ISBLANK(PO_LOG[[#This Row],[LINE]]), "",
   IF(COUNTIF('Line No'!$A$1:$A$342, PO_LOG[[#This Row],[LINE]]) &gt; 0,
      INDEX('Line No'!$B$1:$B$342, MATCH(PO_LOG[[#This Row],[LINE]], 'Line No'!$A$1:$A$342, 0)),
      IF(PO_LOG[[#This Row],[LINE]]="PC", "Petty Cash Log",
      IF(PO_LOG[[#This Row],[LINE]]="PR", "Payroll Log",
      "LINE CODE NOT VALID"))))</f>
        <v/>
      </c>
      <c r="H196" s="127"/>
    </row>
    <row r="197" spans="1:8">
      <c r="A197" s="106"/>
      <c r="B197" s="106"/>
      <c r="C197" s="106"/>
      <c r="D197" s="107"/>
      <c r="E197" s="108"/>
      <c r="F197" s="109"/>
      <c r="G197" s="106" t="str">
        <f>IF(ISBLANK(PO_LOG[[#This Row],[LINE]]), "",
   IF(COUNTIF('Line No'!$A$1:$A$342, PO_LOG[[#This Row],[LINE]]) &gt; 0,
      INDEX('Line No'!$B$1:$B$342, MATCH(PO_LOG[[#This Row],[LINE]], 'Line No'!$A$1:$A$342, 0)),
      IF(PO_LOG[[#This Row],[LINE]]="PC", "Petty Cash Log",
      IF(PO_LOG[[#This Row],[LINE]]="PR", "Payroll Log",
      "LINE CODE NOT VALID"))))</f>
        <v/>
      </c>
      <c r="H197" s="127"/>
    </row>
    <row r="198" spans="1:8">
      <c r="A198" s="106"/>
      <c r="B198" s="106"/>
      <c r="C198" s="106"/>
      <c r="D198" s="107"/>
      <c r="E198" s="108"/>
      <c r="F198" s="109"/>
      <c r="G198" s="106" t="str">
        <f>IF(ISBLANK(PO_LOG[[#This Row],[LINE]]), "",
   IF(COUNTIF('Line No'!$A$1:$A$342, PO_LOG[[#This Row],[LINE]]) &gt; 0,
      INDEX('Line No'!$B$1:$B$342, MATCH(PO_LOG[[#This Row],[LINE]], 'Line No'!$A$1:$A$342, 0)),
      IF(PO_LOG[[#This Row],[LINE]]="PC", "Petty Cash Log",
      IF(PO_LOG[[#This Row],[LINE]]="PR", "Payroll Log",
      "LINE CODE NOT VALID"))))</f>
        <v/>
      </c>
      <c r="H198" s="127"/>
    </row>
    <row r="199" spans="1:8">
      <c r="A199" s="106"/>
      <c r="B199" s="106"/>
      <c r="C199" s="106"/>
      <c r="D199" s="107"/>
      <c r="E199" s="108"/>
      <c r="F199" s="109"/>
      <c r="G199" s="106" t="str">
        <f>IF(ISBLANK(PO_LOG[[#This Row],[LINE]]), "",
   IF(COUNTIF('Line No'!$A$1:$A$342, PO_LOG[[#This Row],[LINE]]) &gt; 0,
      INDEX('Line No'!$B$1:$B$342, MATCH(PO_LOG[[#This Row],[LINE]], 'Line No'!$A$1:$A$342, 0)),
      IF(PO_LOG[[#This Row],[LINE]]="PC", "Petty Cash Log",
      IF(PO_LOG[[#This Row],[LINE]]="PR", "Payroll Log",
      "LINE CODE NOT VALID"))))</f>
        <v/>
      </c>
      <c r="H199" s="127"/>
    </row>
    <row r="200" spans="1:8">
      <c r="A200" s="106"/>
      <c r="B200" s="106"/>
      <c r="C200" s="106"/>
      <c r="D200" s="107"/>
      <c r="E200" s="108"/>
      <c r="F200" s="109"/>
      <c r="G200" s="106" t="str">
        <f>IF(ISBLANK(PO_LOG[[#This Row],[LINE]]), "",
   IF(COUNTIF('Line No'!$A$1:$A$342, PO_LOG[[#This Row],[LINE]]) &gt; 0,
      INDEX('Line No'!$B$1:$B$342, MATCH(PO_LOG[[#This Row],[LINE]], 'Line No'!$A$1:$A$342, 0)),
      IF(PO_LOG[[#This Row],[LINE]]="PC", "Petty Cash Log",
      IF(PO_LOG[[#This Row],[LINE]]="PR", "Payroll Log",
      "LINE CODE NOT VALID"))))</f>
        <v/>
      </c>
      <c r="H200" s="127"/>
    </row>
    <row r="201" spans="1:8">
      <c r="A201" s="106"/>
      <c r="B201" s="106"/>
      <c r="C201" s="106"/>
      <c r="D201" s="107"/>
      <c r="E201" s="108"/>
      <c r="F201" s="109"/>
      <c r="G201" s="106" t="str">
        <f>IF(ISBLANK(PO_LOG[[#This Row],[LINE]]), "",
   IF(COUNTIF('Line No'!$A$1:$A$342, PO_LOG[[#This Row],[LINE]]) &gt; 0,
      INDEX('Line No'!$B$1:$B$342, MATCH(PO_LOG[[#This Row],[LINE]], 'Line No'!$A$1:$A$342, 0)),
      IF(PO_LOG[[#This Row],[LINE]]="PC", "Petty Cash Log",
      IF(PO_LOG[[#This Row],[LINE]]="PR", "Payroll Log",
      "LINE CODE NOT VALID"))))</f>
        <v/>
      </c>
      <c r="H201" s="127"/>
    </row>
    <row r="202" spans="1:8">
      <c r="A202" s="106"/>
      <c r="B202" s="106"/>
      <c r="C202" s="106"/>
      <c r="D202" s="107"/>
      <c r="E202" s="108"/>
      <c r="F202" s="109"/>
      <c r="G202" s="106" t="str">
        <f>IF(ISBLANK(PO_LOG[[#This Row],[LINE]]), "",
   IF(COUNTIF('Line No'!$A$1:$A$342, PO_LOG[[#This Row],[LINE]]) &gt; 0,
      INDEX('Line No'!$B$1:$B$342, MATCH(PO_LOG[[#This Row],[LINE]], 'Line No'!$A$1:$A$342, 0)),
      IF(PO_LOG[[#This Row],[LINE]]="PC", "Petty Cash Log",
      IF(PO_LOG[[#This Row],[LINE]]="PR", "Payroll Log",
      "LINE CODE NOT VALID"))))</f>
        <v/>
      </c>
      <c r="H202" s="127"/>
    </row>
    <row r="203" spans="1:8">
      <c r="A203" s="106"/>
      <c r="B203" s="106"/>
      <c r="C203" s="106"/>
      <c r="D203" s="107"/>
      <c r="E203" s="108"/>
      <c r="F203" s="109"/>
      <c r="G203" s="106" t="str">
        <f>IF(ISBLANK(PO_LOG[[#This Row],[LINE]]), "",
   IF(COUNTIF('Line No'!$A$1:$A$342, PO_LOG[[#This Row],[LINE]]) &gt; 0,
      INDEX('Line No'!$B$1:$B$342, MATCH(PO_LOG[[#This Row],[LINE]], 'Line No'!$A$1:$A$342, 0)),
      IF(PO_LOG[[#This Row],[LINE]]="PC", "Petty Cash Log",
      IF(PO_LOG[[#This Row],[LINE]]="PR", "Payroll Log",
      "LINE CODE NOT VALID"))))</f>
        <v/>
      </c>
      <c r="H203" s="127"/>
    </row>
    <row r="204" spans="1:8">
      <c r="A204" s="110"/>
      <c r="B204" s="111"/>
      <c r="C204" s="110"/>
      <c r="D204" s="112"/>
      <c r="E204" s="110"/>
      <c r="F204" s="113"/>
      <c r="G204" s="106" t="str">
        <f>IF(ISBLANK(PO_LOG[[#This Row],[LINE]]), "",
   IF(COUNTIF('Line No'!$A$1:$A$342, PO_LOG[[#This Row],[LINE]]) &gt; 0,
      INDEX('Line No'!$B$1:$B$342, MATCH(PO_LOG[[#This Row],[LINE]], 'Line No'!$A$1:$A$342, 0)),
      IF(PO_LOG[[#This Row],[LINE]]="PC", "Petty Cash Log",
      IF(PO_LOG[[#This Row],[LINE]]="PR", "Payroll Log",
      "LINE CODE NOT VALID"))))</f>
        <v/>
      </c>
      <c r="H204" s="127"/>
    </row>
    <row r="205" spans="1:8">
      <c r="A205" s="110"/>
      <c r="B205" s="111"/>
      <c r="C205" s="110"/>
      <c r="D205" s="112"/>
      <c r="E205" s="110"/>
      <c r="F205" s="113"/>
      <c r="G205" s="106" t="str">
        <f>IF(ISBLANK(PO_LOG[[#This Row],[LINE]]), "",
   IF(COUNTIF('Line No'!$A$1:$A$342, PO_LOG[[#This Row],[LINE]]) &gt; 0,
      INDEX('Line No'!$B$1:$B$342, MATCH(PO_LOG[[#This Row],[LINE]], 'Line No'!$A$1:$A$342, 0)),
      IF(PO_LOG[[#This Row],[LINE]]="PC", "Petty Cash Log",
      IF(PO_LOG[[#This Row],[LINE]]="PR", "Payroll Log",
      "LINE CODE NOT VALID"))))</f>
        <v/>
      </c>
      <c r="H205" s="127"/>
    </row>
    <row r="206" spans="1:8">
      <c r="A206" s="110"/>
      <c r="B206" s="111"/>
      <c r="C206" s="110"/>
      <c r="D206" s="112"/>
      <c r="E206" s="110"/>
      <c r="F206" s="113"/>
      <c r="G206" s="106" t="str">
        <f>IF(ISBLANK(PO_LOG[[#This Row],[LINE]]), "",
   IF(COUNTIF('Line No'!$A$1:$A$342, PO_LOG[[#This Row],[LINE]]) &gt; 0,
      INDEX('Line No'!$B$1:$B$342, MATCH(PO_LOG[[#This Row],[LINE]], 'Line No'!$A$1:$A$342, 0)),
      IF(PO_LOG[[#This Row],[LINE]]="PC", "Petty Cash Log",
      IF(PO_LOG[[#This Row],[LINE]]="PR", "Payroll Log",
      "LINE CODE NOT VALID"))))</f>
        <v/>
      </c>
      <c r="H206" s="127"/>
    </row>
    <row r="207" spans="1:8">
      <c r="A207" s="110"/>
      <c r="B207" s="111"/>
      <c r="C207" s="110"/>
      <c r="D207" s="112"/>
      <c r="E207" s="110"/>
      <c r="F207" s="113"/>
      <c r="G207" s="106" t="str">
        <f>IF(ISBLANK(PO_LOG[[#This Row],[LINE]]), "",
   IF(COUNTIF('Line No'!$A$1:$A$342, PO_LOG[[#This Row],[LINE]]) &gt; 0,
      INDEX('Line No'!$B$1:$B$342, MATCH(PO_LOG[[#This Row],[LINE]], 'Line No'!$A$1:$A$342, 0)),
      IF(PO_LOG[[#This Row],[LINE]]="PC", "Petty Cash Log",
      IF(PO_LOG[[#This Row],[LINE]]="PR", "Payroll Log",
      "LINE CODE NOT VALID"))))</f>
        <v/>
      </c>
      <c r="H207" s="127"/>
    </row>
    <row r="208" spans="1:8">
      <c r="A208" s="106"/>
      <c r="B208" s="108"/>
      <c r="C208" s="106"/>
      <c r="D208" s="107"/>
      <c r="E208" s="108"/>
      <c r="F208" s="109"/>
      <c r="G208" s="106" t="str">
        <f>IF(ISBLANK(PO_LOG[[#This Row],[LINE]]), "",
   IF(COUNTIF('Line No'!$A$1:$A$342, PO_LOG[[#This Row],[LINE]]) &gt; 0,
      INDEX('Line No'!$B$1:$B$342, MATCH(PO_LOG[[#This Row],[LINE]], 'Line No'!$A$1:$A$342, 0)),
      IF(PO_LOG[[#This Row],[LINE]]="PC", "Petty Cash Log",
      IF(PO_LOG[[#This Row],[LINE]]="PR", "Payroll Log",
      "LINE CODE NOT VALID"))))</f>
        <v/>
      </c>
      <c r="H208" s="127"/>
    </row>
    <row r="209" spans="1:8">
      <c r="A209" s="129"/>
      <c r="B209" s="129"/>
      <c r="C209" s="129"/>
      <c r="D209" s="124"/>
      <c r="E209" s="106"/>
      <c r="F209" s="130"/>
      <c r="G209" s="106" t="str">
        <f>IF(ISBLANK(PO_LOG[[#This Row],[LINE]]), "",
   IF(COUNTIF('Line No'!$A$1:$A$342, PO_LOG[[#This Row],[LINE]]) &gt; 0,
      INDEX('Line No'!$B$1:$B$342, MATCH(PO_LOG[[#This Row],[LINE]], 'Line No'!$A$1:$A$342, 0)),
      IF(PO_LOG[[#This Row],[LINE]]="PC", "Petty Cash Log",
      IF(PO_LOG[[#This Row],[LINE]]="PR", "Payroll Log",
      "LINE CODE NOT VALID"))))</f>
        <v/>
      </c>
      <c r="H209" s="127"/>
    </row>
    <row r="210" spans="1:8">
      <c r="A210" s="129"/>
      <c r="B210" s="129"/>
      <c r="C210" s="129"/>
      <c r="D210" s="124"/>
      <c r="E210" s="106"/>
      <c r="F210" s="130"/>
      <c r="G210" s="106" t="str">
        <f>IF(ISBLANK(PO_LOG[[#This Row],[LINE]]), "",
   IF(COUNTIF('Line No'!$A$1:$A$342, PO_LOG[[#This Row],[LINE]]) &gt; 0,
      INDEX('Line No'!$B$1:$B$342, MATCH(PO_LOG[[#This Row],[LINE]], 'Line No'!$A$1:$A$342, 0)),
      IF(PO_LOG[[#This Row],[LINE]]="PC", "Petty Cash Log",
      IF(PO_LOG[[#This Row],[LINE]]="PR", "Payroll Log",
      "LINE CODE NOT VALID"))))</f>
        <v/>
      </c>
      <c r="H210" s="127"/>
    </row>
    <row r="211" spans="1:8">
      <c r="A211" s="106"/>
      <c r="B211" s="106"/>
      <c r="C211" s="106"/>
      <c r="D211" s="107"/>
      <c r="E211" s="116"/>
      <c r="F211" s="109"/>
      <c r="G211" s="106" t="str">
        <f>IF(ISBLANK(PO_LOG[[#This Row],[LINE]]), "",
   IF(COUNTIF('Line No'!$A$1:$A$342, PO_LOG[[#This Row],[LINE]]) &gt; 0,
      INDEX('Line No'!$B$1:$B$342, MATCH(PO_LOG[[#This Row],[LINE]], 'Line No'!$A$1:$A$342, 0)),
      IF(PO_LOG[[#This Row],[LINE]]="PC", "Petty Cash Log",
      IF(PO_LOG[[#This Row],[LINE]]="PR", "Payroll Log",
      "LINE CODE NOT VALID"))))</f>
        <v/>
      </c>
      <c r="H211" s="127"/>
    </row>
    <row r="213" spans="1:8">
      <c r="E213" s="84" t="s">
        <v>21</v>
      </c>
      <c r="F213" s="77">
        <f>SUM('PO Log'!$F$9:$F$211)</f>
        <v>0</v>
      </c>
    </row>
  </sheetData>
  <mergeCells count="1">
    <mergeCell ref="A4:H4"/>
  </mergeCells>
  <conditionalFormatting sqref="G9:G211">
    <cfRule type="containsText" dxfId="4" priority="1" operator="containsText" text="zzzz">
      <formula>NOT(ISERROR(SEARCH("zzzz",G9)))</formula>
    </cfRule>
  </conditionalFormatting>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173" r:id="rId3" name="Button 5">
              <controlPr defaultSize="0" print="0" autoFill="0" autoPict="0" macro="[0]!InsertNewRow">
                <anchor moveWithCells="1" sizeWithCells="1">
                  <from>
                    <xdr:col>6</xdr:col>
                    <xdr:colOff>660400</xdr:colOff>
                    <xdr:row>0</xdr:row>
                    <xdr:rowOff>279400</xdr:rowOff>
                  </from>
                  <to>
                    <xdr:col>6</xdr:col>
                    <xdr:colOff>2184400</xdr:colOff>
                    <xdr:row>0</xdr:row>
                    <xdr:rowOff>660400</xdr:rowOff>
                  </to>
                </anchor>
              </controlPr>
            </control>
          </mc:Choice>
        </mc:AlternateContent>
        <mc:AlternateContent xmlns:mc="http://schemas.openxmlformats.org/markup-compatibility/2006">
          <mc:Choice Requires="x14">
            <control shapeId="7174" r:id="rId4" name="Button 6">
              <controlPr defaultSize="0" print="0" autoFill="0" autoPict="0" macro="[0]!DeleteLastRow">
                <anchor moveWithCells="1" sizeWithCells="1">
                  <from>
                    <xdr:col>2</xdr:col>
                    <xdr:colOff>609600</xdr:colOff>
                    <xdr:row>0</xdr:row>
                    <xdr:rowOff>241300</xdr:rowOff>
                  </from>
                  <to>
                    <xdr:col>4</xdr:col>
                    <xdr:colOff>482600</xdr:colOff>
                    <xdr:row>0</xdr:row>
                    <xdr:rowOff>622300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9B559-B6EE-1C44-8B32-BF2F2B29A03C}">
  <sheetPr codeName="Sheet7">
    <pageSetUpPr fitToPage="1"/>
  </sheetPr>
  <dimension ref="A1:AK52"/>
  <sheetViews>
    <sheetView topLeftCell="A17" zoomScale="75" zoomScaleNormal="110" workbookViewId="0">
      <selection activeCell="R45" sqref="R45"/>
    </sheetView>
    <sheetView workbookViewId="1"/>
  </sheetViews>
  <sheetFormatPr baseColWidth="10" defaultColWidth="8.83203125" defaultRowHeight="14"/>
  <cols>
    <col min="1" max="1" width="0.83203125" style="1" customWidth="1"/>
    <col min="2" max="2" width="10.1640625" style="1" customWidth="1"/>
    <col min="3" max="3" width="14.6640625" style="1" customWidth="1"/>
    <col min="4" max="4" width="10.1640625" style="1" customWidth="1"/>
    <col min="5" max="5" width="13.5" style="1" customWidth="1"/>
    <col min="6" max="6" width="11.6640625" style="1" bestFit="1" customWidth="1"/>
    <col min="7" max="7" width="10.1640625" style="1" customWidth="1"/>
    <col min="8" max="8" width="18.83203125" style="1" customWidth="1"/>
    <col min="9" max="9" width="13.33203125" style="1" customWidth="1"/>
    <col min="10" max="10" width="2.1640625" style="1" customWidth="1"/>
    <col min="11" max="11" width="6.1640625" style="1" customWidth="1"/>
    <col min="12" max="12" width="8" style="1" customWidth="1"/>
    <col min="13" max="13" width="10.33203125" style="1" customWidth="1"/>
    <col min="14" max="14" width="11.1640625" style="1" bestFit="1" customWidth="1"/>
    <col min="15" max="15" width="11.83203125" style="1" customWidth="1"/>
    <col min="16" max="16" width="11" style="1" customWidth="1"/>
    <col min="17" max="17" width="11.83203125" style="1" customWidth="1"/>
    <col min="18" max="18" width="23.83203125" style="1" customWidth="1"/>
    <col min="19" max="19" width="6.6640625" style="1" customWidth="1"/>
    <col min="20" max="26" width="8.83203125" style="1"/>
    <col min="27" max="27" width="8.83203125" style="1" customWidth="1"/>
    <col min="28" max="16384" width="8.83203125" style="1"/>
  </cols>
  <sheetData>
    <row r="1" spans="1:37" ht="45" customHeight="1">
      <c r="A1" s="137"/>
      <c r="B1" s="271" t="s">
        <v>261</v>
      </c>
      <c r="C1" s="271"/>
      <c r="D1" s="271"/>
      <c r="E1" s="271"/>
      <c r="G1" s="189"/>
      <c r="H1" s="189"/>
      <c r="I1" s="190"/>
      <c r="X1" s="247" t="s">
        <v>320</v>
      </c>
    </row>
    <row r="2" spans="1:37" ht="12.75" customHeight="1">
      <c r="A2" s="138"/>
      <c r="B2" s="191"/>
      <c r="C2" s="139"/>
      <c r="D2" s="140"/>
      <c r="E2" s="140"/>
      <c r="F2" s="140"/>
      <c r="G2" s="140"/>
      <c r="H2" s="141"/>
      <c r="I2" s="192"/>
      <c r="S2" s="247" t="s">
        <v>322</v>
      </c>
      <c r="X2" s="248" t="s">
        <v>321</v>
      </c>
      <c r="Y2" s="248"/>
      <c r="Z2" s="248"/>
      <c r="AA2" s="248"/>
    </row>
    <row r="3" spans="1:37" ht="22">
      <c r="A3" s="138"/>
      <c r="B3" s="193" t="s">
        <v>14</v>
      </c>
      <c r="C3" s="142"/>
      <c r="D3" s="143"/>
      <c r="E3" s="143"/>
      <c r="F3" s="144" t="s">
        <v>13</v>
      </c>
      <c r="G3" s="105" t="s">
        <v>243</v>
      </c>
      <c r="H3" s="105"/>
      <c r="I3" s="194"/>
      <c r="J3" s="104"/>
      <c r="K3" s="104"/>
      <c r="L3" s="104"/>
      <c r="M3" s="240" t="s">
        <v>306</v>
      </c>
      <c r="N3" s="242" t="s">
        <v>307</v>
      </c>
      <c r="O3" s="242" t="s">
        <v>308</v>
      </c>
      <c r="P3" s="242" t="s">
        <v>309</v>
      </c>
      <c r="S3" s="240" t="s">
        <v>318</v>
      </c>
      <c r="AB3" s="1" t="s">
        <v>323</v>
      </c>
    </row>
    <row r="4" spans="1:37" s="3" customFormat="1" ht="29" customHeight="1">
      <c r="A4" s="145"/>
      <c r="B4" s="195"/>
      <c r="C4" s="146"/>
      <c r="D4" s="146"/>
      <c r="E4" s="146"/>
      <c r="F4" s="146"/>
      <c r="G4" s="146"/>
      <c r="H4" s="147"/>
      <c r="I4" s="196"/>
      <c r="M4" s="4" cm="1">
        <f t="array" ref="M4:M9">IFERROR(
INDEX(
_xlfn._xlws.FILTER(
_xlfn.UNIQUE(
LineEntry,
),_xlfn.UNIQUE(
LineEntry,
)&lt;&gt;0
),_xlfn.SEQUENCE(6,1)
),"")</f>
        <v>204</v>
      </c>
      <c r="N4" s="4" cm="1">
        <f t="array" ref="N4">SUMPRODUCT(--(TRIM(M4:M12)&lt;&gt;""))</f>
        <v>4</v>
      </c>
      <c r="O4" s="4" t="str" cm="1">
        <f t="array" ref="O4:O6">_xlfn._xlws.SORT(INDEX(U7:U16, 1):INDEX(U7:U9, V7), 1, TRUE)</f>
        <v/>
      </c>
      <c r="P4" s="4" t="str" cm="1">
        <f t="array" ref="P4">IF(O4="","",IFERROR(INDEX(Description, MATCH(O4, Line, 0)), "Not Found"))</f>
        <v/>
      </c>
      <c r="S4" s="245" cm="1">
        <f t="array" ref="S4:U9">IFERROR(
    INDEX(
        _xlfn._xlws.FILTER(
            _xlfn.UNIQUE(_xlfn.HSTACK(LineEntry, DateEntry, PayIDEntry)),
            _xlfn.BYROW(_xlfn.UNIQUE(_xlfn.HSTACK(LineEntry, DateEntry, PayIDEntry)), _xlfn.LAMBDA(_xlpm.row, SUM(_xlpm.row)&lt;&gt;0))
        ),
        _xlfn.SEQUENCE(6,1),
        {1,2,3}
    ),
    ""
)</f>
        <v>204</v>
      </c>
      <c r="T4" s="253">
        <v>45849</v>
      </c>
      <c r="U4" s="245" t="str">
        <v>CC 2456</v>
      </c>
      <c r="AB4" s="294" t="s">
        <v>334</v>
      </c>
      <c r="AD4" s="3" t="str" cm="1">
        <f t="array" ref="AD4">IFERROR(
    _xlfn.WRAPCOLS(
        INDEX(
            _xlfn._xlws.FILTER(
                _xlfn.UNIQUE(_xlfn.HSTACK(LineEntry, DateEntry, PayIDEntry)),
                _xlfn.BYROW(_xlfn.UNIQUE(_xlfn.HSTACK(LineEntry, DateEntry, PayIDEntry)), _xlfn.LAMBDA(_xlpm.row, SUM(_xlpm.row)&lt;&gt;0))
            ),
            _xlfn.SEQUENCE(6,1),
            {1,2,3}
        ),
        3
    ),
    ""
)</f>
        <v/>
      </c>
      <c r="AF4" s="3" cm="1">
        <f t="array" ref="AF4:AK6">IFERROR(
    _xlfn.WRAPCOLS(
        _xlfn.TOCOL(
            INDEX(
                _xlfn._xlws.FILTER(
                    _xlfn.UNIQUE(_xlfn.HSTACK(LineEntry, DateEntry, PayIDEntry)),
                    _xlfn.BYROW(_xlfn.UNIQUE(_xlfn.HSTACK(LineEntry, DateEntry, PayIDEntry)), _xlfn.LAMBDA(_xlpm.row, SUM(_xlpm.row)&lt;&gt;0))
                ),
                _xlfn.SEQUENCE(6,1),
                {1,2,3}
            )
        ),
        3
    ),
    ""
)</f>
        <v>204</v>
      </c>
      <c r="AG4" s="3">
        <v>205</v>
      </c>
      <c r="AH4" s="3">
        <v>112</v>
      </c>
      <c r="AI4" s="3">
        <v>1</v>
      </c>
      <c r="AJ4" s="3" t="str">
        <v/>
      </c>
      <c r="AK4" s="3" t="str">
        <v/>
      </c>
    </row>
    <row r="5" spans="1:37" s="4" customFormat="1" ht="16" customHeight="1">
      <c r="A5" s="148"/>
      <c r="B5" s="197" t="s">
        <v>262</v>
      </c>
      <c r="C5" s="133"/>
      <c r="D5" s="134"/>
      <c r="E5" s="149"/>
      <c r="F5" s="149"/>
      <c r="G5" s="149"/>
      <c r="H5" s="149"/>
      <c r="I5" s="198"/>
      <c r="M5" s="4">
        <v>205</v>
      </c>
      <c r="O5" s="4" t="str">
        <v/>
      </c>
      <c r="P5" s="4" t="str" cm="1">
        <f t="array" ref="P5">IF(O5="","",IFERROR(INDEX(Description, MATCH(O5, Line, 0)), "Not Found"))</f>
        <v/>
      </c>
      <c r="S5" s="246">
        <v>205</v>
      </c>
      <c r="T5" s="254">
        <v>45849</v>
      </c>
      <c r="U5" s="246" t="str">
        <v>CC 2456</v>
      </c>
      <c r="W5" t="e" cm="1">
        <f t="array" ref="W5">_xlfn._xlws.FILTER(_xlfn.UNIQUE(_xlfn.HSTACK(LineEntry, DateEntry, PayIDEntry)), _xlfn.UNIQUE(_xlfn.HSTACK(LineEntry, DateEntry, PayIDEntry))&lt;&gt;0)</f>
        <v>#VALUE!</v>
      </c>
      <c r="AF5" s="4">
        <v>45849</v>
      </c>
      <c r="AG5" s="4">
        <v>45849</v>
      </c>
      <c r="AH5" s="4">
        <v>45848</v>
      </c>
      <c r="AI5" s="4">
        <v>45849</v>
      </c>
      <c r="AJ5" s="4" t="str">
        <v/>
      </c>
      <c r="AK5" s="4" t="str">
        <v/>
      </c>
    </row>
    <row r="6" spans="1:37" s="4" customFormat="1" ht="16">
      <c r="A6" s="148"/>
      <c r="B6" s="199"/>
      <c r="C6" s="135"/>
      <c r="D6" s="136"/>
      <c r="E6" s="149"/>
      <c r="F6" s="149"/>
      <c r="G6" s="149"/>
      <c r="H6" s="149"/>
      <c r="I6" s="200"/>
      <c r="M6" s="4">
        <v>112</v>
      </c>
      <c r="O6" s="4" t="str">
        <v>CASH</v>
      </c>
      <c r="P6" s="4" t="str" cm="1">
        <f t="array" ref="P6">IF(O6="","",IFERROR(INDEX(Description, MATCH(O6, Line, 0)), "Not Found"))</f>
        <v>Not Found</v>
      </c>
      <c r="S6" s="246">
        <v>112</v>
      </c>
      <c r="T6" s="254">
        <v>45848</v>
      </c>
      <c r="U6" s="246" t="str">
        <v>CHK 101</v>
      </c>
      <c r="AF6" s="4" t="str">
        <v>CC 2456</v>
      </c>
      <c r="AG6" s="4" t="str">
        <v>CC 2456</v>
      </c>
      <c r="AH6" s="4" t="str">
        <v>CHK 101</v>
      </c>
      <c r="AI6" s="4" t="str">
        <v>CASH</v>
      </c>
      <c r="AJ6" s="4" t="str">
        <v/>
      </c>
      <c r="AK6" s="4" t="str">
        <v/>
      </c>
    </row>
    <row r="7" spans="1:37" s="4" customFormat="1" ht="16">
      <c r="A7" s="148"/>
      <c r="B7" s="201"/>
      <c r="C7" s="150"/>
      <c r="D7" s="151"/>
      <c r="E7" s="151"/>
      <c r="F7" s="152"/>
      <c r="G7" s="152"/>
      <c r="H7" s="152"/>
      <c r="I7" s="202"/>
      <c r="M7" s="4">
        <v>1</v>
      </c>
      <c r="P7" s="4" t="str" cm="1">
        <f t="array" ref="P7">IF(O7="","",IFERROR(INDEX(Description, MATCH(O7, Line, 0)), "Not Found"))</f>
        <v/>
      </c>
      <c r="S7" s="246">
        <v>1</v>
      </c>
      <c r="T7" s="254">
        <v>45849</v>
      </c>
      <c r="U7" s="246" t="str">
        <v>CASH</v>
      </c>
    </row>
    <row r="8" spans="1:37" s="4" customFormat="1" ht="16">
      <c r="A8" s="148"/>
      <c r="B8" s="203"/>
      <c r="C8" s="153"/>
      <c r="D8" s="154"/>
      <c r="E8" s="154"/>
      <c r="F8" s="152"/>
      <c r="G8" s="152"/>
      <c r="H8" s="152"/>
      <c r="I8" s="202"/>
      <c r="M8" s="4" t="str">
        <v/>
      </c>
      <c r="P8" s="4" t="str" cm="1">
        <f t="array" ref="P8">IF(O8="","",IFERROR(INDEX(Description, MATCH(O8, Line, 0)), "Not Found"))</f>
        <v/>
      </c>
      <c r="S8" s="246" t="str">
        <v/>
      </c>
      <c r="T8" s="254" t="str">
        <v/>
      </c>
      <c r="U8" s="246" t="str">
        <v/>
      </c>
    </row>
    <row r="9" spans="1:37" s="4" customFormat="1" ht="16">
      <c r="A9" s="148"/>
      <c r="B9" s="204" t="s">
        <v>12</v>
      </c>
      <c r="C9" s="99" t="str">
        <f>IFERROR(
    IF(ISNUMBER(MATCH(Sheet_PO, PO_LOG[[#All],[PO]], 0)),
       IF(INDEX(PO_LOG[DATE], MATCH(Sheet_PO, PO_LOG[[#All],[PO]], 0)) = "", "",
          INDEX(PO_LOG[DATE], MATCH(Sheet_PO, PO_LOG[[#All],[PO]], 0))),
       ""),
    "No match found")</f>
        <v/>
      </c>
      <c r="D9" s="99"/>
      <c r="E9" s="155" t="s">
        <v>11</v>
      </c>
      <c r="F9" s="100" t="str">
        <f>IF(TRIM(Job_Number)="", "", Job_Number)</f>
        <v/>
      </c>
      <c r="G9" s="100"/>
      <c r="H9" s="100"/>
      <c r="I9" s="205"/>
      <c r="M9" s="4" t="str">
        <v/>
      </c>
      <c r="P9" s="4" t="str" cm="1">
        <f t="array" ref="P9">IF(O9="","",IFERROR(INDEX(Description, MATCH(O9, Line, 0)), "Not Found"))</f>
        <v/>
      </c>
      <c r="S9" s="246" t="str">
        <v/>
      </c>
      <c r="T9" s="254" t="str">
        <v/>
      </c>
      <c r="U9" s="246" t="str">
        <v/>
      </c>
      <c r="W9" s="4" t="b" cm="1">
        <f t="array" ref="W9:Y13">_xlfn.UNIQUE(_xlfn.HSTACK(LineEntry,DateEntry,PayIDEntry))&lt;&gt;0</f>
        <v>1</v>
      </c>
      <c r="X9" s="4" t="b">
        <v>1</v>
      </c>
      <c r="Y9" s="4" t="b">
        <v>1</v>
      </c>
    </row>
    <row r="10" spans="1:37" s="4" customFormat="1" ht="14" customHeight="1">
      <c r="A10" s="148"/>
      <c r="B10" s="204" t="s">
        <v>10</v>
      </c>
      <c r="C10" s="101" t="s">
        <v>331</v>
      </c>
      <c r="D10" s="101"/>
      <c r="E10" s="155" t="s">
        <v>9</v>
      </c>
      <c r="F10" s="102" t="str">
        <f>IF(TRIM(Job_Name)="", "", Job_Name)</f>
        <v/>
      </c>
      <c r="G10" s="102"/>
      <c r="H10" s="102"/>
      <c r="I10" s="206"/>
      <c r="L10" s="3"/>
      <c r="P10" s="4" t="str" cm="1">
        <f t="array" ref="P10">IF(O10="","",IFERROR(INDEX(Description, MATCH(O10, Line, 0)), "Not Found"))</f>
        <v/>
      </c>
      <c r="W10" s="4" t="b">
        <v>1</v>
      </c>
      <c r="X10" s="4" t="b">
        <v>1</v>
      </c>
      <c r="Y10" s="4" t="b">
        <v>1</v>
      </c>
    </row>
    <row r="11" spans="1:37" s="4" customFormat="1" ht="17">
      <c r="A11" s="148"/>
      <c r="B11" s="207"/>
      <c r="C11" s="101"/>
      <c r="D11" s="101"/>
      <c r="E11" s="156"/>
      <c r="F11" s="157"/>
      <c r="G11" s="157"/>
      <c r="H11" s="157"/>
      <c r="I11" s="208"/>
      <c r="P11" s="4" t="str" cm="1">
        <f t="array" ref="P11">IF(O11="","",IFERROR(INDEX(Description, MATCH(O11, Line, 0)), "Not Found"))</f>
        <v/>
      </c>
      <c r="S11" s="244" t="b" cm="1">
        <f t="array" ref="S11:U15">_xlfn.UNIQUE(_xlfn.HSTACK(LineEntry, DateEntry, PayIDEntry))&lt;&gt;0</f>
        <v>1</v>
      </c>
      <c r="T11" s="4" t="b">
        <v>1</v>
      </c>
      <c r="U11" s="4" t="b">
        <v>1</v>
      </c>
      <c r="W11" s="4" t="b">
        <v>1</v>
      </c>
      <c r="X11" s="4" t="b">
        <v>1</v>
      </c>
      <c r="Y11" s="4" t="b">
        <v>1</v>
      </c>
    </row>
    <row r="12" spans="1:37" s="4" customFormat="1" ht="22" customHeight="1">
      <c r="A12" s="148"/>
      <c r="B12" s="204" t="s">
        <v>8</v>
      </c>
      <c r="C12" s="101"/>
      <c r="D12" s="101"/>
      <c r="E12" s="155" t="s">
        <v>7</v>
      </c>
      <c r="F12" s="7"/>
      <c r="G12" s="7"/>
      <c r="H12" s="7"/>
      <c r="I12" s="209"/>
      <c r="P12" s="4" t="str" cm="1">
        <f t="array" ref="P12">IF(O12="","",IFERROR(INDEX(Description, MATCH(O12, Line, 0)), "Not Found"))</f>
        <v/>
      </c>
      <c r="S12" s="4" t="b">
        <v>1</v>
      </c>
      <c r="T12" s="4" t="b">
        <v>1</v>
      </c>
      <c r="U12" s="4" t="b">
        <v>1</v>
      </c>
      <c r="W12" s="4" t="b">
        <v>1</v>
      </c>
      <c r="X12" s="4" t="b">
        <v>1</v>
      </c>
      <c r="Y12" s="4" t="b">
        <v>1</v>
      </c>
    </row>
    <row r="13" spans="1:37" s="4" customFormat="1" ht="16">
      <c r="A13" s="148"/>
      <c r="B13" s="210"/>
      <c r="C13" s="101"/>
      <c r="D13" s="101"/>
      <c r="F13" s="94"/>
      <c r="G13" s="95"/>
      <c r="H13" s="95"/>
      <c r="I13" s="211"/>
      <c r="P13" s="4" t="str" cm="1">
        <f t="array" ref="P13">IF(O13="","",IFERROR(INDEX(Description, MATCH(O13, Line, 0)), "Not Found"))</f>
        <v/>
      </c>
      <c r="S13" s="4" t="b">
        <v>1</v>
      </c>
      <c r="T13" s="4" t="b">
        <v>1</v>
      </c>
      <c r="U13" s="4" t="b">
        <v>1</v>
      </c>
      <c r="W13" s="4" t="b">
        <v>0</v>
      </c>
      <c r="X13" s="4" t="b">
        <v>0</v>
      </c>
      <c r="Y13" s="4" t="b">
        <v>0</v>
      </c>
    </row>
    <row r="14" spans="1:37" s="4" customFormat="1" ht="16">
      <c r="A14" s="148"/>
      <c r="B14" s="210"/>
      <c r="C14" s="103"/>
      <c r="D14" s="103"/>
      <c r="E14" s="155" t="s">
        <v>268</v>
      </c>
      <c r="F14" s="94"/>
      <c r="G14" s="95"/>
      <c r="H14" s="95"/>
      <c r="I14" s="211"/>
      <c r="S14" s="4" t="b">
        <v>1</v>
      </c>
      <c r="T14" s="4" t="b">
        <v>1</v>
      </c>
      <c r="U14" s="4" t="b">
        <v>1</v>
      </c>
    </row>
    <row r="15" spans="1:37" s="4" customFormat="1" ht="16">
      <c r="A15" s="148"/>
      <c r="B15" s="212"/>
      <c r="C15" s="158"/>
      <c r="D15" s="158"/>
      <c r="E15" s="157"/>
      <c r="F15" s="157"/>
      <c r="G15" s="157"/>
      <c r="H15" s="157"/>
      <c r="I15" s="208"/>
      <c r="S15" s="4" t="b">
        <v>0</v>
      </c>
      <c r="T15" s="4" t="b">
        <v>0</v>
      </c>
      <c r="U15" s="4" t="b">
        <v>0</v>
      </c>
    </row>
    <row r="16" spans="1:37" s="3" customFormat="1" ht="23" customHeight="1">
      <c r="A16" s="145"/>
      <c r="B16" s="213" t="s">
        <v>6</v>
      </c>
      <c r="C16" s="159"/>
      <c r="D16" s="159"/>
      <c r="E16" s="159"/>
      <c r="F16" s="159"/>
      <c r="G16" s="182"/>
      <c r="H16" s="86"/>
      <c r="I16" s="214"/>
    </row>
    <row r="17" spans="1:30" s="3" customFormat="1" ht="23" customHeight="1">
      <c r="A17" s="145"/>
      <c r="B17" s="213"/>
      <c r="C17" s="183"/>
      <c r="D17" s="183"/>
      <c r="E17" s="183"/>
      <c r="F17" s="183"/>
      <c r="G17" s="184"/>
      <c r="H17" s="86"/>
      <c r="I17" s="214"/>
      <c r="T17" s="244" t="s">
        <v>319</v>
      </c>
    </row>
    <row r="18" spans="1:30" s="3" customFormat="1" ht="23" customHeight="1">
      <c r="A18" s="145"/>
      <c r="B18" s="213"/>
      <c r="C18" s="96"/>
      <c r="D18" s="96"/>
      <c r="E18" s="96"/>
      <c r="F18" s="96"/>
      <c r="G18" s="96"/>
      <c r="H18" s="96"/>
      <c r="I18" s="215"/>
    </row>
    <row r="19" spans="1:30" s="3" customFormat="1" ht="13" customHeight="1" thickBot="1">
      <c r="A19" s="145"/>
      <c r="B19" s="213"/>
      <c r="C19" s="96"/>
      <c r="D19" s="96"/>
      <c r="E19" s="96"/>
      <c r="F19" s="96"/>
      <c r="G19" s="96"/>
      <c r="H19" s="96"/>
      <c r="I19" s="215"/>
      <c r="T19" s="272" t="s">
        <v>332</v>
      </c>
      <c r="U19" s="272"/>
      <c r="V19" s="272"/>
      <c r="W19" s="272"/>
      <c r="X19" s="272"/>
      <c r="Y19" s="272"/>
      <c r="Z19" s="4" t="s">
        <v>333</v>
      </c>
    </row>
    <row r="20" spans="1:30" s="3" customFormat="1" ht="34" customHeight="1">
      <c r="A20" s="145"/>
      <c r="B20" s="213"/>
      <c r="C20" s="160"/>
      <c r="D20" s="160"/>
      <c r="E20" s="160"/>
      <c r="F20" s="160"/>
      <c r="G20" s="160"/>
      <c r="H20" s="160"/>
      <c r="I20" s="216"/>
      <c r="K20" s="264" t="s">
        <v>327</v>
      </c>
      <c r="L20" s="261" cm="1">
        <f t="array" ref="L20:Q22">IFERROR(
    _xlfn.WRAPCOLS(
        _xlfn.TOCOL(
            INDEX(
                _xlfn._xlws.FILTER(
                    _xlfn.UNIQUE(_xlfn.HSTACK(LineEntry, DateEntry, PayIDEntry)),
                    _xlfn.BYROW(_xlfn.UNIQUE(_xlfn.HSTACK(LineEntry, DateEntry, PayIDEntry)), _xlfn.LAMBDA(_xlpm.row, SUM(_xlpm.row)&lt;&gt;0))
                ),
                _xlfn.SEQUENCE(6,1),
                {1,2,3}
            )
        ),
        3
    ),
    ""
)</f>
        <v>204</v>
      </c>
      <c r="M20" s="261">
        <v>205</v>
      </c>
      <c r="N20" s="261">
        <v>112</v>
      </c>
      <c r="O20" s="261">
        <v>1</v>
      </c>
      <c r="P20" s="261" t="str">
        <v/>
      </c>
      <c r="Q20" s="261" t="str">
        <v/>
      </c>
      <c r="T20" s="290" cm="1">
        <f t="array" ref="T20:Y22">IFERROR(
    _xlfn.WRAPCOLS(
        _xlfn.TOCOL(
            INDEX(
                _xlfn._xlws.FILTER(
                    _xlfn.UNIQUE(_xlfn.HSTACK(LineEntry, DateEntry, PayIDEntry)),
                    _xlfn.BYROW(_xlfn.UNIQUE(_xlfn.HSTACK(LineEntry, DateEntry, PayIDEntry)), _xlfn.LAMBDA(_xlpm.row, SUM(_xlpm.row)&lt;&gt;0))
                ),
                _xlfn.SEQUENCE(6,1),
                {1,2,3}
            )
        ),
        3
    ),
    ""
)</f>
        <v>204</v>
      </c>
      <c r="U20" s="291">
        <v>205</v>
      </c>
      <c r="V20" s="291">
        <v>112</v>
      </c>
      <c r="W20" s="291">
        <v>1</v>
      </c>
      <c r="X20" s="291" t="str">
        <v/>
      </c>
      <c r="Y20" s="292" t="str">
        <v/>
      </c>
      <c r="Z20" s="3" cm="1">
        <f t="array" ref="Z20">SUMPRODUCT(--(TRIM(T20:Y20)&lt;&gt;""))</f>
        <v>4</v>
      </c>
      <c r="AA20" s="3" cm="1">
        <f t="array" ref="AA20:AD20">_xlfn._xlws.SORT(INDEX(T20:Y20, 1):INDEX(T20:Y20, Z20), 1, TRUE)</f>
        <v>204</v>
      </c>
      <c r="AB20" s="3">
        <v>205</v>
      </c>
      <c r="AC20" s="3">
        <v>112</v>
      </c>
      <c r="AD20" s="3">
        <v>1</v>
      </c>
    </row>
    <row r="21" spans="1:30" s="3" customFormat="1" ht="16" customHeight="1">
      <c r="A21" s="145"/>
      <c r="B21" s="213"/>
      <c r="C21" s="160"/>
      <c r="D21" s="160"/>
      <c r="E21" s="160"/>
      <c r="F21" s="160"/>
      <c r="G21" s="160"/>
      <c r="H21" s="160"/>
      <c r="I21" s="216"/>
      <c r="K21" s="264" t="s">
        <v>328</v>
      </c>
      <c r="L21" s="262">
        <v>45849</v>
      </c>
      <c r="M21" s="262">
        <v>45849</v>
      </c>
      <c r="N21" s="262">
        <v>45848</v>
      </c>
      <c r="O21" s="262">
        <v>45849</v>
      </c>
      <c r="P21" s="262" t="str">
        <v/>
      </c>
      <c r="Q21" s="262" t="str">
        <v/>
      </c>
      <c r="T21" s="145">
        <v>45849</v>
      </c>
      <c r="U21" s="164">
        <v>45849</v>
      </c>
      <c r="V21" s="164">
        <v>45848</v>
      </c>
      <c r="W21" s="164">
        <v>45849</v>
      </c>
      <c r="X21" s="164" t="str">
        <v/>
      </c>
      <c r="Y21" s="293" t="str">
        <v/>
      </c>
    </row>
    <row r="22" spans="1:30" ht="30" customHeight="1" thickBot="1">
      <c r="A22" s="138"/>
      <c r="B22" s="217"/>
      <c r="C22" s="161"/>
      <c r="D22" s="162"/>
      <c r="E22" s="162"/>
      <c r="F22" s="162"/>
      <c r="G22" s="162"/>
      <c r="H22" s="162"/>
      <c r="I22" s="218"/>
      <c r="K22" s="264" t="s">
        <v>329</v>
      </c>
      <c r="L22" s="263" t="str">
        <v>CC 2456</v>
      </c>
      <c r="M22" s="263" t="str">
        <v>CC 2456</v>
      </c>
      <c r="N22" s="263" t="str">
        <v>CHK 101</v>
      </c>
      <c r="O22" s="263" t="str">
        <v>CASH</v>
      </c>
      <c r="P22" s="263" t="str">
        <v/>
      </c>
      <c r="Q22" s="263" t="str">
        <v/>
      </c>
      <c r="T22" s="170" t="str">
        <v>CC 2456</v>
      </c>
      <c r="U22" s="171" t="str">
        <v>CC 2456</v>
      </c>
      <c r="V22" s="171" t="str">
        <v>CHK 101</v>
      </c>
      <c r="W22" s="171" t="str">
        <v>CASH</v>
      </c>
      <c r="X22" s="171" t="str">
        <v/>
      </c>
      <c r="Y22" s="172" t="str">
        <v/>
      </c>
    </row>
    <row r="23" spans="1:30" s="4" customFormat="1" ht="16" customHeight="1" thickBot="1">
      <c r="A23" s="148"/>
      <c r="B23" s="219" t="s">
        <v>4</v>
      </c>
      <c r="C23" s="173" t="s">
        <v>3</v>
      </c>
      <c r="D23" s="174"/>
      <c r="E23" s="175" t="s">
        <v>12</v>
      </c>
      <c r="F23" s="175" t="s">
        <v>18</v>
      </c>
      <c r="G23" s="175" t="s">
        <v>2</v>
      </c>
      <c r="H23" s="175" t="s">
        <v>1</v>
      </c>
      <c r="I23" s="220" t="s">
        <v>0</v>
      </c>
      <c r="L23" s="243" t="s">
        <v>312</v>
      </c>
      <c r="M23" s="243" t="s">
        <v>324</v>
      </c>
      <c r="N23" s="243" t="s">
        <v>313</v>
      </c>
      <c r="O23" s="243" t="s">
        <v>314</v>
      </c>
      <c r="P23" s="243" t="s">
        <v>315</v>
      </c>
      <c r="Q23" s="243" t="s">
        <v>130</v>
      </c>
    </row>
    <row r="24" spans="1:30" s="4" customFormat="1" ht="16" customHeight="1">
      <c r="A24" s="148"/>
      <c r="B24" s="249">
        <v>204</v>
      </c>
      <c r="C24" s="97" t="s">
        <v>310</v>
      </c>
      <c r="D24" s="98"/>
      <c r="E24" s="241">
        <v>45849</v>
      </c>
      <c r="F24" s="251" t="s">
        <v>311</v>
      </c>
      <c r="G24" s="6">
        <v>1</v>
      </c>
      <c r="H24" s="5">
        <v>100</v>
      </c>
      <c r="I24" s="221">
        <f>G24*H24</f>
        <v>100</v>
      </c>
      <c r="L24" s="260">
        <f>IF($B24="", "", IF(AND($I24, $B24=L$20, $E24=L$21, $F24=L$22, SUM($I$24)&gt;0), $I24, ""))</f>
        <v>100</v>
      </c>
      <c r="M24" s="260" t="str">
        <f t="shared" ref="M24:Q24" si="0">IF($B24="", "", IF(AND($I24, $B24=M$20, $E24=M$21, $F24=M$22, SUM($I$24)&gt;0), $I24, ""))</f>
        <v/>
      </c>
      <c r="N24" s="260" t="str">
        <f t="shared" si="0"/>
        <v/>
      </c>
      <c r="O24" s="260" t="str">
        <f>IF($B24="", "", IF(AND($I24, $B24=O$20, $E24=O$21, $F24=O$22, SUM($I$24)&gt;0), $I24, ""))</f>
        <v/>
      </c>
      <c r="P24" s="260" t="str">
        <f t="shared" si="0"/>
        <v/>
      </c>
      <c r="Q24" s="260" t="str">
        <f t="shared" si="0"/>
        <v/>
      </c>
    </row>
    <row r="25" spans="1:30" s="4" customFormat="1" ht="16" customHeight="1">
      <c r="A25" s="148"/>
      <c r="B25" s="249">
        <v>205</v>
      </c>
      <c r="C25" s="97"/>
      <c r="D25" s="98"/>
      <c r="E25" s="241">
        <v>45849</v>
      </c>
      <c r="F25" s="251" t="s">
        <v>311</v>
      </c>
      <c r="G25" s="6">
        <v>1</v>
      </c>
      <c r="H25" s="5">
        <v>50</v>
      </c>
      <c r="I25" s="221">
        <f t="shared" ref="I25:I26" si="1">G25*H25</f>
        <v>50</v>
      </c>
      <c r="L25" s="260" t="str">
        <f t="shared" ref="L25:Q26" si="2">IF($B25="", "", IF(AND($I25, $B25=L$20, $E25=L$21, $F25=L$22, SUM($I$24)&gt;0), $I25, ""))</f>
        <v/>
      </c>
      <c r="M25" s="260">
        <f t="shared" si="2"/>
        <v>50</v>
      </c>
      <c r="N25" s="260" t="str">
        <f t="shared" si="2"/>
        <v/>
      </c>
      <c r="O25" s="260" t="str">
        <f t="shared" si="2"/>
        <v/>
      </c>
      <c r="P25" s="260" t="str">
        <f t="shared" si="2"/>
        <v/>
      </c>
      <c r="Q25" s="260" t="str">
        <f t="shared" si="2"/>
        <v/>
      </c>
    </row>
    <row r="26" spans="1:30" s="4" customFormat="1" ht="16" customHeight="1">
      <c r="A26" s="148"/>
      <c r="B26" s="249">
        <v>112</v>
      </c>
      <c r="C26" s="97" t="s">
        <v>325</v>
      </c>
      <c r="D26" s="98"/>
      <c r="E26" s="241">
        <v>45848</v>
      </c>
      <c r="F26" s="251" t="s">
        <v>326</v>
      </c>
      <c r="G26" s="6">
        <v>1</v>
      </c>
      <c r="H26" s="5">
        <v>1000</v>
      </c>
      <c r="I26" s="221">
        <f t="shared" si="1"/>
        <v>1000</v>
      </c>
      <c r="L26" s="260" t="str">
        <f t="shared" si="2"/>
        <v/>
      </c>
      <c r="M26" s="260" t="str">
        <f t="shared" si="2"/>
        <v/>
      </c>
      <c r="N26" s="260">
        <f t="shared" si="2"/>
        <v>1000</v>
      </c>
      <c r="O26" s="260" t="str">
        <f t="shared" si="2"/>
        <v/>
      </c>
      <c r="P26" s="260" t="str">
        <f t="shared" si="2"/>
        <v/>
      </c>
      <c r="Q26" s="260" t="str">
        <f t="shared" si="2"/>
        <v/>
      </c>
    </row>
    <row r="27" spans="1:30" s="4" customFormat="1" ht="16">
      <c r="A27" s="148"/>
      <c r="B27" s="249">
        <v>204</v>
      </c>
      <c r="C27" s="97" t="s">
        <v>310</v>
      </c>
      <c r="D27" s="98"/>
      <c r="E27" s="241">
        <v>45849</v>
      </c>
      <c r="F27" s="251" t="s">
        <v>311</v>
      </c>
      <c r="G27" s="6">
        <v>1</v>
      </c>
      <c r="H27" s="5">
        <v>100</v>
      </c>
      <c r="I27" s="221">
        <f>G27*H27</f>
        <v>100</v>
      </c>
      <c r="L27" s="260">
        <f>IF($B27="", "", IF(AND($I27, $B27=L$20, $E27=L$21, $F27=L$22, SUM($I$24)&gt;0), $I27, ""))</f>
        <v>100</v>
      </c>
      <c r="M27" s="260" t="str">
        <f>IF($B27="", "", IF(AND($I27, $B27=M$20, $E27=M$21, $F27=M$22, SUM($I$24)&gt;0), $I27, ""))</f>
        <v/>
      </c>
      <c r="N27" s="260" t="str">
        <f>IF($B27="", "", IF(AND($I27, $B27=N$20, $E27=N$21, $F27=N$22, SUM($I$24)&gt;0), $I27, ""))</f>
        <v/>
      </c>
      <c r="O27" s="260" t="str">
        <f>IF($B27="", "", IF(AND($I27, $B27=O$20, $E27=O$21, $F27=O$22, SUM($I$24)&gt;0), $I27, ""))</f>
        <v/>
      </c>
      <c r="P27" s="260" t="str">
        <f>IF($B27="", "", IF(AND($I27, $B27=P$20, $E27=P$21, $F27=P$22, SUM($I$24)&gt;0), $I27, ""))</f>
        <v/>
      </c>
      <c r="Q27" s="260" t="str">
        <f>IF($B27="", "", IF(AND($I27, $B27=Q$20, $E27=Q$21, $F27=Q$22, SUM($I$24)&gt;0), $I27, ""))</f>
        <v/>
      </c>
    </row>
    <row r="28" spans="1:30" s="4" customFormat="1" ht="16" customHeight="1">
      <c r="A28" s="148"/>
      <c r="B28" s="249">
        <v>1</v>
      </c>
      <c r="C28" s="97" t="s">
        <v>338</v>
      </c>
      <c r="D28" s="98"/>
      <c r="E28" s="241">
        <v>45849</v>
      </c>
      <c r="F28" s="251" t="s">
        <v>5</v>
      </c>
      <c r="G28" s="6">
        <v>1</v>
      </c>
      <c r="H28" s="5">
        <v>1000</v>
      </c>
      <c r="I28" s="221">
        <f>G28*H28</f>
        <v>1000</v>
      </c>
      <c r="L28" s="260" t="str">
        <f>IF($B28="", "", IF(AND($I28, $B28=L$20, $E28=L$21, $F28=L$22, SUM($I$24)&gt;0), $I28, ""))</f>
        <v/>
      </c>
      <c r="M28" s="260" t="str">
        <f>IF($B28="", "", IF(AND($I28, $B28=M$20, $E28=M$21, $F28=M$22, SUM($I$24)&gt;0), $I28, ""))</f>
        <v/>
      </c>
      <c r="N28" s="260" t="str">
        <f>IF($B28="", "", IF(AND($I28, $B28=N$20, $E28=N$21, $F28=N$22, SUM($I$24)&gt;0), $I28, ""))</f>
        <v/>
      </c>
      <c r="O28" s="260">
        <f>IF($B28="", "", IF(AND($I28, $B28=O$20, $E28=O$21, $F28=O$22, SUM($I$24)&gt;0), $I28, ""))</f>
        <v>1000</v>
      </c>
      <c r="P28" s="260" t="str">
        <f>IF($B28="", "", IF(AND($I28, $B28=P$20, $E28=P$21, $F28=P$22, SUM($I$24)&gt;0), $I28, ""))</f>
        <v/>
      </c>
      <c r="Q28" s="260" t="str">
        <f>IF($B28="", "", IF(AND($I28, $B28=Q$20, $E28=Q$21, $F28=Q$22, SUM($I$24)&gt;0), $I28, ""))</f>
        <v/>
      </c>
    </row>
    <row r="29" spans="1:30" s="4" customFormat="1" ht="16" customHeight="1">
      <c r="A29" s="148"/>
      <c r="B29" s="249">
        <v>204</v>
      </c>
      <c r="C29" s="97" t="s">
        <v>310</v>
      </c>
      <c r="D29" s="98"/>
      <c r="E29" s="241">
        <v>45849</v>
      </c>
      <c r="F29" s="251" t="s">
        <v>311</v>
      </c>
      <c r="G29" s="6">
        <v>1</v>
      </c>
      <c r="H29" s="5">
        <v>100</v>
      </c>
      <c r="I29" s="221">
        <f>G29*H29</f>
        <v>100</v>
      </c>
      <c r="L29" s="260">
        <f>IF($B29="", "", IF(AND($I29, $B29=L$20, $E29=L$21, $F29=L$22, SUM($I$24)&gt;0), $I29, ""))</f>
        <v>100</v>
      </c>
      <c r="M29" s="260" t="str">
        <f>IF($B29="", "", IF(AND($I29, $B29=M$20, $E29=M$21, $F29=M$22, SUM($I$24)&gt;0), $I29, ""))</f>
        <v/>
      </c>
      <c r="N29" s="260" t="str">
        <f>IF($B29="", "", IF(AND($I29, $B29=N$20, $E29=N$21, $F29=N$22, SUM($I$24)&gt;0), $I29, ""))</f>
        <v/>
      </c>
      <c r="O29" s="260" t="str">
        <f>IF($B29="", "", IF(AND($I29, $B29=O$20, $E29=O$21, $F29=O$22, SUM($I$24)&gt;0), $I29, ""))</f>
        <v/>
      </c>
      <c r="P29" s="260" t="str">
        <f>IF($B29="", "", IF(AND($I29, $B29=P$20, $E29=P$21, $F29=P$22, SUM($I$24)&gt;0), $I29, ""))</f>
        <v/>
      </c>
      <c r="Q29" s="260" t="str">
        <f>IF($B29="", "", IF(AND($I29, $B29=Q$20, $E29=Q$21, $F29=Q$22, SUM($I$24)&gt;0), $I29, ""))</f>
        <v/>
      </c>
    </row>
    <row r="30" spans="1:30" s="4" customFormat="1" ht="16" customHeight="1">
      <c r="A30" s="148"/>
      <c r="B30" s="249">
        <v>204</v>
      </c>
      <c r="C30" s="97" t="s">
        <v>310</v>
      </c>
      <c r="D30" s="98"/>
      <c r="E30" s="241">
        <v>45849</v>
      </c>
      <c r="F30" s="251" t="s">
        <v>311</v>
      </c>
      <c r="G30" s="6">
        <v>1</v>
      </c>
      <c r="H30" s="5">
        <v>100</v>
      </c>
      <c r="I30" s="221">
        <f>G30*H30</f>
        <v>100</v>
      </c>
      <c r="L30" s="260">
        <f>IF($B30="", "", IF(AND($I30, $B30=L$20, $E30=L$21, $F30=L$22, SUM($I$24)&gt;0), $I30, ""))</f>
        <v>100</v>
      </c>
      <c r="M30" s="260" t="str">
        <f>IF($B30="", "", IF(AND($I30, $B30=M$20, $E30=M$21, $F30=M$22, SUM($I$24)&gt;0), $I30, ""))</f>
        <v/>
      </c>
      <c r="N30" s="260" t="str">
        <f>IF($B30="", "", IF(AND($I30, $B30=N$20, $E30=N$21, $F30=N$22, SUM($I$24)&gt;0), $I30, ""))</f>
        <v/>
      </c>
      <c r="O30" s="260" t="str">
        <f>IF($B30="", "", IF(AND($I30, $B30=O$20, $E30=O$21, $F30=O$22, SUM($I$24)&gt;0), $I30, ""))</f>
        <v/>
      </c>
      <c r="P30" s="260" t="str">
        <f>IF($B30="", "", IF(AND($I30, $B30=P$20, $E30=P$21, $F30=P$22, SUM($I$24)&gt;0), $I30, ""))</f>
        <v/>
      </c>
      <c r="Q30" s="260" t="str">
        <f>IF($B30="", "", IF(AND($I30, $B30=Q$20, $E30=Q$21, $F30=Q$22, SUM($I$24)&gt;0), $I30, ""))</f>
        <v/>
      </c>
    </row>
    <row r="31" spans="1:30" s="4" customFormat="1" ht="16" customHeight="1">
      <c r="A31" s="148"/>
      <c r="B31" s="249">
        <v>204</v>
      </c>
      <c r="C31" s="97" t="s">
        <v>310</v>
      </c>
      <c r="D31" s="98"/>
      <c r="E31" s="241">
        <v>45849</v>
      </c>
      <c r="F31" s="251" t="s">
        <v>311</v>
      </c>
      <c r="G31" s="6">
        <v>1</v>
      </c>
      <c r="H31" s="5">
        <v>100</v>
      </c>
      <c r="I31" s="221">
        <f>G31*H31</f>
        <v>100</v>
      </c>
      <c r="L31" s="260">
        <f>IF($B31="", "", IF(AND($I31, $B31=L$20, $E31=L$21, $F31=L$22, SUM($I$24)&gt;0), $I31, ""))</f>
        <v>100</v>
      </c>
      <c r="M31" s="260" t="str">
        <f>IF($B31="", "", IF(AND($I31, $B31=M$20, $E31=M$21, $F31=M$22, SUM($I$24)&gt;0), $I31, ""))</f>
        <v/>
      </c>
      <c r="N31" s="260" t="str">
        <f>IF($B31="", "", IF(AND($I31, $B31=N$20, $E31=N$21, $F31=N$22, SUM($I$24)&gt;0), $I31, ""))</f>
        <v/>
      </c>
      <c r="O31" s="260" t="str">
        <f>IF($B31="", "", IF(AND($I31, $B31=O$20, $E31=O$21, $F31=O$22, SUM($I$24)&gt;0), $I31, ""))</f>
        <v/>
      </c>
      <c r="P31" s="260" t="str">
        <f>IF($B31="", "", IF(AND($I31, $B31=P$20, $E31=P$21, $F31=P$22, SUM($I$24)&gt;0), $I31, ""))</f>
        <v/>
      </c>
      <c r="Q31" s="260" t="str">
        <f>IF($B31="", "", IF(AND($I31, $B31=Q$20, $E31=Q$21, $F31=Q$22, SUM($I$24)&gt;0), $I31, ""))</f>
        <v/>
      </c>
    </row>
    <row r="32" spans="1:30" s="4" customFormat="1" ht="16" customHeight="1">
      <c r="A32" s="148"/>
      <c r="B32" s="249">
        <v>204</v>
      </c>
      <c r="C32" s="97" t="s">
        <v>310</v>
      </c>
      <c r="D32" s="98"/>
      <c r="E32" s="241">
        <v>45849</v>
      </c>
      <c r="F32" s="251" t="s">
        <v>311</v>
      </c>
      <c r="G32" s="6">
        <v>1</v>
      </c>
      <c r="H32" s="5">
        <v>100</v>
      </c>
      <c r="I32" s="221">
        <f>G32*H32</f>
        <v>100</v>
      </c>
      <c r="L32" s="260">
        <f>IF($B32="", "", IF(AND($I32, $B32=L$20, $E32=L$21, $F32=L$22, SUM($I$24)&gt;0), $I32, ""))</f>
        <v>100</v>
      </c>
      <c r="M32" s="260" t="str">
        <f>IF($B32="", "", IF(AND($I32, $B32=M$20, $E32=M$21, $F32=M$22, SUM($I$24)&gt;0), $I32, ""))</f>
        <v/>
      </c>
      <c r="N32" s="260" t="str">
        <f>IF($B32="", "", IF(AND($I32, $B32=N$20, $E32=N$21, $F32=N$22, SUM($I$24)&gt;0), $I32, ""))</f>
        <v/>
      </c>
      <c r="O32" s="260" t="str">
        <f>IF($B32="", "", IF(AND($I32, $B32=O$20, $E32=O$21, $F32=O$22, SUM($I$24)&gt;0), $I32, ""))</f>
        <v/>
      </c>
      <c r="P32" s="260" t="str">
        <f>IF($B32="", "", IF(AND($I32, $B32=P$20, $E32=P$21, $F32=P$22, SUM($I$24)&gt;0), $I32, ""))</f>
        <v/>
      </c>
      <c r="Q32" s="260" t="str">
        <f>IF($B32="", "", IF(AND($I32, $B32=Q$20, $E32=Q$21, $F32=Q$22, SUM($I$24)&gt;0), $I32, ""))</f>
        <v/>
      </c>
    </row>
    <row r="33" spans="1:18" s="4" customFormat="1" ht="16" customHeight="1">
      <c r="A33" s="148"/>
      <c r="B33" s="249">
        <v>204</v>
      </c>
      <c r="C33" s="97" t="s">
        <v>310</v>
      </c>
      <c r="D33" s="98"/>
      <c r="E33" s="241">
        <v>45849</v>
      </c>
      <c r="F33" s="251" t="s">
        <v>311</v>
      </c>
      <c r="G33" s="6">
        <v>1</v>
      </c>
      <c r="H33" s="5">
        <v>100</v>
      </c>
      <c r="I33" s="221">
        <f>G33*H33</f>
        <v>100</v>
      </c>
      <c r="L33" s="260">
        <f>IF($B33="", "", IF(AND($I33, $B33=L$20, $E33=L$21, $F33=L$22, SUM($I$24)&gt;0), $I33, ""))</f>
        <v>100</v>
      </c>
      <c r="M33" s="260" t="str">
        <f>IF($B33="", "", IF(AND($I33, $B33=M$20, $E33=M$21, $F33=M$22, SUM($I$24)&gt;0), $I33, ""))</f>
        <v/>
      </c>
      <c r="N33" s="260" t="str">
        <f>IF($B33="", "", IF(AND($I33, $B33=N$20, $E33=N$21, $F33=N$22, SUM($I$24)&gt;0), $I33, ""))</f>
        <v/>
      </c>
      <c r="O33" s="260" t="str">
        <f>IF($B33="", "", IF(AND($I33, $B33=O$20, $E33=O$21, $F33=O$22, SUM($I$24)&gt;0), $I33, ""))</f>
        <v/>
      </c>
      <c r="P33" s="260" t="str">
        <f>IF($B33="", "", IF(AND($I33, $B33=P$20, $E33=P$21, $F33=P$22, SUM($I$24)&gt;0), $I33, ""))</f>
        <v/>
      </c>
      <c r="Q33" s="260" t="str">
        <f>IF($B33="", "", IF(AND($I33, $B33=Q$20, $E33=Q$21, $F33=Q$22, SUM($I$24)&gt;0), $I33, ""))</f>
        <v/>
      </c>
    </row>
    <row r="34" spans="1:18" s="4" customFormat="1" ht="16" customHeight="1">
      <c r="A34" s="148"/>
      <c r="B34" s="249">
        <v>204</v>
      </c>
      <c r="C34" s="97" t="s">
        <v>310</v>
      </c>
      <c r="D34" s="98"/>
      <c r="E34" s="241">
        <v>45849</v>
      </c>
      <c r="F34" s="251" t="s">
        <v>311</v>
      </c>
      <c r="G34" s="6">
        <v>1</v>
      </c>
      <c r="H34" s="5">
        <v>100</v>
      </c>
      <c r="I34" s="221">
        <f>G34*H34</f>
        <v>100</v>
      </c>
      <c r="L34" s="260">
        <f>IF($B34="", "", IF(AND($I34, $B34=L$20, $E34=L$21, $F34=L$22, SUM($I$24)&gt;0), $I34, ""))</f>
        <v>100</v>
      </c>
      <c r="M34" s="260" t="str">
        <f>IF($B34="", "", IF(AND($I34, $B34=M$20, $E34=M$21, $F34=M$22, SUM($I$24)&gt;0), $I34, ""))</f>
        <v/>
      </c>
      <c r="N34" s="260" t="str">
        <f>IF($B34="", "", IF(AND($I34, $B34=N$20, $E34=N$21, $F34=N$22, SUM($I$24)&gt;0), $I34, ""))</f>
        <v/>
      </c>
      <c r="O34" s="260" t="str">
        <f>IF($B34="", "", IF(AND($I34, $B34=O$20, $E34=O$21, $F34=O$22, SUM($I$24)&gt;0), $I34, ""))</f>
        <v/>
      </c>
      <c r="P34" s="260" t="str">
        <f>IF($B34="", "", IF(AND($I34, $B34=P$20, $E34=P$21, $F34=P$22, SUM($I$24)&gt;0), $I34, ""))</f>
        <v/>
      </c>
      <c r="Q34" s="260" t="str">
        <f>IF($B34="", "", IF(AND($I34, $B34=Q$20, $E34=Q$21, $F34=Q$22, SUM($I$24)&gt;0), $I34, ""))</f>
        <v/>
      </c>
    </row>
    <row r="35" spans="1:18" s="4" customFormat="1" ht="16" customHeight="1" thickBot="1">
      <c r="A35" s="148"/>
      <c r="B35" s="250"/>
      <c r="C35" s="176"/>
      <c r="D35" s="177"/>
      <c r="E35" s="178"/>
      <c r="F35" s="252"/>
      <c r="G35" s="178"/>
      <c r="H35" s="179"/>
      <c r="I35" s="222">
        <f>G35*H35</f>
        <v>0</v>
      </c>
      <c r="L35" s="4" t="str">
        <f>IF($B35="", "", IF(AND($I35, $B35=L$20, $E35=L$21, $F35=L$22, SUM($I$24)&gt;0), $I35, ""))</f>
        <v/>
      </c>
      <c r="M35" s="4" t="str">
        <f>IF($B35="", "", IF(AND($I35, $B35=M$20, $E35=M$21, $F35=M$22, SUM($I$24)&gt;0), $I35, ""))</f>
        <v/>
      </c>
      <c r="N35" s="4" t="str">
        <f>IF($B35="", "", IF(AND($I35, $B35=N$20, $E35=N$21, $F35=N$22, SUM($I$24)&gt;0), $I35, ""))</f>
        <v/>
      </c>
      <c r="O35" s="4" t="str">
        <f>IF($B35="", "", IF(AND($I35, $B35=O$20, $E35=O$21, $F35=O$22, SUM($I$24)&gt;0), $I35, ""))</f>
        <v/>
      </c>
      <c r="P35" s="4" t="str">
        <f>IF($B35="", "", IF(AND($I35, $B35=P$20, $E35=P$21, $F35=P$22, SUM($I$24)&gt;0), $I35, ""))</f>
        <v/>
      </c>
      <c r="Q35" s="4" t="str">
        <f>IF($B35="", "", IF(AND($I35, $B35=Q$20, $E35=Q$21, $F35=Q$22, SUM($I$24)&gt;0), $I35, ""))</f>
        <v/>
      </c>
      <c r="R35" s="4" t="str">
        <f>IF($B35="", "", IF(AND($I35, $B35=R$20, $E35=R$21, $F35=R$22, SUM($I$24)&gt;0), $I35, ""))</f>
        <v/>
      </c>
    </row>
    <row r="36" spans="1:18" s="4" customFormat="1" ht="16" customHeight="1" thickBot="1">
      <c r="A36" s="148"/>
      <c r="B36" s="223"/>
      <c r="C36" s="180"/>
      <c r="D36" s="180"/>
      <c r="E36" s="180"/>
      <c r="F36" s="180"/>
      <c r="G36" s="181"/>
      <c r="H36" s="181"/>
      <c r="I36" s="224"/>
      <c r="L36" s="265">
        <f>IF(SUM(L24:L35), SUM(L24:L35),"")</f>
        <v>800</v>
      </c>
      <c r="M36" s="266">
        <f t="shared" ref="M36:Q36" si="3">IF(SUM(M24:M35), SUM(M24:M35),"")</f>
        <v>50</v>
      </c>
      <c r="N36" s="267">
        <f t="shared" si="3"/>
        <v>1000</v>
      </c>
      <c r="O36" s="267">
        <f>IF(SUM(O24:O35), SUM(O24:O35),"")</f>
        <v>1000</v>
      </c>
      <c r="P36" s="267" t="str">
        <f t="shared" si="3"/>
        <v/>
      </c>
      <c r="Q36" s="268" t="str">
        <f t="shared" si="3"/>
        <v/>
      </c>
    </row>
    <row r="37" spans="1:18" s="4" customFormat="1" ht="16" customHeight="1" thickBot="1">
      <c r="A37" s="148"/>
      <c r="B37" s="225" t="s">
        <v>266</v>
      </c>
      <c r="C37" s="2"/>
      <c r="D37" s="2"/>
      <c r="E37" s="165"/>
      <c r="F37" s="166"/>
      <c r="G37" s="232" t="s">
        <v>264</v>
      </c>
      <c r="H37" s="233"/>
      <c r="I37" s="234">
        <f>SUM(I23:I35)</f>
        <v>2850</v>
      </c>
      <c r="L37" s="256" t="s">
        <v>312</v>
      </c>
      <c r="M37" s="257" t="s">
        <v>324</v>
      </c>
      <c r="N37" s="258" t="s">
        <v>313</v>
      </c>
      <c r="O37" s="258" t="s">
        <v>314</v>
      </c>
      <c r="P37" s="258" t="s">
        <v>315</v>
      </c>
      <c r="Q37" s="259" t="s">
        <v>316</v>
      </c>
    </row>
    <row r="38" spans="1:18" s="4" customFormat="1" ht="16" customHeight="1" thickBot="1">
      <c r="A38" s="148"/>
      <c r="B38" s="225"/>
      <c r="C38" s="168"/>
      <c r="D38" s="168"/>
      <c r="E38" s="169"/>
      <c r="F38" s="167"/>
      <c r="G38" s="235"/>
      <c r="H38" s="163"/>
      <c r="I38" s="226"/>
    </row>
    <row r="39" spans="1:18" s="4" customFormat="1" ht="16" customHeight="1">
      <c r="A39" s="148"/>
      <c r="B39" s="225"/>
      <c r="C39" s="141"/>
      <c r="D39" s="141"/>
      <c r="E39" s="167"/>
      <c r="F39" s="167"/>
      <c r="G39" s="235" t="s">
        <v>263</v>
      </c>
      <c r="H39" s="167" t="s">
        <v>265</v>
      </c>
      <c r="I39" s="227"/>
      <c r="L39" s="287" t="s">
        <v>330</v>
      </c>
      <c r="M39" s="288"/>
      <c r="N39" s="288"/>
      <c r="O39" s="288"/>
      <c r="P39" s="288"/>
      <c r="Q39" s="288"/>
      <c r="R39" s="289"/>
    </row>
    <row r="40" spans="1:18" ht="16" customHeight="1" thickBot="1">
      <c r="A40" s="138"/>
      <c r="B40" s="225" t="s">
        <v>267</v>
      </c>
      <c r="C40" s="2"/>
      <c r="D40" s="2"/>
      <c r="E40" s="166"/>
      <c r="F40" s="166"/>
      <c r="G40" s="235" t="s">
        <v>21</v>
      </c>
      <c r="H40" s="167"/>
      <c r="I40" s="228">
        <f>SUM(I37:I39)</f>
        <v>2850</v>
      </c>
      <c r="L40" s="280" t="s">
        <v>4</v>
      </c>
      <c r="M40" s="273" t="s">
        <v>16</v>
      </c>
      <c r="N40" s="273" t="s">
        <v>17</v>
      </c>
      <c r="O40" s="274" t="s">
        <v>12</v>
      </c>
      <c r="P40" s="273" t="s">
        <v>18</v>
      </c>
      <c r="Q40" s="275" t="s">
        <v>242</v>
      </c>
      <c r="R40" s="282" t="s">
        <v>19</v>
      </c>
    </row>
    <row r="41" spans="1:18" ht="16" customHeight="1" thickBot="1">
      <c r="A41" s="185"/>
      <c r="B41" s="229"/>
      <c r="C41" s="230"/>
      <c r="D41" s="230"/>
      <c r="E41" s="230"/>
      <c r="F41" s="230"/>
      <c r="G41" s="229"/>
      <c r="H41" s="230"/>
      <c r="I41" s="231"/>
      <c r="K41" s="256" t="s">
        <v>312</v>
      </c>
      <c r="L41" s="281">
        <f>IF(SUM($L$24:$L$35), L20,"")</f>
        <v>204</v>
      </c>
      <c r="M41" s="276" t="str">
        <f>IF(SUM($L$24:$L$35), Vendor,"")</f>
        <v>Vendor</v>
      </c>
      <c r="N41" s="276" t="str">
        <f>Sheet_PO</f>
        <v>{{PO_NUMBER}}</v>
      </c>
      <c r="O41" s="277">
        <f>L$21</f>
        <v>45849</v>
      </c>
      <c r="P41" s="276" t="str">
        <f>L$22</f>
        <v>CC 2456</v>
      </c>
      <c r="Q41" s="278">
        <f>L$36</f>
        <v>800</v>
      </c>
      <c r="R41" s="283" t="str">
        <f>IF(ISBLANK(POLogPreview4[[#This Row],[LINE]]), "",
   IF(COUNTIF('Line No'!$A$1:$A$342, POLogPreview4[[#This Row],[LINE]]) &gt; 0,
      INDEX('Line No'!$B$1:$B$342, MATCH(POLogPreview4[[#This Row],[LINE]], 'Line No'!$A$1:$A$342, 0)),
      IF(POLogPreview4[[#This Row],[LINE]]="PC", "Petty Cash Log",
      IF(POLogPreview4[[#This Row],[LINE]]="PR", "Payroll Log",
      "LINE CODE NOT VALID"))))</f>
        <v>Production Supplies</v>
      </c>
    </row>
    <row r="42" spans="1:18" ht="16" customHeight="1" thickBot="1">
      <c r="A42" s="185"/>
      <c r="B42" s="185"/>
      <c r="C42" s="185"/>
      <c r="D42" s="185"/>
      <c r="E42" s="185"/>
      <c r="F42" s="185"/>
      <c r="G42" s="185"/>
      <c r="H42" s="185"/>
      <c r="I42" s="185"/>
      <c r="K42" s="257" t="s">
        <v>324</v>
      </c>
      <c r="L42" s="281">
        <f>IF(SUM($M$24:$M$34), M20, "")</f>
        <v>205</v>
      </c>
      <c r="M42" s="281" t="str">
        <f>IF(SUM($M$24:$M$34), Vendor, "")</f>
        <v>Vendor</v>
      </c>
      <c r="N42" s="281" t="str">
        <f>IF(SUM($M$24:$M$34), Sheet_PO, "")</f>
        <v>{{PO_NUMBER}}</v>
      </c>
      <c r="O42" s="295">
        <f>IF(SUM($M$24:$M$34), M$21, "")</f>
        <v>45849</v>
      </c>
      <c r="P42" s="281" t="str">
        <f>IF(SUM($M$24:$M$34), M$22, "")</f>
        <v>CC 2456</v>
      </c>
      <c r="Q42" s="281">
        <f>IF(SUM($M$24:$M$34), M$36, "")</f>
        <v>50</v>
      </c>
      <c r="R42" s="283" t="str">
        <f>IF(ISBLANK(POLogPreview4[[#This Row],[LINE]]), "",
   IF(COUNTIF('Line No'!$A$1:$A$342, POLogPreview4[[#This Row],[LINE]]) &gt; 0,
      INDEX('Line No'!$B$1:$B$342, MATCH(POLogPreview4[[#This Row],[LINE]], 'Line No'!$A$1:$A$342, 0)),
      IF(POLogPreview4[[#This Row],[LINE]]="PC", "Petty Cash Log",
      IF(POLogPreview4[[#This Row],[LINE]]="PR", "Payroll Log",
      "LINE CODE NOT VALID"))))</f>
        <v>Location Supplies</v>
      </c>
    </row>
    <row r="43" spans="1:18" ht="16" customHeight="1" thickBot="1">
      <c r="A43" s="185"/>
      <c r="B43" s="185"/>
      <c r="C43" s="185"/>
      <c r="D43" s="185"/>
      <c r="E43" s="185"/>
      <c r="F43" s="185"/>
      <c r="G43" s="186"/>
      <c r="H43" s="186"/>
      <c r="I43" s="186"/>
      <c r="K43" s="258" t="s">
        <v>313</v>
      </c>
      <c r="L43" s="281">
        <f>IF(SUM($N$24:$N$34), N20, "")</f>
        <v>112</v>
      </c>
      <c r="M43" s="281" t="str">
        <f>IF(SUM($N$24:$N$34), Vendor, "")</f>
        <v>Vendor</v>
      </c>
      <c r="N43" s="276" t="str">
        <f>IF(SUM($N$24:$N$34), Sheet_PO, "")</f>
        <v>{{PO_NUMBER}}</v>
      </c>
      <c r="O43" s="277">
        <f>IF(SUM($N$24:$N$34), N$21, "")</f>
        <v>45848</v>
      </c>
      <c r="P43" s="276" t="str">
        <f>IF(SUM($N$24:$N$34), N$22, "")</f>
        <v>CHK 101</v>
      </c>
      <c r="Q43" s="281">
        <f>IF(SUM($N$24:$N$34), N$36, "")</f>
        <v>1000</v>
      </c>
      <c r="R43" s="283" t="str">
        <f>IF(ISBLANK(POLogPreview4[[#This Row],[LINE]]), "",
   IF(COUNTIF('Line No'!$A$1:$A$342, POLogPreview4[[#This Row],[LINE]]) &gt; 0,
      INDEX('Line No'!$B$1:$B$342, MATCH(POLogPreview4[[#This Row],[LINE]], 'Line No'!$A$1:$A$342, 0)),
      IF(POLogPreview4[[#This Row],[LINE]]="PC", "Petty Cash Log",
      IF(POLogPreview4[[#This Row],[LINE]]="PR", "Payroll Log",
      "LINE CODE NOT VALID"))))</f>
        <v>Pre Pro Meals</v>
      </c>
    </row>
    <row r="44" spans="1:18" ht="16" customHeight="1" thickBot="1">
      <c r="A44" s="185"/>
      <c r="B44" s="185"/>
      <c r="C44" s="185"/>
      <c r="D44" s="185"/>
      <c r="E44" s="185"/>
      <c r="F44" s="185"/>
      <c r="G44" s="186"/>
      <c r="H44" s="255"/>
      <c r="I44" s="186"/>
      <c r="K44" s="258" t="s">
        <v>314</v>
      </c>
      <c r="L44" s="281">
        <f>IF(SUM($O$24:$O$34), O20, "")</f>
        <v>1</v>
      </c>
      <c r="M44" s="281" t="str">
        <f>IF(SUM($O$24:$O$34), Vendor, "")</f>
        <v>Vendor</v>
      </c>
      <c r="N44" s="276" t="str">
        <f>IF(SUM($O$24:$O$34), Sheet_PO, "")</f>
        <v>{{PO_NUMBER}}</v>
      </c>
      <c r="O44" s="277">
        <f>IF(SUM($O$24:$O$34), O$21, "")</f>
        <v>45849</v>
      </c>
      <c r="P44" s="276" t="str">
        <f>IF(SUM($O$24:$O$34), O$22, "")</f>
        <v>CASH</v>
      </c>
      <c r="Q44" s="281">
        <f>IF(SUM($O$24:$O$34), O$36, "")</f>
        <v>1000</v>
      </c>
      <c r="R44" s="283" t="str">
        <f>IF(ISBLANK(POLogPreview4[[#This Row],[LINE]]), "",
   IF(COUNTIF('Line No'!$A$1:$A$342, POLogPreview4[[#This Row],[LINE]]) &gt; 0,
      INDEX('Line No'!$B$1:$B$342, MATCH(POLogPreview4[[#This Row],[LINE]], 'Line No'!$A$1:$A$342, 0)),
      IF(POLogPreview4[[#This Row],[LINE]]="PC", "Petty Cash Log",
      IF(POLogPreview4[[#This Row],[LINE]]="PR", "Payroll Log",
      "LINE CODE NOT VALID"))))</f>
        <v>Line Producer</v>
      </c>
    </row>
    <row r="45" spans="1:18" ht="16" customHeight="1" thickBot="1">
      <c r="A45" s="185"/>
      <c r="B45" s="185"/>
      <c r="C45" s="270"/>
      <c r="D45" s="270"/>
      <c r="E45" s="270"/>
      <c r="F45" s="270"/>
      <c r="G45" s="187"/>
      <c r="H45" s="187"/>
      <c r="I45" s="188"/>
      <c r="K45" s="258" t="s">
        <v>315</v>
      </c>
      <c r="L45" s="281" t="str">
        <f>IF(SUM($P$24:$P$34), P20, "")</f>
        <v/>
      </c>
      <c r="M45" s="281" t="str">
        <f>IF(SUM($P$24:$P$34), Vendor, "")</f>
        <v/>
      </c>
      <c r="N45" s="276" t="str">
        <f>IF(SUM($P$24:$P$34), Sheet_PO, "")</f>
        <v/>
      </c>
      <c r="O45" s="277" t="str">
        <f>IF(SUM($P$24:$P$34), P$21, "")</f>
        <v/>
      </c>
      <c r="P45" s="276" t="str">
        <f>IF(SUM($P$24:$P$34), P$22, "")</f>
        <v/>
      </c>
      <c r="Q45" s="281" t="str">
        <f>IF(SUM($P$24:$P$34), P$36, "")</f>
        <v/>
      </c>
      <c r="R45" s="283" t="str">
        <f>IF(SUM($P$24:$P$34), "",
   IF(COUNTIF('Line No'!$A$1:$A$342, POLogPreview4[[#This Row],[LINE]]) &gt; 0,
      INDEX('Line No'!$B$1:$B$342, MATCH(POLogPreview4[[#This Row],[LINE]], 'Line No'!$A$1:$A$342, 0)),
      IF(POLogPreview4[[#This Row],[LINE]]="PC", "Petty Cash Log",
      IF(POLogPreview4[[#This Row],[LINE]]="PR", "Payroll Log",
      "LINE CODE NOT VALID"))))</f>
        <v>LINE CODE NOT VALID</v>
      </c>
    </row>
    <row r="46" spans="1:18" ht="16" customHeight="1" thickBot="1">
      <c r="A46" s="185"/>
      <c r="B46" s="185"/>
      <c r="C46" s="185"/>
      <c r="D46" s="185"/>
      <c r="E46" s="185"/>
      <c r="F46" s="185" t="e">
        <f>INDEX(B24:I34, 2)</f>
        <v>#REF!</v>
      </c>
      <c r="G46" s="185"/>
      <c r="H46" s="185"/>
      <c r="I46" s="185"/>
      <c r="K46" s="259" t="s">
        <v>316</v>
      </c>
      <c r="L46" s="281" t="str">
        <f>IF(SUM($Q$24:$Q$34), Q20, "")</f>
        <v/>
      </c>
      <c r="M46" s="281" t="str">
        <f>IF(SUM($Q$24:$Q$34), Vendor, "")</f>
        <v/>
      </c>
      <c r="N46" s="276" t="str">
        <f>IF(SUM($Q$24:$Q$34), Sheet_PO, "")</f>
        <v/>
      </c>
      <c r="O46" s="277" t="str">
        <f>IF(SUM($Q$24:$Q$34), Q$21, "")</f>
        <v/>
      </c>
      <c r="P46" s="276" t="str">
        <f>IF(SUM($Q$24:$Q$34), Q$22, "")</f>
        <v/>
      </c>
      <c r="Q46" s="281" t="str">
        <f>IF(SUM($Q$24:$Q$34), Q$36, "")</f>
        <v/>
      </c>
      <c r="R46" s="283" t="str">
        <f>IF(ISBLANK(POLogPreview4[[#This Row],[LINE]]), "",
   IF(COUNTIF('Line No'!$A$1:$A$342, POLogPreview4[[#This Row],[LINE]]) &gt; 0,
      INDEX('Line No'!$B$1:$B$342, MATCH(POLogPreview4[[#This Row],[LINE]], 'Line No'!$A$1:$A$342, 0)),
      "LINE CODE NOT VALID"))</f>
        <v>LINE CODE NOT VALID</v>
      </c>
    </row>
    <row r="47" spans="1:18" ht="16" customHeight="1" thickBot="1">
      <c r="A47" s="185"/>
      <c r="B47" s="269"/>
      <c r="C47" s="269" cm="1">
        <f t="array" ref="C47:J47">INDEX(B24:I34,MATCH(L22,F24:F34,0), )</f>
        <v>204</v>
      </c>
      <c r="D47" s="269" t="str">
        <v>Misc</v>
      </c>
      <c r="E47" s="269">
        <v>0</v>
      </c>
      <c r="F47" s="269">
        <v>45849</v>
      </c>
      <c r="G47" s="269" t="str">
        <v>CC 2456</v>
      </c>
      <c r="H47" s="269">
        <v>1</v>
      </c>
      <c r="I47" s="269">
        <v>100</v>
      </c>
      <c r="J47" s="1">
        <v>100</v>
      </c>
      <c r="K47" s="259" t="s">
        <v>317</v>
      </c>
      <c r="L47" s="281" t="str">
        <f>IF(SUM($R$24:$R$34), R20, "")</f>
        <v/>
      </c>
      <c r="M47" s="281" t="str">
        <f>IF(SUM($R$24:$R$34), Vendor, "")</f>
        <v/>
      </c>
      <c r="N47" s="276" t="str">
        <f>IF(SUM($R$24:$R$34), Sheet_PO, "")</f>
        <v/>
      </c>
      <c r="O47" s="296" t="str">
        <f>IF(SUM($R$24:$R$34), R$21, "")</f>
        <v/>
      </c>
      <c r="P47" s="279" t="str">
        <f>IF(SUM($R$24:$R$34), R$22, "")</f>
        <v/>
      </c>
      <c r="Q47" s="281" t="str">
        <f>IF(SUM($R$24:$R$34), R$36, "")</f>
        <v/>
      </c>
      <c r="R47" s="283" t="str">
        <f>IF(ISBLANK(POLogPreview4[[#This Row],[LINE]]), "",
   IF(COUNTIF('Line No'!$A$1:$A$342, POLogPreview4[[#This Row],[LINE]]) &gt; 0,
      INDEX('Line No'!$B$1:$B$342, MATCH(POLogPreview4[[#This Row],[LINE]], 'Line No'!$A$1:$A$342, 0)),
      IF(PO_LOG[[#This Row],[LINE]]="PC", "Petty Cash Log",
      IF(PO_LOG[[#This Row],[LINE]]="PR", "Payroll Log",
      "LINE CODE NOT VALID"))))</f>
        <v>LINE CODE NOT VALID</v>
      </c>
    </row>
    <row r="48" spans="1:18" ht="16" customHeight="1" thickBot="1">
      <c r="K48" s="259" t="s">
        <v>337</v>
      </c>
      <c r="L48" s="281" t="str">
        <f>IF(SUM($S$24:$S$34), S20, "")</f>
        <v/>
      </c>
      <c r="M48" s="281" t="str">
        <f>IF(SUM($S$24:$S$34), Vendor, "")</f>
        <v/>
      </c>
      <c r="N48" s="276" t="str">
        <f>IF(SUM($S$24:$S$34), Sheet_PO, "")</f>
        <v/>
      </c>
      <c r="O48" s="296" t="str">
        <f>IF(SUM($S$24:$S$34), S$21, "")</f>
        <v/>
      </c>
      <c r="P48" s="279" t="str">
        <f>IF(SUM($S$24:$S$34), S$22, "")</f>
        <v/>
      </c>
      <c r="Q48" s="281" t="str">
        <f>IF(SUM($S$24:$S$34), S$36, "")</f>
        <v/>
      </c>
      <c r="R48" s="283" t="str">
        <f>IF(ISBLANK(POLogPreview4[[#This Row],[LINE]]), "",
   IF(COUNTIF('Line No'!$A$1:$A$342, POLogPreview4[[#This Row],[LINE]]) &gt; 0,
      INDEX('Line No'!$B$1:$B$342, MATCH(POLogPreview4[[#This Row],[LINE]], 'Line No'!$A$1:$A$342, 0)),
      IF(PO_LOG[[#This Row],[LINE]]="PC", "Petty Cash Log",
      IF(PO_LOG[[#This Row],[LINE]]="PR", "Payroll Log",
      "LINE CODE NOT VALID"))))</f>
        <v>LINE CODE NOT VALID</v>
      </c>
    </row>
    <row r="49" spans="3:18" ht="16" customHeight="1">
      <c r="K49" s="247" t="s">
        <v>336</v>
      </c>
      <c r="L49" s="281" t="str">
        <f>IF(SUM($T$24:$T$34), T20, "")</f>
        <v/>
      </c>
      <c r="M49" s="281" t="str">
        <f>IF(SUM($T$24:$T$34), Vendor, "")</f>
        <v/>
      </c>
      <c r="N49" s="276" t="str">
        <f>IF(SUM($T$24:$T$34), Sheet_PO, "")</f>
        <v/>
      </c>
      <c r="O49" s="296" t="str">
        <f>IF(SUM($T$24:$T$34), T$21, "")</f>
        <v/>
      </c>
      <c r="P49" s="279" t="str">
        <f>IF(SUM($T$24:$T$34), T$22, "")</f>
        <v/>
      </c>
      <c r="Q49" s="281" t="str">
        <f>IF(SUM($T$24:$T$34), T$36, "")</f>
        <v/>
      </c>
      <c r="R49" s="283" t="str">
        <f>IF(ISBLANK(POLogPreview4[[#This Row],[LINE]]), "",
   IF(COUNTIF('Line No'!$A$1:$A$342, POLogPreview4[[#This Row],[LINE]]) &gt; 0,
      INDEX('Line No'!$B$1:$B$342, MATCH(POLogPreview4[[#This Row],[LINE]], 'Line No'!$A$1:$A$342, 0)),
      IF(PO_LOG[[#This Row],[LINE]]="PC", "Petty Cash Log",
      IF(PO_LOG[[#This Row],[LINE]]="PR", "Payroll Log",
      "LINE CODE NOT VALID"))))</f>
        <v>LINE CODE NOT VALID</v>
      </c>
    </row>
    <row r="50" spans="3:18" ht="16" customHeight="1">
      <c r="C50" s="1" t="s">
        <v>335</v>
      </c>
      <c r="L50" s="284"/>
      <c r="M50" s="285"/>
      <c r="N50" s="285"/>
      <c r="O50" s="285"/>
      <c r="P50" s="285"/>
      <c r="Q50" s="285"/>
      <c r="R50" s="286"/>
    </row>
    <row r="52" spans="3:18">
      <c r="O52" s="1" t="str">
        <f>INDEX('Line No'!$B$1:$B$342,MATCH(310,'Line No'!$A$1:$A$342,0))</f>
        <v>Covid Expenses</v>
      </c>
    </row>
  </sheetData>
  <sheetProtection formatCells="0" formatColumns="0" formatRows="0" insertColumns="0" insertRows="0" deleteRows="0" selectLockedCells="1"/>
  <mergeCells count="42">
    <mergeCell ref="C33:D33"/>
    <mergeCell ref="C34:D34"/>
    <mergeCell ref="C35:D35"/>
    <mergeCell ref="C38:D38"/>
    <mergeCell ref="L39:R39"/>
    <mergeCell ref="C27:D27"/>
    <mergeCell ref="C28:D28"/>
    <mergeCell ref="C29:D29"/>
    <mergeCell ref="C30:D30"/>
    <mergeCell ref="C31:D31"/>
    <mergeCell ref="C32:D32"/>
    <mergeCell ref="T19:Y19"/>
    <mergeCell ref="B22:I22"/>
    <mergeCell ref="C23:D23"/>
    <mergeCell ref="C24:D24"/>
    <mergeCell ref="C25:D25"/>
    <mergeCell ref="C26:D26"/>
    <mergeCell ref="C14:D14"/>
    <mergeCell ref="F14:I14"/>
    <mergeCell ref="C18:E18"/>
    <mergeCell ref="F18:I18"/>
    <mergeCell ref="C19:E19"/>
    <mergeCell ref="F19:I19"/>
    <mergeCell ref="C10:D10"/>
    <mergeCell ref="F10:I10"/>
    <mergeCell ref="C11:D11"/>
    <mergeCell ref="C12:D12"/>
    <mergeCell ref="C13:D13"/>
    <mergeCell ref="F13:I13"/>
    <mergeCell ref="C5:D5"/>
    <mergeCell ref="E5:H6"/>
    <mergeCell ref="C6:D6"/>
    <mergeCell ref="B7:C7"/>
    <mergeCell ref="D7:E7"/>
    <mergeCell ref="C9:D9"/>
    <mergeCell ref="F9:I9"/>
    <mergeCell ref="G1:I1"/>
    <mergeCell ref="B2:C2"/>
    <mergeCell ref="D2:G2"/>
    <mergeCell ref="G3:I3"/>
    <mergeCell ref="J3:L3"/>
    <mergeCell ref="B4:G4"/>
  </mergeCells>
  <conditionalFormatting sqref="R41:R49">
    <cfRule type="containsText" dxfId="5" priority="1" operator="containsText" text="zzzz">
      <formula>NOT(ISERROR(SEARCH("zzzz",R41)))</formula>
    </cfRule>
  </conditionalFormatting>
  <printOptions horizontalCentered="1"/>
  <pageMargins left="0.75" right="0.75" top="0.5" bottom="0.5" header="0.5" footer="0.5"/>
  <pageSetup scale="75" orientation="portrait" r:id="rId1"/>
  <headerFooter alignWithMargins="0"/>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23</vt:i4>
      </vt:variant>
    </vt:vector>
  </HeadingPairs>
  <TitlesOfParts>
    <vt:vector size="30" baseType="lpstr">
      <vt:lpstr>Instructions</vt:lpstr>
      <vt:lpstr>Line No</vt:lpstr>
      <vt:lpstr>PO DATA</vt:lpstr>
      <vt:lpstr>Sheet138</vt:lpstr>
      <vt:lpstr>TEMPLATE-SHEET</vt:lpstr>
      <vt:lpstr>PO Log</vt:lpstr>
      <vt:lpstr>TEMPLATE-SHEET (2)</vt:lpstr>
      <vt:lpstr>'TEMPLATE-SHEET (2)'!DateEntry</vt:lpstr>
      <vt:lpstr>DateEntry</vt:lpstr>
      <vt:lpstr>End</vt:lpstr>
      <vt:lpstr>Job_Name</vt:lpstr>
      <vt:lpstr>Job_Number</vt:lpstr>
      <vt:lpstr>Line</vt:lpstr>
      <vt:lpstr>'TEMPLATE-SHEET'!LineEntry</vt:lpstr>
      <vt:lpstr>'TEMPLATE-SHEET (2)'!LineEntry</vt:lpstr>
      <vt:lpstr>'TEMPLATE-SHEET (2)'!PayIDEntry</vt:lpstr>
      <vt:lpstr>PayIDEntry</vt:lpstr>
      <vt:lpstr>'TEMPLATE-SHEET (2)'!PO_LOG_name</vt:lpstr>
      <vt:lpstr>PO_LOG_name</vt:lpstr>
      <vt:lpstr>POtable</vt:lpstr>
      <vt:lpstr>POtable_header</vt:lpstr>
      <vt:lpstr>Prefix</vt:lpstr>
      <vt:lpstr>'PO Log'!Print_Area</vt:lpstr>
      <vt:lpstr>'TEMPLATE-SHEET'!Print_Area</vt:lpstr>
      <vt:lpstr>'TEMPLATE-SHEET (2)'!Print_Area</vt:lpstr>
      <vt:lpstr>'TEMPLATE-SHEET (2)'!Sheet_PO</vt:lpstr>
      <vt:lpstr>Sheet_PO</vt:lpstr>
      <vt:lpstr>Start</vt:lpstr>
      <vt:lpstr>'TEMPLATE-SHEET (2)'!Vendor</vt:lpstr>
      <vt:lpstr>Vendor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Joshua Parkhill</dc:creator>
  <cp:keywords/>
  <dc:description/>
  <cp:lastModifiedBy>Joshua Parkhill</cp:lastModifiedBy>
  <cp:lastPrinted>2024-08-21T04:15:37Z</cp:lastPrinted>
  <dcterms:created xsi:type="dcterms:W3CDTF">2024-07-31T22:19:32Z</dcterms:created>
  <dcterms:modified xsi:type="dcterms:W3CDTF">2025-02-27T10:11:32Z</dcterms:modified>
  <cp:category/>
</cp:coreProperties>
</file>