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parkhill/Library/CloudStorage/Dropbox/4. JPTV - Files &amp; Templates/2. Custom Forms/"/>
    </mc:Choice>
  </mc:AlternateContent>
  <xr:revisionPtr revIDLastSave="0" documentId="8_{F5C84B57-43CE-9B4F-87EF-600B9F9212DC}" xr6:coauthVersionLast="47" xr6:coauthVersionMax="47" xr10:uidLastSave="{00000000-0000-0000-0000-000000000000}"/>
  <bookViews>
    <workbookView xWindow="11340" yWindow="1700" windowWidth="18920" windowHeight="15540" activeTab="3" xr2:uid="{39C308D8-8B92-634B-95E0-D7E2C6A0A484}"/>
  </bookViews>
  <sheets>
    <sheet name="PO DATA" sheetId="6" r:id="rId1"/>
    <sheet name="Line No" sheetId="3" r:id="rId2"/>
    <sheet name="Scrap" sheetId="556" r:id="rId3"/>
    <sheet name="PO Log" sheetId="2" r:id="rId4"/>
    <sheet name="TEMPLATE-SHEET" sheetId="4" r:id="rId5"/>
    <sheet name="2403-001" sheetId="457" r:id="rId6"/>
    <sheet name="2403-002" sheetId="458" r:id="rId7"/>
    <sheet name="2403-003" sheetId="459" r:id="rId8"/>
    <sheet name="2403-004" sheetId="460" r:id="rId9"/>
    <sheet name="2403-005" sheetId="461" r:id="rId10"/>
    <sheet name="2403-006" sheetId="462" r:id="rId11"/>
    <sheet name="2403-007" sheetId="463" r:id="rId12"/>
    <sheet name="2403-008" sheetId="464" r:id="rId13"/>
    <sheet name="2403-009" sheetId="465" r:id="rId14"/>
    <sheet name="2403-010" sheetId="466" r:id="rId15"/>
    <sheet name="2403-011" sheetId="467" r:id="rId16"/>
    <sheet name="2403-012" sheetId="468" r:id="rId17"/>
    <sheet name="2403-013" sheetId="469" r:id="rId18"/>
    <sheet name="2403-014" sheetId="470" r:id="rId19"/>
    <sheet name="2403-015" sheetId="471" r:id="rId20"/>
    <sheet name="2403-016" sheetId="472" r:id="rId21"/>
    <sheet name="2403-017" sheetId="473" r:id="rId22"/>
    <sheet name="2403-018" sheetId="474" r:id="rId23"/>
    <sheet name="2403-019" sheetId="475" r:id="rId24"/>
    <sheet name="2403-020" sheetId="476" r:id="rId25"/>
    <sheet name="2403-021" sheetId="477" r:id="rId26"/>
    <sheet name="2403-022" sheetId="478" r:id="rId27"/>
    <sheet name="2403-023" sheetId="479" r:id="rId28"/>
    <sheet name="2403-024" sheetId="480" r:id="rId29"/>
    <sheet name="2403-025" sheetId="481" r:id="rId30"/>
    <sheet name="2403-026" sheetId="482" r:id="rId31"/>
    <sheet name="2403-027" sheetId="483" r:id="rId32"/>
    <sheet name="2403-028" sheetId="484" r:id="rId33"/>
    <sheet name="2403-029" sheetId="485" r:id="rId34"/>
    <sheet name="2403-030" sheetId="486" r:id="rId35"/>
    <sheet name="2403-031" sheetId="487" r:id="rId36"/>
    <sheet name="2403-032" sheetId="488" r:id="rId37"/>
    <sheet name="2403-033" sheetId="489" r:id="rId38"/>
    <sheet name="2403-034" sheetId="490" r:id="rId39"/>
    <sheet name="2403-035" sheetId="491" r:id="rId40"/>
    <sheet name="2403-036" sheetId="492" r:id="rId41"/>
    <sheet name="2403-037" sheetId="493" r:id="rId42"/>
    <sheet name="2403-038" sheetId="494" r:id="rId43"/>
    <sheet name="2403-039" sheetId="495" r:id="rId44"/>
    <sheet name="2403-040" sheetId="496" r:id="rId45"/>
    <sheet name="2403-041" sheetId="497" r:id="rId46"/>
    <sheet name="2403-042" sheetId="498" r:id="rId47"/>
    <sheet name="2403-043" sheetId="499" r:id="rId48"/>
    <sheet name="2403-044" sheetId="500" r:id="rId49"/>
    <sheet name="2403-045" sheetId="501" r:id="rId50"/>
    <sheet name="2403-046" sheetId="502" r:id="rId51"/>
    <sheet name="2403-047" sheetId="503" r:id="rId52"/>
    <sheet name="2403-048" sheetId="504" r:id="rId53"/>
    <sheet name="2403-049" sheetId="505" r:id="rId54"/>
    <sheet name="2403-050" sheetId="506" r:id="rId55"/>
    <sheet name="2403-051" sheetId="507" r:id="rId56"/>
    <sheet name="2403-052" sheetId="508" r:id="rId57"/>
    <sheet name="2403-053" sheetId="509" r:id="rId58"/>
    <sheet name="2403-054" sheetId="510" r:id="rId59"/>
    <sheet name="2403-055" sheetId="511" r:id="rId60"/>
    <sheet name="2403-056" sheetId="512" r:id="rId61"/>
    <sheet name="2403-057" sheetId="513" r:id="rId62"/>
    <sheet name="2403-058" sheetId="514" r:id="rId63"/>
    <sheet name="2403-059" sheetId="515" r:id="rId64"/>
    <sheet name="2403-060" sheetId="516" r:id="rId65"/>
    <sheet name="2403-061" sheetId="517" r:id="rId66"/>
    <sheet name="2403-062" sheetId="518" r:id="rId67"/>
    <sheet name="2403-063" sheetId="519" r:id="rId68"/>
    <sheet name="2403-064" sheetId="520" r:id="rId69"/>
    <sheet name="2403-065" sheetId="521" r:id="rId70"/>
    <sheet name="2403-066" sheetId="522" r:id="rId71"/>
    <sheet name="2403-067" sheetId="523" r:id="rId72"/>
    <sheet name="2403-068" sheetId="524" r:id="rId73"/>
    <sheet name="2403-069" sheetId="525" r:id="rId74"/>
    <sheet name="2403-070" sheetId="526" r:id="rId75"/>
    <sheet name="2403-071" sheetId="527" r:id="rId76"/>
    <sheet name="2403-072" sheetId="528" r:id="rId77"/>
    <sheet name="2403-073" sheetId="529" r:id="rId78"/>
    <sheet name="2403-074" sheetId="530" r:id="rId79"/>
    <sheet name="2403-075" sheetId="531" r:id="rId80"/>
    <sheet name="2403-076" sheetId="532" r:id="rId81"/>
    <sheet name="2403-077" sheetId="533" r:id="rId82"/>
    <sheet name="2403-078" sheetId="534" r:id="rId83"/>
    <sheet name="2403-079" sheetId="535" r:id="rId84"/>
    <sheet name="2403-080" sheetId="536" r:id="rId85"/>
    <sheet name="2403-081" sheetId="537" r:id="rId86"/>
    <sheet name="2403-082" sheetId="538" r:id="rId87"/>
    <sheet name="2403-083" sheetId="539" r:id="rId88"/>
    <sheet name="2403-084" sheetId="540" r:id="rId89"/>
    <sheet name="2403-085" sheetId="541" r:id="rId90"/>
    <sheet name="2403-086" sheetId="542" r:id="rId91"/>
    <sheet name="2403-087" sheetId="543" r:id="rId92"/>
    <sheet name="2403-088" sheetId="544" r:id="rId93"/>
    <sheet name="2403-089" sheetId="545" r:id="rId94"/>
    <sheet name="2403-090" sheetId="546" r:id="rId95"/>
    <sheet name="2403-091" sheetId="547" r:id="rId96"/>
    <sheet name="2403-092" sheetId="548" r:id="rId97"/>
    <sheet name="2403-093" sheetId="549" r:id="rId98"/>
    <sheet name="2403-094" sheetId="550" r:id="rId99"/>
    <sheet name="2403-095" sheetId="551" r:id="rId100"/>
    <sheet name="2403-096" sheetId="552" r:id="rId101"/>
    <sheet name="2403-097" sheetId="553" r:id="rId102"/>
    <sheet name="2403-098" sheetId="554" r:id="rId103"/>
    <sheet name="2403-099" sheetId="555" r:id="rId104"/>
    <sheet name="2403-100" sheetId="557" r:id="rId105"/>
    <sheet name="2403-101" sheetId="558" r:id="rId106"/>
    <sheet name="2403-102" sheetId="559" r:id="rId107"/>
    <sheet name="2403-103" sheetId="560" r:id="rId108"/>
    <sheet name="2403-104" sheetId="561" r:id="rId109"/>
    <sheet name="2403-105" sheetId="562" r:id="rId110"/>
    <sheet name="2403-106" sheetId="563" r:id="rId111"/>
    <sheet name="2403-107" sheetId="564" r:id="rId112"/>
    <sheet name="2403-108" sheetId="565" r:id="rId113"/>
    <sheet name="2403-109" sheetId="566" r:id="rId114"/>
    <sheet name="2403-110" sheetId="567" r:id="rId115"/>
    <sheet name="2403-111" sheetId="579" r:id="rId116"/>
    <sheet name="2403-112" sheetId="580" r:id="rId117"/>
    <sheet name="2403-113" sheetId="581" r:id="rId118"/>
    <sheet name="2403-114" sheetId="582" r:id="rId119"/>
    <sheet name="2403-115" sheetId="583" r:id="rId120"/>
    <sheet name="2403-116" sheetId="584" r:id="rId121"/>
    <sheet name="2403-117" sheetId="585" r:id="rId122"/>
    <sheet name="2403-118" sheetId="586" r:id="rId123"/>
    <sheet name="2403-119" sheetId="587" r:id="rId124"/>
    <sheet name="2403-120" sheetId="588" r:id="rId125"/>
    <sheet name="2403-121" sheetId="589" r:id="rId126"/>
    <sheet name="2403-122" sheetId="590" r:id="rId127"/>
    <sheet name="2403-123" sheetId="591" r:id="rId128"/>
    <sheet name="2403-124" sheetId="592" r:id="rId129"/>
    <sheet name="2403-125" sheetId="593" r:id="rId130"/>
    <sheet name="2403-126" sheetId="594" r:id="rId131"/>
    <sheet name="2403-127" sheetId="595" r:id="rId132"/>
    <sheet name="2403-128" sheetId="596" r:id="rId133"/>
    <sheet name="2403-129" sheetId="597" r:id="rId134"/>
    <sheet name="2403-130" sheetId="598" r:id="rId135"/>
    <sheet name="2403-131" sheetId="599" r:id="rId136"/>
    <sheet name="2403-132" sheetId="600" r:id="rId137"/>
    <sheet name="2403-133" sheetId="601" r:id="rId138"/>
    <sheet name="2403-134" sheetId="602" r:id="rId139"/>
    <sheet name="2403-135" sheetId="603" r:id="rId140"/>
    <sheet name="2403-136" sheetId="604" r:id="rId141"/>
    <sheet name="2403-137" sheetId="605" r:id="rId142"/>
    <sheet name="2403-138" sheetId="606" r:id="rId143"/>
    <sheet name="2403-139" sheetId="607" r:id="rId144"/>
    <sheet name="2403-140" sheetId="608" r:id="rId145"/>
    <sheet name="2403-141" sheetId="609" r:id="rId146"/>
  </sheets>
  <definedNames>
    <definedName name="End">'PO DATA'!$C$17</definedName>
    <definedName name="Job_Name">'PO DATA'!$D$2</definedName>
    <definedName name="Job_Number">'PO DATA'!$D$3</definedName>
    <definedName name="PAY_ID" localSheetId="5">'2403-001'!$I$21</definedName>
    <definedName name="PAY_ID" localSheetId="6">'2403-002'!$J$21</definedName>
    <definedName name="PAY_ID" localSheetId="7">'2403-003'!$I$21</definedName>
    <definedName name="PAY_ID" localSheetId="8">'2403-004'!$J$21</definedName>
    <definedName name="PAY_ID" localSheetId="9">'2403-005'!$I$21</definedName>
    <definedName name="PAY_ID" localSheetId="10">'2403-006'!$I$21</definedName>
    <definedName name="PAY_ID" localSheetId="11">'2403-007'!$I$21</definedName>
    <definedName name="PAY_ID" localSheetId="12">'2403-008'!$I$21</definedName>
    <definedName name="PAY_ID" localSheetId="13">'2403-009'!$I$21</definedName>
    <definedName name="PAY_ID" localSheetId="14">'2403-010'!$I$21</definedName>
    <definedName name="PAY_ID" localSheetId="15">'2403-011'!$J$21</definedName>
    <definedName name="PAY_ID" localSheetId="16">'2403-012'!$I$21</definedName>
    <definedName name="PAY_ID" localSheetId="17">'2403-013'!$I$21</definedName>
    <definedName name="PAY_ID" localSheetId="18">'2403-014'!$K$21</definedName>
    <definedName name="PAY_ID" localSheetId="19">'2403-015'!$I$21</definedName>
    <definedName name="PAY_ID" localSheetId="20">'2403-016'!$I$21</definedName>
    <definedName name="PAY_ID" localSheetId="21">'2403-017'!$I$21</definedName>
    <definedName name="PAY_ID" localSheetId="22">'2403-018'!$I$21</definedName>
    <definedName name="PAY_ID" localSheetId="23">'2403-019'!$I$21</definedName>
    <definedName name="PAY_ID" localSheetId="24">'2403-020'!$J$21</definedName>
    <definedName name="PAY_ID" localSheetId="25">'2403-021'!$I$21</definedName>
    <definedName name="PAY_ID" localSheetId="26">'2403-022'!$I$21</definedName>
    <definedName name="PAY_ID" localSheetId="27">'2403-023'!$I$21</definedName>
    <definedName name="PAY_ID" localSheetId="28">'2403-024'!$I$21</definedName>
    <definedName name="PAY_ID" localSheetId="29">'2403-025'!$I$21</definedName>
    <definedName name="PAY_ID" localSheetId="30">'2403-026'!$I$21</definedName>
    <definedName name="PAY_ID" localSheetId="31">'2403-027'!$I$21</definedName>
    <definedName name="PAY_ID" localSheetId="32">'2403-028'!$I$21</definedName>
    <definedName name="PAY_ID" localSheetId="33">'2403-029'!$I$21</definedName>
    <definedName name="PAY_ID" localSheetId="34">'2403-030'!$I$21</definedName>
    <definedName name="PAY_ID" localSheetId="35">'2403-031'!$I$21</definedName>
    <definedName name="PAY_ID" localSheetId="36">'2403-032'!$I$21</definedName>
    <definedName name="PAY_ID" localSheetId="37">'2403-033'!$I$21</definedName>
    <definedName name="PAY_ID" localSheetId="38">'2403-034'!$I$21</definedName>
    <definedName name="PAY_ID" localSheetId="39">'2403-035'!$I$21</definedName>
    <definedName name="PAY_ID" localSheetId="40">'2403-036'!$I$21</definedName>
    <definedName name="PAY_ID" localSheetId="41">'2403-037'!$I$21</definedName>
    <definedName name="PAY_ID" localSheetId="42">'2403-038'!$I$21</definedName>
    <definedName name="PAY_ID" localSheetId="43">'2403-039'!$I$21</definedName>
    <definedName name="PAY_ID" localSheetId="44">'2403-040'!$I$21</definedName>
    <definedName name="PAY_ID" localSheetId="45">'2403-041'!$I$21</definedName>
    <definedName name="PAY_ID" localSheetId="46">'2403-042'!$I$21</definedName>
    <definedName name="PAY_ID" localSheetId="47">'2403-043'!$I$21</definedName>
    <definedName name="PAY_ID" localSheetId="48">'2403-044'!$I$21</definedName>
    <definedName name="PAY_ID" localSheetId="49">'2403-045'!$I$21</definedName>
    <definedName name="PAY_ID" localSheetId="50">'2403-046'!$I$21</definedName>
    <definedName name="PAY_ID" localSheetId="51">'2403-047'!$I$21</definedName>
    <definedName name="PAY_ID" localSheetId="52">'2403-048'!$I$21</definedName>
    <definedName name="PAY_ID" localSheetId="53">'2403-049'!$I$21</definedName>
    <definedName name="PAY_ID" localSheetId="54">'2403-050'!$I$21</definedName>
    <definedName name="PAY_ID" localSheetId="55">'2403-051'!$I$21</definedName>
    <definedName name="PAY_ID" localSheetId="56">'2403-052'!$I$21</definedName>
    <definedName name="PAY_ID" localSheetId="57">'2403-053'!$I$21</definedName>
    <definedName name="PAY_ID" localSheetId="58">'2403-054'!$I$21</definedName>
    <definedName name="PAY_ID" localSheetId="59">'2403-055'!$I$21</definedName>
    <definedName name="PAY_ID" localSheetId="60">'2403-056'!$I$21</definedName>
    <definedName name="PAY_ID" localSheetId="61">'2403-057'!$I$21</definedName>
    <definedName name="PAY_ID" localSheetId="62">'2403-058'!$I$21</definedName>
    <definedName name="PAY_ID" localSheetId="63">'2403-059'!$I$21</definedName>
    <definedName name="PAY_ID" localSheetId="64">'2403-060'!$I$21</definedName>
    <definedName name="PAY_ID" localSheetId="65">'2403-061'!$I$21</definedName>
    <definedName name="PAY_ID" localSheetId="66">'2403-062'!$I$21</definedName>
    <definedName name="PAY_ID" localSheetId="67">'2403-063'!$I$21</definedName>
    <definedName name="PAY_ID" localSheetId="68">'2403-064'!$I$21</definedName>
    <definedName name="PAY_ID" localSheetId="69">'2403-065'!$I$21</definedName>
    <definedName name="PAY_ID" localSheetId="70">'2403-066'!$I$21</definedName>
    <definedName name="PAY_ID" localSheetId="71">'2403-067'!$I$21</definedName>
    <definedName name="PAY_ID" localSheetId="72">'2403-068'!$I$21</definedName>
    <definedName name="PAY_ID" localSheetId="73">'2403-069'!$I$21</definedName>
    <definedName name="PAY_ID" localSheetId="74">'2403-070'!$I$21</definedName>
    <definedName name="PAY_ID" localSheetId="75">'2403-071'!$I$21</definedName>
    <definedName name="PAY_ID" localSheetId="76">'2403-072'!$I$21</definedName>
    <definedName name="PAY_ID" localSheetId="77">'2403-073'!$I$21</definedName>
    <definedName name="PAY_ID" localSheetId="78">'2403-074'!$I$21</definedName>
    <definedName name="PAY_ID" localSheetId="79">'2403-075'!$I$21</definedName>
    <definedName name="PAY_ID" localSheetId="80">'2403-076'!$I$21</definedName>
    <definedName name="PAY_ID" localSheetId="81">'2403-077'!$I$21</definedName>
    <definedName name="PAY_ID" localSheetId="82">'2403-078'!$I$21</definedName>
    <definedName name="PAY_ID" localSheetId="83">'2403-079'!$I$21</definedName>
    <definedName name="PAY_ID" localSheetId="84">'2403-080'!$I$21</definedName>
    <definedName name="PAY_ID" localSheetId="85">'2403-081'!$I$21</definedName>
    <definedName name="PAY_ID" localSheetId="86">'2403-082'!$I$21</definedName>
    <definedName name="PAY_ID" localSheetId="87">'2403-083'!$I$21</definedName>
    <definedName name="PAY_ID" localSheetId="88">'2403-084'!$I$21</definedName>
    <definedName name="PAY_ID" localSheetId="89">'2403-085'!$I$21</definedName>
    <definedName name="PAY_ID" localSheetId="90">'2403-086'!$I$21</definedName>
    <definedName name="PAY_ID" localSheetId="91">'2403-087'!$I$21</definedName>
    <definedName name="PAY_ID" localSheetId="92">'2403-088'!$I$21</definedName>
    <definedName name="PAY_ID" localSheetId="93">'2403-089'!$I$21</definedName>
    <definedName name="PAY_ID" localSheetId="94">'2403-090'!$I$21</definedName>
    <definedName name="PAY_ID" localSheetId="95">'2403-091'!$I$21</definedName>
    <definedName name="PAY_ID" localSheetId="96">'2403-092'!$I$21</definedName>
    <definedName name="PAY_ID" localSheetId="97">'2403-093'!$I$21</definedName>
    <definedName name="PAY_ID" localSheetId="98">'2403-094'!$I$21</definedName>
    <definedName name="PAY_ID" localSheetId="99">'2403-095'!$I$21</definedName>
    <definedName name="PAY_ID" localSheetId="100">'2403-096'!$I$21</definedName>
    <definedName name="PAY_ID" localSheetId="101">'2403-097'!$I$21</definedName>
    <definedName name="PAY_ID" localSheetId="102">'2403-098'!$I$21</definedName>
    <definedName name="PAY_ID" localSheetId="103">'2403-099'!$I$21</definedName>
    <definedName name="PAY_ID" localSheetId="104">'2403-100'!$I$21</definedName>
    <definedName name="PAY_ID" localSheetId="105">'2403-101'!$I$21</definedName>
    <definedName name="PAY_ID" localSheetId="106">'2403-102'!$I$21</definedName>
    <definedName name="PAY_ID" localSheetId="107">'2403-103'!$I$21</definedName>
    <definedName name="PAY_ID" localSheetId="108">'2403-104'!$I$21</definedName>
    <definedName name="PAY_ID" localSheetId="109">'2403-105'!$I$21</definedName>
    <definedName name="PAY_ID" localSheetId="110">'2403-106'!$I$21</definedName>
    <definedName name="PAY_ID" localSheetId="111">'2403-107'!$I$21</definedName>
    <definedName name="PAY_ID" localSheetId="112">'2403-108'!$I$21</definedName>
    <definedName name="PAY_ID" localSheetId="113">'2403-109'!$I$21</definedName>
    <definedName name="PAY_ID" localSheetId="114">'2403-110'!$I$21</definedName>
    <definedName name="PAY_ID" localSheetId="115">'2403-111'!$I$21</definedName>
    <definedName name="PAY_ID" localSheetId="116">'2403-112'!$I$21</definedName>
    <definedName name="PAY_ID" localSheetId="117">'2403-113'!$I$21</definedName>
    <definedName name="PAY_ID" localSheetId="118">'2403-114'!$I$21</definedName>
    <definedName name="PAY_ID" localSheetId="119">'2403-115'!$I$21</definedName>
    <definedName name="PAY_ID" localSheetId="120">'2403-116'!$I$21</definedName>
    <definedName name="PAY_ID" localSheetId="121">'2403-117'!$I$21</definedName>
    <definedName name="PAY_ID" localSheetId="122">'2403-118'!$I$21</definedName>
    <definedName name="PAY_ID" localSheetId="123">'2403-119'!$I$21</definedName>
    <definedName name="PAY_ID" localSheetId="124">'2403-120'!$I$21</definedName>
    <definedName name="PAY_ID" localSheetId="125">'2403-121'!$I$21</definedName>
    <definedName name="PAY_ID" localSheetId="126">'2403-122'!$I$21</definedName>
    <definedName name="PAY_ID" localSheetId="127">'2403-123'!$I$21</definedName>
    <definedName name="PAY_ID" localSheetId="128">'2403-124'!$I$21</definedName>
    <definedName name="PAY_ID" localSheetId="129">'2403-125'!$I$21</definedName>
    <definedName name="PAY_ID" localSheetId="130">'2403-126'!$I$21</definedName>
    <definedName name="PAY_ID" localSheetId="131">'2403-127'!$I$21</definedName>
    <definedName name="PAY_ID" localSheetId="132">'2403-128'!$I$21</definedName>
    <definedName name="PAY_ID" localSheetId="133">'2403-129'!$I$21</definedName>
    <definedName name="PAY_ID" localSheetId="134">'2403-130'!$I$21</definedName>
    <definedName name="PAY_ID" localSheetId="135">'2403-131'!$I$21</definedName>
    <definedName name="PAY_ID" localSheetId="136">'2403-132'!$I$21</definedName>
    <definedName name="PAY_ID" localSheetId="137">'2403-133'!$I$21</definedName>
    <definedName name="PAY_ID" localSheetId="138">'2403-134'!$I$21</definedName>
    <definedName name="PAY_ID" localSheetId="139">'2403-135'!$I$21</definedName>
    <definedName name="PAY_ID" localSheetId="140">'2403-136'!$I$21</definedName>
    <definedName name="PAY_ID" localSheetId="141">'2403-137'!$I$21</definedName>
    <definedName name="PAY_ID" localSheetId="142">'2403-138'!$I$21</definedName>
    <definedName name="PAY_ID" localSheetId="143">'2403-139'!$I$21</definedName>
    <definedName name="PAY_ID" localSheetId="144">'2403-140'!$I$21</definedName>
    <definedName name="PAY_ID" localSheetId="145">'2403-141'!$I$21</definedName>
    <definedName name="PAY_ID">'TEMPLATE-SHEET'!$I$21</definedName>
    <definedName name="PO_LOG_name" localSheetId="5">PO_LOG[#All]</definedName>
    <definedName name="PO_LOG_name" localSheetId="6">PO_LOG[#All]</definedName>
    <definedName name="PO_LOG_name" localSheetId="7">PO_LOG[#All]</definedName>
    <definedName name="PO_LOG_name" localSheetId="8">PO_LOG[#All]</definedName>
    <definedName name="PO_LOG_name" localSheetId="9">PO_LOG[#All]</definedName>
    <definedName name="PO_LOG_name" localSheetId="10">PO_LOG[#All]</definedName>
    <definedName name="PO_LOG_name" localSheetId="11">PO_LOG[#All]</definedName>
    <definedName name="PO_LOG_name" localSheetId="12">PO_LOG[#All]</definedName>
    <definedName name="PO_LOG_name" localSheetId="13">PO_LOG[#All]</definedName>
    <definedName name="PO_LOG_name" localSheetId="14">PO_LOG[#All]</definedName>
    <definedName name="PO_LOG_name" localSheetId="15">PO_LOG[#All]</definedName>
    <definedName name="PO_LOG_name" localSheetId="16">PO_LOG[#All]</definedName>
    <definedName name="PO_LOG_name" localSheetId="17">PO_LOG[#All]</definedName>
    <definedName name="PO_LOG_name" localSheetId="18">PO_LOG[#All]</definedName>
    <definedName name="PO_LOG_name" localSheetId="19">PO_LOG[#All]</definedName>
    <definedName name="PO_LOG_name" localSheetId="20">PO_LOG[#All]</definedName>
    <definedName name="PO_LOG_name" localSheetId="21">PO_LOG[#All]</definedName>
    <definedName name="PO_LOG_name" localSheetId="22">PO_LOG[#All]</definedName>
    <definedName name="PO_LOG_name" localSheetId="23">PO_LOG[#All]</definedName>
    <definedName name="PO_LOG_name" localSheetId="24">PO_LOG[#All]</definedName>
    <definedName name="PO_LOG_name" localSheetId="25">PO_LOG[#All]</definedName>
    <definedName name="PO_LOG_name" localSheetId="26">PO_LOG[#All]</definedName>
    <definedName name="PO_LOG_name" localSheetId="27">PO_LOG[#All]</definedName>
    <definedName name="PO_LOG_name" localSheetId="28">PO_LOG[#All]</definedName>
    <definedName name="PO_LOG_name" localSheetId="29">PO_LOG[#All]</definedName>
    <definedName name="PO_LOG_name" localSheetId="30">PO_LOG[#All]</definedName>
    <definedName name="PO_LOG_name" localSheetId="31">PO_LOG[#All]</definedName>
    <definedName name="PO_LOG_name" localSheetId="32">PO_LOG[#All]</definedName>
    <definedName name="PO_LOG_name" localSheetId="33">PO_LOG[#All]</definedName>
    <definedName name="PO_LOG_name" localSheetId="34">PO_LOG[#All]</definedName>
    <definedName name="PO_LOG_name" localSheetId="35">PO_LOG[#All]</definedName>
    <definedName name="PO_LOG_name" localSheetId="36">PO_LOG[#All]</definedName>
    <definedName name="PO_LOG_name" localSheetId="37">PO_LOG[#All]</definedName>
    <definedName name="PO_LOG_name" localSheetId="38">PO_LOG[#All]</definedName>
    <definedName name="PO_LOG_name" localSheetId="39">PO_LOG[#All]</definedName>
    <definedName name="PO_LOG_name" localSheetId="40">PO_LOG[#All]</definedName>
    <definedName name="PO_LOG_name" localSheetId="41">PO_LOG[#All]</definedName>
    <definedName name="PO_LOG_name" localSheetId="42">PO_LOG[#All]</definedName>
    <definedName name="PO_LOG_name" localSheetId="43">PO_LOG[#All]</definedName>
    <definedName name="PO_LOG_name" localSheetId="44">PO_LOG[#All]</definedName>
    <definedName name="PO_LOG_name" localSheetId="45">PO_LOG[#All]</definedName>
    <definedName name="PO_LOG_name" localSheetId="46">PO_LOG[#All]</definedName>
    <definedName name="PO_LOG_name" localSheetId="47">PO_LOG[#All]</definedName>
    <definedName name="PO_LOG_name" localSheetId="48">PO_LOG[#All]</definedName>
    <definedName name="PO_LOG_name" localSheetId="49">PO_LOG[#All]</definedName>
    <definedName name="PO_LOG_name" localSheetId="50">PO_LOG[#All]</definedName>
    <definedName name="PO_LOG_name" localSheetId="51">PO_LOG[#All]</definedName>
    <definedName name="PO_LOG_name" localSheetId="52">PO_LOG[#All]</definedName>
    <definedName name="PO_LOG_name" localSheetId="53">PO_LOG[#All]</definedName>
    <definedName name="PO_LOG_name" localSheetId="54">PO_LOG[#All]</definedName>
    <definedName name="PO_LOG_name" localSheetId="55">PO_LOG[#All]</definedName>
    <definedName name="PO_LOG_name" localSheetId="56">PO_LOG[#All]</definedName>
    <definedName name="PO_LOG_name" localSheetId="57">PO_LOG[#All]</definedName>
    <definedName name="PO_LOG_name" localSheetId="58">PO_LOG[#All]</definedName>
    <definedName name="PO_LOG_name" localSheetId="59">PO_LOG[#All]</definedName>
    <definedName name="PO_LOG_name" localSheetId="60">PO_LOG[#All]</definedName>
    <definedName name="PO_LOG_name" localSheetId="61">PO_LOG[#All]</definedName>
    <definedName name="PO_LOG_name" localSheetId="62">PO_LOG[#All]</definedName>
    <definedName name="PO_LOG_name" localSheetId="63">PO_LOG[#All]</definedName>
    <definedName name="PO_LOG_name" localSheetId="64">PO_LOG[#All]</definedName>
    <definedName name="PO_LOG_name" localSheetId="65">PO_LOG[#All]</definedName>
    <definedName name="PO_LOG_name" localSheetId="66">PO_LOG[#All]</definedName>
    <definedName name="PO_LOG_name" localSheetId="67">PO_LOG[#All]</definedName>
    <definedName name="PO_LOG_name" localSheetId="68">PO_LOG[#All]</definedName>
    <definedName name="PO_LOG_name" localSheetId="69">PO_LOG[#All]</definedName>
    <definedName name="PO_LOG_name" localSheetId="70">PO_LOG[#All]</definedName>
    <definedName name="PO_LOG_name" localSheetId="71">PO_LOG[#All]</definedName>
    <definedName name="PO_LOG_name" localSheetId="72">PO_LOG[#All]</definedName>
    <definedName name="PO_LOG_name" localSheetId="73">PO_LOG[#All]</definedName>
    <definedName name="PO_LOG_name" localSheetId="74">PO_LOG[#All]</definedName>
    <definedName name="PO_LOG_name" localSheetId="75">PO_LOG[#All]</definedName>
    <definedName name="PO_LOG_name" localSheetId="76">PO_LOG[#All]</definedName>
    <definedName name="PO_LOG_name" localSheetId="77">PO_LOG[#All]</definedName>
    <definedName name="PO_LOG_name" localSheetId="78">PO_LOG[#All]</definedName>
    <definedName name="PO_LOG_name" localSheetId="79">PO_LOG[#All]</definedName>
    <definedName name="PO_LOG_name" localSheetId="80">PO_LOG[#All]</definedName>
    <definedName name="PO_LOG_name" localSheetId="81">PO_LOG[#All]</definedName>
    <definedName name="PO_LOG_name" localSheetId="82">PO_LOG[#All]</definedName>
    <definedName name="PO_LOG_name" localSheetId="83">PO_LOG[#All]</definedName>
    <definedName name="PO_LOG_name" localSheetId="84">PO_LOG[#All]</definedName>
    <definedName name="PO_LOG_name" localSheetId="85">PO_LOG[#All]</definedName>
    <definedName name="PO_LOG_name" localSheetId="86">PO_LOG[#All]</definedName>
    <definedName name="PO_LOG_name" localSheetId="87">PO_LOG[#All]</definedName>
    <definedName name="PO_LOG_name" localSheetId="88">PO_LOG[#All]</definedName>
    <definedName name="PO_LOG_name" localSheetId="89">PO_LOG[#All]</definedName>
    <definedName name="PO_LOG_name" localSheetId="90">PO_LOG[#All]</definedName>
    <definedName name="PO_LOG_name" localSheetId="91">PO_LOG[#All]</definedName>
    <definedName name="PO_LOG_name" localSheetId="92">PO_LOG[#All]</definedName>
    <definedName name="PO_LOG_name" localSheetId="93">PO_LOG[#All]</definedName>
    <definedName name="PO_LOG_name" localSheetId="94">PO_LOG[#All]</definedName>
    <definedName name="PO_LOG_name" localSheetId="95">PO_LOG[#All]</definedName>
    <definedName name="PO_LOG_name" localSheetId="96">PO_LOG[#All]</definedName>
    <definedName name="PO_LOG_name" localSheetId="97">PO_LOG[#All]</definedName>
    <definedName name="PO_LOG_name" localSheetId="98">PO_LOG[#All]</definedName>
    <definedName name="PO_LOG_name" localSheetId="99">PO_LOG[#All]</definedName>
    <definedName name="PO_LOG_name" localSheetId="100">PO_LOG[#All]</definedName>
    <definedName name="PO_LOG_name" localSheetId="101">PO_LOG[#All]</definedName>
    <definedName name="PO_LOG_name" localSheetId="102">PO_LOG[#All]</definedName>
    <definedName name="PO_LOG_name" localSheetId="103">PO_LOG[#All]</definedName>
    <definedName name="PO_LOG_name" localSheetId="104">PO_LOG[#All]</definedName>
    <definedName name="PO_LOG_name" localSheetId="105">PO_LOG[#All]</definedName>
    <definedName name="PO_LOG_name" localSheetId="106">PO_LOG[#All]</definedName>
    <definedName name="PO_LOG_name" localSheetId="107">PO_LOG[#All]</definedName>
    <definedName name="PO_LOG_name" localSheetId="108">PO_LOG[#All]</definedName>
    <definedName name="PO_LOG_name" localSheetId="109">PO_LOG[#All]</definedName>
    <definedName name="PO_LOG_name" localSheetId="110">PO_LOG[#All]</definedName>
    <definedName name="PO_LOG_name" localSheetId="111">PO_LOG[#All]</definedName>
    <definedName name="PO_LOG_name" localSheetId="112">PO_LOG[#All]</definedName>
    <definedName name="PO_LOG_name" localSheetId="113">PO_LOG[#All]</definedName>
    <definedName name="PO_LOG_name" localSheetId="114">PO_LOG[#All]</definedName>
    <definedName name="PO_LOG_name" localSheetId="115">PO_LOG[#All]</definedName>
    <definedName name="PO_LOG_name" localSheetId="116">PO_LOG[#All]</definedName>
    <definedName name="PO_LOG_name" localSheetId="117">PO_LOG[#All]</definedName>
    <definedName name="PO_LOG_name" localSheetId="118">PO_LOG[#All]</definedName>
    <definedName name="PO_LOG_name" localSheetId="119">PO_LOG[#All]</definedName>
    <definedName name="PO_LOG_name" localSheetId="120">PO_LOG[#All]</definedName>
    <definedName name="PO_LOG_name" localSheetId="121">PO_LOG[#All]</definedName>
    <definedName name="PO_LOG_name" localSheetId="122">PO_LOG[#All]</definedName>
    <definedName name="PO_LOG_name" localSheetId="123">PO_LOG[#All]</definedName>
    <definedName name="PO_LOG_name" localSheetId="124">PO_LOG[#All]</definedName>
    <definedName name="PO_LOG_name" localSheetId="125">PO_LOG[#All]</definedName>
    <definedName name="PO_LOG_name" localSheetId="126">PO_LOG[#All]</definedName>
    <definedName name="PO_LOG_name" localSheetId="127">PO_LOG[#All]</definedName>
    <definedName name="PO_LOG_name" localSheetId="128">PO_LOG[#All]</definedName>
    <definedName name="PO_LOG_name" localSheetId="129">PO_LOG[#All]</definedName>
    <definedName name="PO_LOG_name" localSheetId="130">PO_LOG[#All]</definedName>
    <definedName name="PO_LOG_name" localSheetId="131">PO_LOG[#All]</definedName>
    <definedName name="PO_LOG_name" localSheetId="132">PO_LOG[#All]</definedName>
    <definedName name="PO_LOG_name" localSheetId="133">PO_LOG[#All]</definedName>
    <definedName name="PO_LOG_name" localSheetId="134">PO_LOG[#All]</definedName>
    <definedName name="PO_LOG_name" localSheetId="135">PO_LOG[#All]</definedName>
    <definedName name="PO_LOG_name" localSheetId="136">PO_LOG[#All]</definedName>
    <definedName name="PO_LOG_name" localSheetId="137">PO_LOG[#All]</definedName>
    <definedName name="PO_LOG_name" localSheetId="138">PO_LOG[#All]</definedName>
    <definedName name="PO_LOG_name" localSheetId="139">PO_LOG[#All]</definedName>
    <definedName name="PO_LOG_name" localSheetId="140">PO_LOG[#All]</definedName>
    <definedName name="PO_LOG_name" localSheetId="141">PO_LOG[#All]</definedName>
    <definedName name="PO_LOG_name" localSheetId="142">PO_LOG[#All]</definedName>
    <definedName name="PO_LOG_name" localSheetId="143">PO_LOG[#All]</definedName>
    <definedName name="PO_LOG_name" localSheetId="144">PO_LOG[#All]</definedName>
    <definedName name="PO_LOG_name" localSheetId="145">PO_LOG[#All]</definedName>
    <definedName name="PO_LOG_name">PO_LOG[#All]</definedName>
    <definedName name="Prefix">'PO DATA'!$B$15</definedName>
    <definedName name="_xlnm.Print_Area" localSheetId="5">'2403-001'!$B$1:$I$53</definedName>
    <definedName name="_xlnm.Print_Area" localSheetId="6">'2403-002'!$B$1:$J$53</definedName>
    <definedName name="_xlnm.Print_Area" localSheetId="7">'2403-003'!$B$1:$I$53</definedName>
    <definedName name="_xlnm.Print_Area" localSheetId="8">'2403-004'!$B$1:$J$53</definedName>
    <definedName name="_xlnm.Print_Area" localSheetId="9">'2403-005'!$B$1:$I$53</definedName>
    <definedName name="_xlnm.Print_Area" localSheetId="10">'2403-006'!$B$1:$I$53</definedName>
    <definedName name="_xlnm.Print_Area" localSheetId="11">'2403-007'!$B$1:$I$53</definedName>
    <definedName name="_xlnm.Print_Area" localSheetId="12">'2403-008'!$B$1:$I$53</definedName>
    <definedName name="_xlnm.Print_Area" localSheetId="13">'2403-009'!$B$1:$I$53</definedName>
    <definedName name="_xlnm.Print_Area" localSheetId="14">'2403-010'!$B$1:$I$53</definedName>
    <definedName name="_xlnm.Print_Area" localSheetId="15">'2403-011'!$B$1:$J$53</definedName>
    <definedName name="_xlnm.Print_Area" localSheetId="16">'2403-012'!$B$1:$I$53</definedName>
    <definedName name="_xlnm.Print_Area" localSheetId="17">'2403-013'!$B$1:$I$53</definedName>
    <definedName name="_xlnm.Print_Area" localSheetId="18">'2403-014'!$B$1:$K$57</definedName>
    <definedName name="_xlnm.Print_Area" localSheetId="19">'2403-015'!$B$1:$I$53</definedName>
    <definedName name="_xlnm.Print_Area" localSheetId="20">'2403-016'!$B$1:$I$53</definedName>
    <definedName name="_xlnm.Print_Area" localSheetId="21">'2403-017'!$B$1:$I$53</definedName>
    <definedName name="_xlnm.Print_Area" localSheetId="22">'2403-018'!$B$1:$I$53</definedName>
    <definedName name="_xlnm.Print_Area" localSheetId="23">'2403-019'!$B$1:$I$53</definedName>
    <definedName name="_xlnm.Print_Area" localSheetId="24">'2403-020'!$B$1:$J$53</definedName>
    <definedName name="_xlnm.Print_Area" localSheetId="25">'2403-021'!$B$1:$I$53</definedName>
    <definedName name="_xlnm.Print_Area" localSheetId="26">'2403-022'!$B$1:$I$53</definedName>
    <definedName name="_xlnm.Print_Area" localSheetId="27">'2403-023'!$B$1:$I$53</definedName>
    <definedName name="_xlnm.Print_Area" localSheetId="28">'2403-024'!$B$1:$I$53</definedName>
    <definedName name="_xlnm.Print_Area" localSheetId="29">'2403-025'!$B$1:$I$53</definedName>
    <definedName name="_xlnm.Print_Area" localSheetId="30">'2403-026'!$B$1:$I$53</definedName>
    <definedName name="_xlnm.Print_Area" localSheetId="31">'2403-027'!$B$1:$I$53</definedName>
    <definedName name="_xlnm.Print_Area" localSheetId="32">'2403-028'!$B$1:$I$53</definedName>
    <definedName name="_xlnm.Print_Area" localSheetId="33">'2403-029'!$B$1:$I$53</definedName>
    <definedName name="_xlnm.Print_Area" localSheetId="34">'2403-030'!$B$1:$I$53</definedName>
    <definedName name="_xlnm.Print_Area" localSheetId="35">'2403-031'!$B$1:$I$53</definedName>
    <definedName name="_xlnm.Print_Area" localSheetId="36">'2403-032'!$B$1:$I$53</definedName>
    <definedName name="_xlnm.Print_Area" localSheetId="37">'2403-033'!$B$1:$I$53</definedName>
    <definedName name="_xlnm.Print_Area" localSheetId="38">'2403-034'!$B$1:$I$53</definedName>
    <definedName name="_xlnm.Print_Area" localSheetId="39">'2403-035'!$B$1:$I$53</definedName>
    <definedName name="_xlnm.Print_Area" localSheetId="40">'2403-036'!$B$1:$I$53</definedName>
    <definedName name="_xlnm.Print_Area" localSheetId="41">'2403-037'!$B$1:$I$53</definedName>
    <definedName name="_xlnm.Print_Area" localSheetId="42">'2403-038'!$B$1:$I$53</definedName>
    <definedName name="_xlnm.Print_Area" localSheetId="43">'2403-039'!$B$1:$I$53</definedName>
    <definedName name="_xlnm.Print_Area" localSheetId="44">'2403-040'!$B$1:$I$53</definedName>
    <definedName name="_xlnm.Print_Area" localSheetId="45">'2403-041'!$B$1:$I$53</definedName>
    <definedName name="_xlnm.Print_Area" localSheetId="46">'2403-042'!$B$1:$I$53</definedName>
    <definedName name="_xlnm.Print_Area" localSheetId="47">'2403-043'!$B$1:$I$53</definedName>
    <definedName name="_xlnm.Print_Area" localSheetId="48">'2403-044'!$B$1:$I$53</definedName>
    <definedName name="_xlnm.Print_Area" localSheetId="49">'2403-045'!$B$1:$I$53</definedName>
    <definedName name="_xlnm.Print_Area" localSheetId="50">'2403-046'!$B$1:$I$53</definedName>
    <definedName name="_xlnm.Print_Area" localSheetId="51">'2403-047'!$B$1:$I$53</definedName>
    <definedName name="_xlnm.Print_Area" localSheetId="52">'2403-048'!$B$1:$I$53</definedName>
    <definedName name="_xlnm.Print_Area" localSheetId="53">'2403-049'!$B$1:$I$53</definedName>
    <definedName name="_xlnm.Print_Area" localSheetId="54">'2403-050'!$B$1:$I$53</definedName>
    <definedName name="_xlnm.Print_Area" localSheetId="55">'2403-051'!$B$1:$I$53</definedName>
    <definedName name="_xlnm.Print_Area" localSheetId="56">'2403-052'!$B$1:$I$53</definedName>
    <definedName name="_xlnm.Print_Area" localSheetId="57">'2403-053'!$B$1:$I$53</definedName>
    <definedName name="_xlnm.Print_Area" localSheetId="58">'2403-054'!$B$1:$I$53</definedName>
    <definedName name="_xlnm.Print_Area" localSheetId="59">'2403-055'!$B$1:$I$53</definedName>
    <definedName name="_xlnm.Print_Area" localSheetId="60">'2403-056'!$B$1:$I$53</definedName>
    <definedName name="_xlnm.Print_Area" localSheetId="61">'2403-057'!$B$1:$I$53</definedName>
    <definedName name="_xlnm.Print_Area" localSheetId="62">'2403-058'!$B$1:$I$53</definedName>
    <definedName name="_xlnm.Print_Area" localSheetId="63">'2403-059'!$B$1:$I$53</definedName>
    <definedName name="_xlnm.Print_Area" localSheetId="64">'2403-060'!$B$1:$I$53</definedName>
    <definedName name="_xlnm.Print_Area" localSheetId="65">'2403-061'!$B$1:$I$53</definedName>
    <definedName name="_xlnm.Print_Area" localSheetId="66">'2403-062'!$B$1:$I$53</definedName>
    <definedName name="_xlnm.Print_Area" localSheetId="67">'2403-063'!$B$1:$I$53</definedName>
    <definedName name="_xlnm.Print_Area" localSheetId="68">'2403-064'!$B$1:$I$53</definedName>
    <definedName name="_xlnm.Print_Area" localSheetId="69">'2403-065'!$B$1:$I$53</definedName>
    <definedName name="_xlnm.Print_Area" localSheetId="70">'2403-066'!$B$1:$I$53</definedName>
    <definedName name="_xlnm.Print_Area" localSheetId="71">'2403-067'!$B$1:$I$53</definedName>
    <definedName name="_xlnm.Print_Area" localSheetId="72">'2403-068'!$B$1:$I$53</definedName>
    <definedName name="_xlnm.Print_Area" localSheetId="73">'2403-069'!$B$1:$I$53</definedName>
    <definedName name="_xlnm.Print_Area" localSheetId="74">'2403-070'!$B$1:$I$53</definedName>
    <definedName name="_xlnm.Print_Area" localSheetId="75">'2403-071'!$B$1:$I$53</definedName>
    <definedName name="_xlnm.Print_Area" localSheetId="76">'2403-072'!$B$1:$I$53</definedName>
    <definedName name="_xlnm.Print_Area" localSheetId="77">'2403-073'!$B$1:$I$53</definedName>
    <definedName name="_xlnm.Print_Area" localSheetId="78">'2403-074'!$B$1:$I$53</definedName>
    <definedName name="_xlnm.Print_Area" localSheetId="79">'2403-075'!$B$1:$I$53</definedName>
    <definedName name="_xlnm.Print_Area" localSheetId="80">'2403-076'!$B$1:$I$53</definedName>
    <definedName name="_xlnm.Print_Area" localSheetId="81">'2403-077'!$B$1:$I$53</definedName>
    <definedName name="_xlnm.Print_Area" localSheetId="82">'2403-078'!$B$1:$I$53</definedName>
    <definedName name="_xlnm.Print_Area" localSheetId="83">'2403-079'!$B$1:$I$53</definedName>
    <definedName name="_xlnm.Print_Area" localSheetId="84">'2403-080'!$B$1:$I$53</definedName>
    <definedName name="_xlnm.Print_Area" localSheetId="85">'2403-081'!$B$1:$I$53</definedName>
    <definedName name="_xlnm.Print_Area" localSheetId="86">'2403-082'!$B$1:$I$53</definedName>
    <definedName name="_xlnm.Print_Area" localSheetId="87">'2403-083'!$B$1:$I$53</definedName>
    <definedName name="_xlnm.Print_Area" localSheetId="88">'2403-084'!$B$1:$I$53</definedName>
    <definedName name="_xlnm.Print_Area" localSheetId="89">'2403-085'!$B$1:$I$53</definedName>
    <definedName name="_xlnm.Print_Area" localSheetId="90">'2403-086'!$B$1:$I$53</definedName>
    <definedName name="_xlnm.Print_Area" localSheetId="91">'2403-087'!$B$1:$I$53</definedName>
    <definedName name="_xlnm.Print_Area" localSheetId="92">'2403-088'!$B$1:$I$53</definedName>
    <definedName name="_xlnm.Print_Area" localSheetId="93">'2403-089'!$B$1:$I$53</definedName>
    <definedName name="_xlnm.Print_Area" localSheetId="94">'2403-090'!$B$1:$I$53</definedName>
    <definedName name="_xlnm.Print_Area" localSheetId="95">'2403-091'!$B$1:$I$53</definedName>
    <definedName name="_xlnm.Print_Area" localSheetId="96">'2403-092'!$B$1:$I$53</definedName>
    <definedName name="_xlnm.Print_Area" localSheetId="97">'2403-093'!$B$1:$I$53</definedName>
    <definedName name="_xlnm.Print_Area" localSheetId="98">'2403-094'!$B$1:$I$53</definedName>
    <definedName name="_xlnm.Print_Area" localSheetId="99">'2403-095'!$B$1:$I$53</definedName>
    <definedName name="_xlnm.Print_Area" localSheetId="100">'2403-096'!$B$1:$I$53</definedName>
    <definedName name="_xlnm.Print_Area" localSheetId="101">'2403-097'!$B$1:$I$53</definedName>
    <definedName name="_xlnm.Print_Area" localSheetId="102">'2403-098'!$B$1:$I$53</definedName>
    <definedName name="_xlnm.Print_Area" localSheetId="103">'2403-099'!$B$1:$I$53</definedName>
    <definedName name="_xlnm.Print_Area" localSheetId="104">'2403-100'!$B$1:$I$53</definedName>
    <definedName name="_xlnm.Print_Area" localSheetId="105">'2403-101'!$B$1:$I$53</definedName>
    <definedName name="_xlnm.Print_Area" localSheetId="106">'2403-102'!$B$1:$I$53</definedName>
    <definedName name="_xlnm.Print_Area" localSheetId="107">'2403-103'!$B$1:$I$53</definedName>
    <definedName name="_xlnm.Print_Area" localSheetId="108">'2403-104'!$B$1:$I$53</definedName>
    <definedName name="_xlnm.Print_Area" localSheetId="109">'2403-105'!$B$1:$I$53</definedName>
    <definedName name="_xlnm.Print_Area" localSheetId="110">'2403-106'!$B$1:$I$53</definedName>
    <definedName name="_xlnm.Print_Area" localSheetId="111">'2403-107'!$B$1:$I$53</definedName>
    <definedName name="_xlnm.Print_Area" localSheetId="112">'2403-108'!$B$1:$I$53</definedName>
    <definedName name="_xlnm.Print_Area" localSheetId="113">'2403-109'!$B$1:$I$53</definedName>
    <definedName name="_xlnm.Print_Area" localSheetId="114">'2403-110'!$B$1:$I$53</definedName>
    <definedName name="_xlnm.Print_Area" localSheetId="115">'2403-111'!$B$1:$I$53</definedName>
    <definedName name="_xlnm.Print_Area" localSheetId="116">'2403-112'!$B$1:$I$53</definedName>
    <definedName name="_xlnm.Print_Area" localSheetId="117">'2403-113'!$B$1:$I$53</definedName>
    <definedName name="_xlnm.Print_Area" localSheetId="118">'2403-114'!$B$1:$I$53</definedName>
    <definedName name="_xlnm.Print_Area" localSheetId="119">'2403-115'!$B$1:$I$53</definedName>
    <definedName name="_xlnm.Print_Area" localSheetId="120">'2403-116'!$B$1:$I$53</definedName>
    <definedName name="_xlnm.Print_Area" localSheetId="121">'2403-117'!$B$1:$I$53</definedName>
    <definedName name="_xlnm.Print_Area" localSheetId="122">'2403-118'!$B$1:$I$53</definedName>
    <definedName name="_xlnm.Print_Area" localSheetId="123">'2403-119'!$B$1:$I$53</definedName>
    <definedName name="_xlnm.Print_Area" localSheetId="124">'2403-120'!$B$1:$I$53</definedName>
    <definedName name="_xlnm.Print_Area" localSheetId="125">'2403-121'!$B$1:$I$53</definedName>
    <definedName name="_xlnm.Print_Area" localSheetId="126">'2403-122'!$B$1:$I$53</definedName>
    <definedName name="_xlnm.Print_Area" localSheetId="127">'2403-123'!$B$1:$I$53</definedName>
    <definedName name="_xlnm.Print_Area" localSheetId="128">'2403-124'!$B$1:$I$53</definedName>
    <definedName name="_xlnm.Print_Area" localSheetId="129">'2403-125'!$B$1:$I$53</definedName>
    <definedName name="_xlnm.Print_Area" localSheetId="130">'2403-126'!$B$1:$I$53</definedName>
    <definedName name="_xlnm.Print_Area" localSheetId="131">'2403-127'!$B$1:$I$53</definedName>
    <definedName name="_xlnm.Print_Area" localSheetId="132">'2403-128'!$B$1:$I$53</definedName>
    <definedName name="_xlnm.Print_Area" localSheetId="133">'2403-129'!$B$1:$I$53</definedName>
    <definedName name="_xlnm.Print_Area" localSheetId="134">'2403-130'!$B$1:$I$53</definedName>
    <definedName name="_xlnm.Print_Area" localSheetId="135">'2403-131'!$B$1:$I$53</definedName>
    <definedName name="_xlnm.Print_Area" localSheetId="136">'2403-132'!$B$1:$I$53</definedName>
    <definedName name="_xlnm.Print_Area" localSheetId="137">'2403-133'!$B$1:$I$53</definedName>
    <definedName name="_xlnm.Print_Area" localSheetId="138">'2403-134'!$B$1:$I$53</definedName>
    <definedName name="_xlnm.Print_Area" localSheetId="139">'2403-135'!$B$1:$I$53</definedName>
    <definedName name="_xlnm.Print_Area" localSheetId="140">'2403-136'!$B$1:$I$53</definedName>
    <definedName name="_xlnm.Print_Area" localSheetId="141">'2403-137'!$B$1:$I$53</definedName>
    <definedName name="_xlnm.Print_Area" localSheetId="142">'2403-138'!$B$1:$I$53</definedName>
    <definedName name="_xlnm.Print_Area" localSheetId="143">'2403-139'!$B$1:$I$53</definedName>
    <definedName name="_xlnm.Print_Area" localSheetId="144">'2403-140'!$B$1:$I$53</definedName>
    <definedName name="_xlnm.Print_Area" localSheetId="145">'2403-141'!$B$1:$I$53</definedName>
    <definedName name="_xlnm.Print_Area" localSheetId="3">'PO Log'!$A$8:$E$130</definedName>
    <definedName name="_xlnm.Print_Area" localSheetId="4">'TEMPLATE-SHEET'!$B$1:$I$53</definedName>
    <definedName name="Sheet_PO" localSheetId="5">'2403-001'!$G$3</definedName>
    <definedName name="Sheet_PO" localSheetId="6">'2403-002'!$H$3</definedName>
    <definedName name="Sheet_PO" localSheetId="7">'2403-003'!$G$3</definedName>
    <definedName name="Sheet_PO" localSheetId="8">'2403-004'!$H$3</definedName>
    <definedName name="Sheet_PO" localSheetId="9">'2403-005'!$G$3</definedName>
    <definedName name="Sheet_PO" localSheetId="10">'2403-006'!$G$3</definedName>
    <definedName name="Sheet_PO" localSheetId="11">'2403-007'!$G$3</definedName>
    <definedName name="Sheet_PO" localSheetId="12">'2403-008'!$G$3</definedName>
    <definedName name="Sheet_PO" localSheetId="13">'2403-009'!$G$3</definedName>
    <definedName name="Sheet_PO" localSheetId="14">'2403-010'!$G$3</definedName>
    <definedName name="Sheet_PO" localSheetId="15">'2403-011'!$G$3</definedName>
    <definedName name="Sheet_PO" localSheetId="16">'2403-012'!$G$3</definedName>
    <definedName name="Sheet_PO" localSheetId="17">'2403-013'!$G$3</definedName>
    <definedName name="Sheet_PO" localSheetId="18">'2403-014'!$H$3</definedName>
    <definedName name="Sheet_PO" localSheetId="19">'2403-015'!$G$3</definedName>
    <definedName name="Sheet_PO" localSheetId="20">'2403-016'!$G$3</definedName>
    <definedName name="Sheet_PO" localSheetId="21">'2403-017'!$G$3</definedName>
    <definedName name="Sheet_PO" localSheetId="22">'2403-018'!$G$3</definedName>
    <definedName name="Sheet_PO" localSheetId="23">'2403-019'!$G$3</definedName>
    <definedName name="Sheet_PO" localSheetId="24">'2403-020'!$G$3</definedName>
    <definedName name="Sheet_PO" localSheetId="25">'2403-021'!$G$3</definedName>
    <definedName name="Sheet_PO" localSheetId="26">'2403-022'!$G$3</definedName>
    <definedName name="Sheet_PO" localSheetId="27">'2403-023'!$G$3</definedName>
    <definedName name="Sheet_PO" localSheetId="28">'2403-024'!$G$3</definedName>
    <definedName name="Sheet_PO" localSheetId="29">'2403-025'!$G$3</definedName>
    <definedName name="Sheet_PO" localSheetId="30">'2403-026'!$G$3</definedName>
    <definedName name="Sheet_PO" localSheetId="31">'2403-027'!$G$3</definedName>
    <definedName name="Sheet_PO" localSheetId="32">'2403-028'!$G$3</definedName>
    <definedName name="Sheet_PO" localSheetId="33">'2403-029'!$G$3</definedName>
    <definedName name="Sheet_PO" localSheetId="34">'2403-030'!$G$3</definedName>
    <definedName name="Sheet_PO" localSheetId="35">'2403-031'!$G$3</definedName>
    <definedName name="Sheet_PO" localSheetId="36">'2403-032'!$G$3</definedName>
    <definedName name="Sheet_PO" localSheetId="37">'2403-033'!$G$3</definedName>
    <definedName name="Sheet_PO" localSheetId="38">'2403-034'!$G$3</definedName>
    <definedName name="Sheet_PO" localSheetId="39">'2403-035'!$G$3</definedName>
    <definedName name="Sheet_PO" localSheetId="40">'2403-036'!$G$3</definedName>
    <definedName name="Sheet_PO" localSheetId="41">'2403-037'!$G$3</definedName>
    <definedName name="Sheet_PO" localSheetId="42">'2403-038'!$G$3</definedName>
    <definedName name="Sheet_PO" localSheetId="43">'2403-039'!$G$3</definedName>
    <definedName name="Sheet_PO" localSheetId="44">'2403-040'!$G$3</definedName>
    <definedName name="Sheet_PO" localSheetId="45">'2403-041'!$G$3</definedName>
    <definedName name="Sheet_PO" localSheetId="46">'2403-042'!$G$3</definedName>
    <definedName name="Sheet_PO" localSheetId="47">'2403-043'!$G$3</definedName>
    <definedName name="Sheet_PO" localSheetId="48">'2403-044'!$G$3</definedName>
    <definedName name="Sheet_PO" localSheetId="49">'2403-045'!$G$3</definedName>
    <definedName name="Sheet_PO" localSheetId="50">'2403-046'!$G$3</definedName>
    <definedName name="Sheet_PO" localSheetId="51">'2403-047'!$G$3</definedName>
    <definedName name="Sheet_PO" localSheetId="52">'2403-048'!$G$3</definedName>
    <definedName name="Sheet_PO" localSheetId="53">'2403-049'!$G$3</definedName>
    <definedName name="Sheet_PO" localSheetId="54">'2403-050'!$G$3</definedName>
    <definedName name="Sheet_PO" localSheetId="55">'2403-051'!$G$3</definedName>
    <definedName name="Sheet_PO" localSheetId="56">'2403-052'!$G$3</definedName>
    <definedName name="Sheet_PO" localSheetId="57">'2403-053'!$G$3</definedName>
    <definedName name="Sheet_PO" localSheetId="58">'2403-054'!$G$3</definedName>
    <definedName name="Sheet_PO" localSheetId="59">'2403-055'!$G$3</definedName>
    <definedName name="Sheet_PO" localSheetId="60">'2403-056'!$G$3</definedName>
    <definedName name="Sheet_PO" localSheetId="61">'2403-057'!$G$3</definedName>
    <definedName name="Sheet_PO" localSheetId="62">'2403-058'!$G$3</definedName>
    <definedName name="Sheet_PO" localSheetId="63">'2403-059'!$G$3</definedName>
    <definedName name="Sheet_PO" localSheetId="64">'2403-060'!$G$3</definedName>
    <definedName name="Sheet_PO" localSheetId="65">'2403-061'!$G$3</definedName>
    <definedName name="Sheet_PO" localSheetId="66">'2403-062'!$G$3</definedName>
    <definedName name="Sheet_PO" localSheetId="67">'2403-063'!$G$3</definedName>
    <definedName name="Sheet_PO" localSheetId="68">'2403-064'!$G$3</definedName>
    <definedName name="Sheet_PO" localSheetId="69">'2403-065'!$G$3</definedName>
    <definedName name="Sheet_PO" localSheetId="70">'2403-066'!$G$3</definedName>
    <definedName name="Sheet_PO" localSheetId="71">'2403-067'!$G$3</definedName>
    <definedName name="Sheet_PO" localSheetId="72">'2403-068'!$G$3</definedName>
    <definedName name="Sheet_PO" localSheetId="73">'2403-069'!$G$3</definedName>
    <definedName name="Sheet_PO" localSheetId="74">'2403-070'!$G$3</definedName>
    <definedName name="Sheet_PO" localSheetId="75">'2403-071'!$G$3</definedName>
    <definedName name="Sheet_PO" localSheetId="76">'2403-072'!$G$3</definedName>
    <definedName name="Sheet_PO" localSheetId="77">'2403-073'!$G$3</definedName>
    <definedName name="Sheet_PO" localSheetId="78">'2403-074'!$G$3</definedName>
    <definedName name="Sheet_PO" localSheetId="79">'2403-075'!$G$3</definedName>
    <definedName name="Sheet_PO" localSheetId="80">'2403-076'!$G$3</definedName>
    <definedName name="Sheet_PO" localSheetId="81">'2403-077'!$G$3</definedName>
    <definedName name="Sheet_PO" localSheetId="82">'2403-078'!$G$3</definedName>
    <definedName name="Sheet_PO" localSheetId="83">'2403-079'!$G$3</definedName>
    <definedName name="Sheet_PO" localSheetId="84">'2403-080'!$G$3</definedName>
    <definedName name="Sheet_PO" localSheetId="85">'2403-081'!$G$3</definedName>
    <definedName name="Sheet_PO" localSheetId="86">'2403-082'!$G$3</definedName>
    <definedName name="Sheet_PO" localSheetId="87">'2403-083'!$G$3</definedName>
    <definedName name="Sheet_PO" localSheetId="88">'2403-084'!$G$3</definedName>
    <definedName name="Sheet_PO" localSheetId="89">'2403-085'!$G$3</definedName>
    <definedName name="Sheet_PO" localSheetId="90">'2403-086'!$G$3</definedName>
    <definedName name="Sheet_PO" localSheetId="91">'2403-087'!$G$3</definedName>
    <definedName name="Sheet_PO" localSheetId="92">'2403-088'!$G$3</definedName>
    <definedName name="Sheet_PO" localSheetId="93">'2403-089'!$G$3</definedName>
    <definedName name="Sheet_PO" localSheetId="94">'2403-090'!$G$3</definedName>
    <definedName name="Sheet_PO" localSheetId="95">'2403-091'!$G$3</definedName>
    <definedName name="Sheet_PO" localSheetId="96">'2403-092'!$G$3</definedName>
    <definedName name="Sheet_PO" localSheetId="97">'2403-093'!$G$3</definedName>
    <definedName name="Sheet_PO" localSheetId="98">'2403-094'!$G$3</definedName>
    <definedName name="Sheet_PO" localSheetId="99">'2403-095'!$G$3</definedName>
    <definedName name="Sheet_PO" localSheetId="100">'2403-096'!$G$3</definedName>
    <definedName name="Sheet_PO" localSheetId="101">'2403-097'!$G$3</definedName>
    <definedName name="Sheet_PO" localSheetId="102">'2403-098'!$G$3</definedName>
    <definedName name="Sheet_PO" localSheetId="103">'2403-099'!$G$3</definedName>
    <definedName name="Sheet_PO" localSheetId="104">'2403-100'!$G$3</definedName>
    <definedName name="Sheet_PO" localSheetId="105">'2403-101'!$G$3</definedName>
    <definedName name="Sheet_PO" localSheetId="106">'2403-102'!$G$3</definedName>
    <definedName name="Sheet_PO" localSheetId="107">'2403-103'!$G$3</definedName>
    <definedName name="Sheet_PO" localSheetId="108">'2403-104'!$G$3</definedName>
    <definedName name="Sheet_PO" localSheetId="109">'2403-105'!$G$3</definedName>
    <definedName name="Sheet_PO" localSheetId="110">'2403-106'!$G$3</definedName>
    <definedName name="Sheet_PO" localSheetId="111">'2403-107'!$G$3</definedName>
    <definedName name="Sheet_PO" localSheetId="112">'2403-108'!$G$3</definedName>
    <definedName name="Sheet_PO" localSheetId="113">'2403-109'!$G$3</definedName>
    <definedName name="Sheet_PO" localSheetId="114">'2403-110'!$G$3</definedName>
    <definedName name="Sheet_PO" localSheetId="115">'2403-111'!$G$3</definedName>
    <definedName name="Sheet_PO" localSheetId="116">'2403-112'!$G$3</definedName>
    <definedName name="Sheet_PO" localSheetId="117">'2403-113'!$G$3</definedName>
    <definedName name="Sheet_PO" localSheetId="118">'2403-114'!$G$3</definedName>
    <definedName name="Sheet_PO" localSheetId="119">'2403-115'!$G$3</definedName>
    <definedName name="Sheet_PO" localSheetId="120">'2403-116'!$G$3</definedName>
    <definedName name="Sheet_PO" localSheetId="121">'2403-117'!$G$3</definedName>
    <definedName name="Sheet_PO" localSheetId="122">'2403-118'!$G$3</definedName>
    <definedName name="Sheet_PO" localSheetId="123">'2403-119'!$G$3</definedName>
    <definedName name="Sheet_PO" localSheetId="124">'2403-120'!$G$3</definedName>
    <definedName name="Sheet_PO" localSheetId="125">'2403-121'!$G$3</definedName>
    <definedName name="Sheet_PO" localSheetId="126">'2403-122'!$G$3</definedName>
    <definedName name="Sheet_PO" localSheetId="127">'2403-123'!$G$3</definedName>
    <definedName name="Sheet_PO" localSheetId="128">'2403-124'!$G$3</definedName>
    <definedName name="Sheet_PO" localSheetId="129">'2403-125'!$G$3</definedName>
    <definedName name="Sheet_PO" localSheetId="130">'2403-126'!$G$3</definedName>
    <definedName name="Sheet_PO" localSheetId="131">'2403-127'!$G$3</definedName>
    <definedName name="Sheet_PO" localSheetId="132">'2403-128'!$G$3</definedName>
    <definedName name="Sheet_PO" localSheetId="133">'2403-129'!$G$3</definedName>
    <definedName name="Sheet_PO" localSheetId="134">'2403-130'!$G$3</definedName>
    <definedName name="Sheet_PO" localSheetId="135">'2403-131'!$G$3</definedName>
    <definedName name="Sheet_PO" localSheetId="136">'2403-132'!$G$3</definedName>
    <definedName name="Sheet_PO" localSheetId="137">'2403-133'!$G$3</definedName>
    <definedName name="Sheet_PO" localSheetId="138">'2403-134'!$G$3</definedName>
    <definedName name="Sheet_PO" localSheetId="139">'2403-135'!$G$3</definedName>
    <definedName name="Sheet_PO" localSheetId="140">'2403-136'!$G$3</definedName>
    <definedName name="Sheet_PO" localSheetId="141">'2403-137'!$G$3</definedName>
    <definedName name="Sheet_PO" localSheetId="142">'2403-138'!$G$3</definedName>
    <definedName name="Sheet_PO" localSheetId="143">'2403-139'!$G$3</definedName>
    <definedName name="Sheet_PO" localSheetId="144">'2403-140'!$G$3</definedName>
    <definedName name="Sheet_PO" localSheetId="145">'2403-141'!$G$3</definedName>
    <definedName name="Sheet_PO">'TEMPLATE-SHEET'!$G$3</definedName>
    <definedName name="Sheet_PO1">#REF!</definedName>
    <definedName name="Start">'PO DATA'!$B$17</definedName>
    <definedName name="Vendor" localSheetId="5">'2403-001'!$C$10</definedName>
    <definedName name="Vendor" localSheetId="6">'2403-002'!$C$10</definedName>
    <definedName name="Vendor" localSheetId="7">'2403-003'!$C$10</definedName>
    <definedName name="Vendor" localSheetId="8">'2403-004'!$C$10</definedName>
    <definedName name="Vendor" localSheetId="9">'2403-005'!$C$10</definedName>
    <definedName name="Vendor" localSheetId="10">'2403-006'!$C$10</definedName>
    <definedName name="Vendor" localSheetId="11">'2403-007'!$C$10</definedName>
    <definedName name="Vendor" localSheetId="12">'2403-008'!$C$10</definedName>
    <definedName name="Vendor" localSheetId="13">'2403-009'!$C$10</definedName>
    <definedName name="Vendor" localSheetId="14">'2403-010'!$C$10</definedName>
    <definedName name="Vendor" localSheetId="15">'2403-011'!$C$10</definedName>
    <definedName name="Vendor" localSheetId="16">'2403-012'!$C$10</definedName>
    <definedName name="Vendor" localSheetId="17">'2403-013'!$C$10</definedName>
    <definedName name="Vendor" localSheetId="18">'2403-014'!$C$10</definedName>
    <definedName name="Vendor" localSheetId="19">'2403-015'!$C$10</definedName>
    <definedName name="Vendor" localSheetId="20">'2403-016'!$C$10</definedName>
    <definedName name="Vendor" localSheetId="21">'2403-017'!$C$10</definedName>
    <definedName name="Vendor" localSheetId="22">'2403-018'!$C$10</definedName>
    <definedName name="Vendor" localSheetId="23">'2403-019'!$C$10</definedName>
    <definedName name="Vendor" localSheetId="24">'2403-020'!$C$10</definedName>
    <definedName name="Vendor" localSheetId="25">'2403-021'!$C$10</definedName>
    <definedName name="Vendor" localSheetId="26">'2403-022'!$C$10</definedName>
    <definedName name="Vendor" localSheetId="27">'2403-023'!$C$10</definedName>
    <definedName name="Vendor" localSheetId="28">'2403-024'!$C$10</definedName>
    <definedName name="Vendor" localSheetId="29">'2403-025'!$C$10</definedName>
    <definedName name="Vendor" localSheetId="30">'2403-026'!$C$10</definedName>
    <definedName name="Vendor" localSheetId="31">'2403-027'!$C$10</definedName>
    <definedName name="Vendor" localSheetId="32">'2403-028'!$C$10</definedName>
    <definedName name="Vendor" localSheetId="33">'2403-029'!$C$10</definedName>
    <definedName name="Vendor" localSheetId="34">'2403-030'!$C$10</definedName>
    <definedName name="Vendor" localSheetId="35">'2403-031'!$C$10</definedName>
    <definedName name="Vendor" localSheetId="36">'2403-032'!$C$10</definedName>
    <definedName name="Vendor" localSheetId="37">'2403-033'!$C$10</definedName>
    <definedName name="Vendor" localSheetId="38">'2403-034'!$C$10</definedName>
    <definedName name="Vendor" localSheetId="39">'2403-035'!$C$10</definedName>
    <definedName name="Vendor" localSheetId="40">'2403-036'!$C$10</definedName>
    <definedName name="Vendor" localSheetId="41">'2403-037'!$C$10</definedName>
    <definedName name="Vendor" localSheetId="42">'2403-038'!$C$10</definedName>
    <definedName name="Vendor" localSheetId="43">'2403-039'!$C$10</definedName>
    <definedName name="Vendor" localSheetId="44">'2403-040'!$C$10</definedName>
    <definedName name="Vendor" localSheetId="45">'2403-041'!$C$10</definedName>
    <definedName name="Vendor" localSheetId="46">'2403-042'!$C$10</definedName>
    <definedName name="Vendor" localSheetId="47">'2403-043'!$C$10</definedName>
    <definedName name="Vendor" localSheetId="48">'2403-044'!$C$10</definedName>
    <definedName name="Vendor" localSheetId="49">'2403-045'!$C$10</definedName>
    <definedName name="Vendor" localSheetId="50">'2403-046'!$C$10</definedName>
    <definedName name="Vendor" localSheetId="51">'2403-047'!$C$10</definedName>
    <definedName name="Vendor" localSheetId="52">'2403-048'!$C$10</definedName>
    <definedName name="Vendor" localSheetId="53">'2403-049'!$C$10</definedName>
    <definedName name="Vendor" localSheetId="54">'2403-050'!$C$10</definedName>
    <definedName name="Vendor" localSheetId="55">'2403-051'!$C$10</definedName>
    <definedName name="Vendor" localSheetId="56">'2403-052'!$C$10</definedName>
    <definedName name="Vendor" localSheetId="57">'2403-053'!$C$10</definedName>
    <definedName name="Vendor" localSheetId="58">'2403-054'!$C$10</definedName>
    <definedName name="Vendor" localSheetId="59">'2403-055'!$C$10</definedName>
    <definedName name="Vendor" localSheetId="60">'2403-056'!$C$10</definedName>
    <definedName name="Vendor" localSheetId="61">'2403-057'!$C$10</definedName>
    <definedName name="Vendor" localSheetId="62">'2403-058'!$C$10</definedName>
    <definedName name="Vendor" localSheetId="63">'2403-059'!$C$10</definedName>
    <definedName name="Vendor" localSheetId="64">'2403-060'!$C$10</definedName>
    <definedName name="Vendor" localSheetId="65">'2403-061'!$C$10</definedName>
    <definedName name="Vendor" localSheetId="66">'2403-062'!$C$10</definedName>
    <definedName name="Vendor" localSheetId="67">'2403-063'!$C$10</definedName>
    <definedName name="Vendor" localSheetId="68">'2403-064'!$C$10</definedName>
    <definedName name="Vendor" localSheetId="69">'2403-065'!$C$10</definedName>
    <definedName name="Vendor" localSheetId="70">'2403-066'!$C$10</definedName>
    <definedName name="Vendor" localSheetId="71">'2403-067'!$C$10</definedName>
    <definedName name="Vendor" localSheetId="72">'2403-068'!$C$10</definedName>
    <definedName name="Vendor" localSheetId="73">'2403-069'!$C$10</definedName>
    <definedName name="Vendor" localSheetId="74">'2403-070'!$C$10</definedName>
    <definedName name="Vendor" localSheetId="75">'2403-071'!$C$10</definedName>
    <definedName name="Vendor" localSheetId="76">'2403-072'!$C$10</definedName>
    <definedName name="Vendor" localSheetId="77">'2403-073'!$C$10</definedName>
    <definedName name="Vendor" localSheetId="78">'2403-074'!$C$10</definedName>
    <definedName name="Vendor" localSheetId="79">'2403-075'!$C$10</definedName>
    <definedName name="Vendor" localSheetId="80">'2403-076'!$C$10</definedName>
    <definedName name="Vendor" localSheetId="81">'2403-077'!$C$10</definedName>
    <definedName name="Vendor" localSheetId="82">'2403-078'!$C$10</definedName>
    <definedName name="Vendor" localSheetId="83">'2403-079'!$C$10</definedName>
    <definedName name="Vendor" localSheetId="84">'2403-080'!$C$10</definedName>
    <definedName name="Vendor" localSheetId="85">'2403-081'!$C$10</definedName>
    <definedName name="Vendor" localSheetId="86">'2403-082'!$C$10</definedName>
    <definedName name="Vendor" localSheetId="87">'2403-083'!$C$10</definedName>
    <definedName name="Vendor" localSheetId="88">'2403-084'!$C$10</definedName>
    <definedName name="Vendor" localSheetId="89">'2403-085'!$C$10</definedName>
    <definedName name="Vendor" localSheetId="90">'2403-086'!$C$10</definedName>
    <definedName name="Vendor" localSheetId="91">'2403-087'!$C$10</definedName>
    <definedName name="Vendor" localSheetId="92">'2403-088'!$C$10</definedName>
    <definedName name="Vendor" localSheetId="93">'2403-089'!$C$10</definedName>
    <definedName name="Vendor" localSheetId="94">'2403-090'!$C$10</definedName>
    <definedName name="Vendor" localSheetId="95">'2403-091'!$C$10</definedName>
    <definedName name="Vendor" localSheetId="96">'2403-092'!$C$10</definedName>
    <definedName name="Vendor" localSheetId="97">'2403-093'!$C$10</definedName>
    <definedName name="Vendor" localSheetId="98">'2403-094'!$C$10</definedName>
    <definedName name="Vendor" localSheetId="99">'2403-095'!$C$10</definedName>
    <definedName name="Vendor" localSheetId="100">'2403-096'!$C$10</definedName>
    <definedName name="Vendor" localSheetId="101">'2403-097'!$C$10</definedName>
    <definedName name="Vendor" localSheetId="102">'2403-098'!$C$10</definedName>
    <definedName name="Vendor" localSheetId="103">'2403-099'!$C$10</definedName>
    <definedName name="Vendor" localSheetId="104">'2403-100'!$C$10</definedName>
    <definedName name="Vendor" localSheetId="105">'2403-101'!$C$10</definedName>
    <definedName name="Vendor" localSheetId="106">'2403-102'!$C$10</definedName>
    <definedName name="Vendor" localSheetId="107">'2403-103'!$C$10</definedName>
    <definedName name="Vendor" localSheetId="108">'2403-104'!$C$10</definedName>
    <definedName name="Vendor" localSheetId="109">'2403-105'!$C$10</definedName>
    <definedName name="Vendor" localSheetId="110">'2403-106'!$C$10</definedName>
    <definedName name="Vendor" localSheetId="111">'2403-107'!$C$10</definedName>
    <definedName name="Vendor" localSheetId="112">'2403-108'!$C$10</definedName>
    <definedName name="Vendor" localSheetId="113">'2403-109'!$C$10</definedName>
    <definedName name="Vendor" localSheetId="114">'2403-110'!$C$10</definedName>
    <definedName name="Vendor" localSheetId="115">'2403-111'!$C$10</definedName>
    <definedName name="Vendor" localSheetId="116">'2403-112'!$C$10</definedName>
    <definedName name="Vendor" localSheetId="117">'2403-113'!$C$10</definedName>
    <definedName name="Vendor" localSheetId="118">'2403-114'!$C$10</definedName>
    <definedName name="Vendor" localSheetId="119">'2403-115'!$C$10</definedName>
    <definedName name="Vendor" localSheetId="120">'2403-116'!$C$10</definedName>
    <definedName name="Vendor" localSheetId="121">'2403-117'!$C$10</definedName>
    <definedName name="Vendor" localSheetId="122">'2403-118'!$C$10</definedName>
    <definedName name="Vendor" localSheetId="123">'2403-119'!$C$10</definedName>
    <definedName name="Vendor" localSheetId="124">'2403-120'!$C$10</definedName>
    <definedName name="Vendor" localSheetId="125">'2403-121'!$C$10</definedName>
    <definedName name="Vendor" localSheetId="126">'2403-122'!$C$10</definedName>
    <definedName name="Vendor" localSheetId="127">'2403-123'!$C$10</definedName>
    <definedName name="Vendor" localSheetId="128">'2403-124'!$C$10</definedName>
    <definedName name="Vendor" localSheetId="129">'2403-125'!$C$10</definedName>
    <definedName name="Vendor" localSheetId="130">'2403-126'!$C$10</definedName>
    <definedName name="Vendor" localSheetId="131">'2403-127'!$C$10</definedName>
    <definedName name="Vendor" localSheetId="132">'2403-128'!$C$10</definedName>
    <definedName name="Vendor" localSheetId="133">'2403-129'!$C$10</definedName>
    <definedName name="Vendor" localSheetId="134">'2403-130'!$C$10</definedName>
    <definedName name="Vendor" localSheetId="135">'2403-131'!$C$10</definedName>
    <definedName name="Vendor" localSheetId="136">'2403-132'!$C$10</definedName>
    <definedName name="Vendor" localSheetId="137">'2403-133'!$C$10</definedName>
    <definedName name="Vendor" localSheetId="138">'2403-134'!$C$10</definedName>
    <definedName name="Vendor" localSheetId="139">'2403-135'!$C$10</definedName>
    <definedName name="Vendor" localSheetId="140">'2403-136'!$C$10</definedName>
    <definedName name="Vendor" localSheetId="141">'2403-137'!$C$10</definedName>
    <definedName name="Vendor" localSheetId="142">'2403-138'!$C$10</definedName>
    <definedName name="Vendor" localSheetId="143">'2403-139'!$C$10</definedName>
    <definedName name="Vendor" localSheetId="144">'2403-140'!$C$10</definedName>
    <definedName name="Vendor" localSheetId="145">'2403-141'!$C$10</definedName>
    <definedName name="Vendor">'TEMPLATE-SHEET'!$C$10</definedName>
    <definedName name="Z_8CEFEE3B_E906_4903_9850_D32C8D742297_.wvu.PrintArea" localSheetId="5" hidden="1">'2403-001'!$B$1:$I$52</definedName>
    <definedName name="Z_8CEFEE3B_E906_4903_9850_D32C8D742297_.wvu.PrintArea" localSheetId="6" hidden="1">'2403-002'!$B$1:$J$52</definedName>
    <definedName name="Z_8CEFEE3B_E906_4903_9850_D32C8D742297_.wvu.PrintArea" localSheetId="7" hidden="1">'2403-003'!$B$1:$I$52</definedName>
    <definedName name="Z_8CEFEE3B_E906_4903_9850_D32C8D742297_.wvu.PrintArea" localSheetId="8" hidden="1">'2403-004'!$B$1:$J$52</definedName>
    <definedName name="Z_8CEFEE3B_E906_4903_9850_D32C8D742297_.wvu.PrintArea" localSheetId="9" hidden="1">'2403-005'!$B$1:$I$52</definedName>
    <definedName name="Z_8CEFEE3B_E906_4903_9850_D32C8D742297_.wvu.PrintArea" localSheetId="10" hidden="1">'2403-006'!$B$1:$I$52</definedName>
    <definedName name="Z_8CEFEE3B_E906_4903_9850_D32C8D742297_.wvu.PrintArea" localSheetId="11" hidden="1">'2403-007'!$B$1:$I$52</definedName>
    <definedName name="Z_8CEFEE3B_E906_4903_9850_D32C8D742297_.wvu.PrintArea" localSheetId="12" hidden="1">'2403-008'!$B$1:$I$52</definedName>
    <definedName name="Z_8CEFEE3B_E906_4903_9850_D32C8D742297_.wvu.PrintArea" localSheetId="13" hidden="1">'2403-009'!$B$1:$I$52</definedName>
    <definedName name="Z_8CEFEE3B_E906_4903_9850_D32C8D742297_.wvu.PrintArea" localSheetId="14" hidden="1">'2403-010'!$B$1:$I$52</definedName>
    <definedName name="Z_8CEFEE3B_E906_4903_9850_D32C8D742297_.wvu.PrintArea" localSheetId="15" hidden="1">'2403-011'!$B$1:$J$52</definedName>
    <definedName name="Z_8CEFEE3B_E906_4903_9850_D32C8D742297_.wvu.PrintArea" localSheetId="16" hidden="1">'2403-012'!$B$1:$I$52</definedName>
    <definedName name="Z_8CEFEE3B_E906_4903_9850_D32C8D742297_.wvu.PrintArea" localSheetId="17" hidden="1">'2403-013'!$B$1:$I$52</definedName>
    <definedName name="Z_8CEFEE3B_E906_4903_9850_D32C8D742297_.wvu.PrintArea" localSheetId="18" hidden="1">'2403-014'!$B$1:$K$56</definedName>
    <definedName name="Z_8CEFEE3B_E906_4903_9850_D32C8D742297_.wvu.PrintArea" localSheetId="19" hidden="1">'2403-015'!$B$1:$I$52</definedName>
    <definedName name="Z_8CEFEE3B_E906_4903_9850_D32C8D742297_.wvu.PrintArea" localSheetId="20" hidden="1">'2403-016'!$B$1:$I$52</definedName>
    <definedName name="Z_8CEFEE3B_E906_4903_9850_D32C8D742297_.wvu.PrintArea" localSheetId="21" hidden="1">'2403-017'!$B$1:$I$52</definedName>
    <definedName name="Z_8CEFEE3B_E906_4903_9850_D32C8D742297_.wvu.PrintArea" localSheetId="22" hidden="1">'2403-018'!$B$1:$I$52</definedName>
    <definedName name="Z_8CEFEE3B_E906_4903_9850_D32C8D742297_.wvu.PrintArea" localSheetId="23" hidden="1">'2403-019'!$B$1:$I$52</definedName>
    <definedName name="Z_8CEFEE3B_E906_4903_9850_D32C8D742297_.wvu.PrintArea" localSheetId="24" hidden="1">'2403-020'!$B$1:$J$52</definedName>
    <definedName name="Z_8CEFEE3B_E906_4903_9850_D32C8D742297_.wvu.PrintArea" localSheetId="25" hidden="1">'2403-021'!$B$1:$I$52</definedName>
    <definedName name="Z_8CEFEE3B_E906_4903_9850_D32C8D742297_.wvu.PrintArea" localSheetId="26" hidden="1">'2403-022'!$B$1:$I$52</definedName>
    <definedName name="Z_8CEFEE3B_E906_4903_9850_D32C8D742297_.wvu.PrintArea" localSheetId="27" hidden="1">'2403-023'!$B$1:$I$52</definedName>
    <definedName name="Z_8CEFEE3B_E906_4903_9850_D32C8D742297_.wvu.PrintArea" localSheetId="28" hidden="1">'2403-024'!$B$1:$I$52</definedName>
    <definedName name="Z_8CEFEE3B_E906_4903_9850_D32C8D742297_.wvu.PrintArea" localSheetId="29" hidden="1">'2403-025'!$B$1:$I$52</definedName>
    <definedName name="Z_8CEFEE3B_E906_4903_9850_D32C8D742297_.wvu.PrintArea" localSheetId="30" hidden="1">'2403-026'!$B$1:$I$52</definedName>
    <definedName name="Z_8CEFEE3B_E906_4903_9850_D32C8D742297_.wvu.PrintArea" localSheetId="31" hidden="1">'2403-027'!$B$1:$I$52</definedName>
    <definedName name="Z_8CEFEE3B_E906_4903_9850_D32C8D742297_.wvu.PrintArea" localSheetId="32" hidden="1">'2403-028'!$B$1:$I$52</definedName>
    <definedName name="Z_8CEFEE3B_E906_4903_9850_D32C8D742297_.wvu.PrintArea" localSheetId="33" hidden="1">'2403-029'!$B$1:$I$52</definedName>
    <definedName name="Z_8CEFEE3B_E906_4903_9850_D32C8D742297_.wvu.PrintArea" localSheetId="34" hidden="1">'2403-030'!$B$1:$I$52</definedName>
    <definedName name="Z_8CEFEE3B_E906_4903_9850_D32C8D742297_.wvu.PrintArea" localSheetId="35" hidden="1">'2403-031'!$B$1:$I$52</definedName>
    <definedName name="Z_8CEFEE3B_E906_4903_9850_D32C8D742297_.wvu.PrintArea" localSheetId="36" hidden="1">'2403-032'!$B$1:$I$52</definedName>
    <definedName name="Z_8CEFEE3B_E906_4903_9850_D32C8D742297_.wvu.PrintArea" localSheetId="37" hidden="1">'2403-033'!$B$1:$I$52</definedName>
    <definedName name="Z_8CEFEE3B_E906_4903_9850_D32C8D742297_.wvu.PrintArea" localSheetId="38" hidden="1">'2403-034'!$B$1:$I$52</definedName>
    <definedName name="Z_8CEFEE3B_E906_4903_9850_D32C8D742297_.wvu.PrintArea" localSheetId="39" hidden="1">'2403-035'!$B$1:$I$52</definedName>
    <definedName name="Z_8CEFEE3B_E906_4903_9850_D32C8D742297_.wvu.PrintArea" localSheetId="40" hidden="1">'2403-036'!$B$1:$I$52</definedName>
    <definedName name="Z_8CEFEE3B_E906_4903_9850_D32C8D742297_.wvu.PrintArea" localSheetId="41" hidden="1">'2403-037'!$B$1:$I$52</definedName>
    <definedName name="Z_8CEFEE3B_E906_4903_9850_D32C8D742297_.wvu.PrintArea" localSheetId="42" hidden="1">'2403-038'!$B$1:$I$52</definedName>
    <definedName name="Z_8CEFEE3B_E906_4903_9850_D32C8D742297_.wvu.PrintArea" localSheetId="43" hidden="1">'2403-039'!$B$1:$I$52</definedName>
    <definedName name="Z_8CEFEE3B_E906_4903_9850_D32C8D742297_.wvu.PrintArea" localSheetId="44" hidden="1">'2403-040'!$B$1:$I$52</definedName>
    <definedName name="Z_8CEFEE3B_E906_4903_9850_D32C8D742297_.wvu.PrintArea" localSheetId="45" hidden="1">'2403-041'!$B$1:$I$52</definedName>
    <definedName name="Z_8CEFEE3B_E906_4903_9850_D32C8D742297_.wvu.PrintArea" localSheetId="46" hidden="1">'2403-042'!$B$1:$I$52</definedName>
    <definedName name="Z_8CEFEE3B_E906_4903_9850_D32C8D742297_.wvu.PrintArea" localSheetId="47" hidden="1">'2403-043'!$B$1:$I$52</definedName>
    <definedName name="Z_8CEFEE3B_E906_4903_9850_D32C8D742297_.wvu.PrintArea" localSheetId="48" hidden="1">'2403-044'!$B$1:$I$52</definedName>
    <definedName name="Z_8CEFEE3B_E906_4903_9850_D32C8D742297_.wvu.PrintArea" localSheetId="49" hidden="1">'2403-045'!$B$1:$I$52</definedName>
    <definedName name="Z_8CEFEE3B_E906_4903_9850_D32C8D742297_.wvu.PrintArea" localSheetId="50" hidden="1">'2403-046'!$B$1:$I$52</definedName>
    <definedName name="Z_8CEFEE3B_E906_4903_9850_D32C8D742297_.wvu.PrintArea" localSheetId="51" hidden="1">'2403-047'!$B$1:$I$52</definedName>
    <definedName name="Z_8CEFEE3B_E906_4903_9850_D32C8D742297_.wvu.PrintArea" localSheetId="52" hidden="1">'2403-048'!$B$1:$I$52</definedName>
    <definedName name="Z_8CEFEE3B_E906_4903_9850_D32C8D742297_.wvu.PrintArea" localSheetId="53" hidden="1">'2403-049'!$B$1:$I$52</definedName>
    <definedName name="Z_8CEFEE3B_E906_4903_9850_D32C8D742297_.wvu.PrintArea" localSheetId="54" hidden="1">'2403-050'!$B$1:$I$52</definedName>
    <definedName name="Z_8CEFEE3B_E906_4903_9850_D32C8D742297_.wvu.PrintArea" localSheetId="55" hidden="1">'2403-051'!$B$1:$I$52</definedName>
    <definedName name="Z_8CEFEE3B_E906_4903_9850_D32C8D742297_.wvu.PrintArea" localSheetId="56" hidden="1">'2403-052'!$B$1:$I$52</definedName>
    <definedName name="Z_8CEFEE3B_E906_4903_9850_D32C8D742297_.wvu.PrintArea" localSheetId="57" hidden="1">'2403-053'!$B$1:$I$52</definedName>
    <definedName name="Z_8CEFEE3B_E906_4903_9850_D32C8D742297_.wvu.PrintArea" localSheetId="58" hidden="1">'2403-054'!$B$1:$I$52</definedName>
    <definedName name="Z_8CEFEE3B_E906_4903_9850_D32C8D742297_.wvu.PrintArea" localSheetId="59" hidden="1">'2403-055'!$B$1:$I$52</definedName>
    <definedName name="Z_8CEFEE3B_E906_4903_9850_D32C8D742297_.wvu.PrintArea" localSheetId="60" hidden="1">'2403-056'!$B$1:$I$52</definedName>
    <definedName name="Z_8CEFEE3B_E906_4903_9850_D32C8D742297_.wvu.PrintArea" localSheetId="61" hidden="1">'2403-057'!$B$1:$I$52</definedName>
    <definedName name="Z_8CEFEE3B_E906_4903_9850_D32C8D742297_.wvu.PrintArea" localSheetId="62" hidden="1">'2403-058'!$B$1:$I$52</definedName>
    <definedName name="Z_8CEFEE3B_E906_4903_9850_D32C8D742297_.wvu.PrintArea" localSheetId="63" hidden="1">'2403-059'!$B$1:$I$52</definedName>
    <definedName name="Z_8CEFEE3B_E906_4903_9850_D32C8D742297_.wvu.PrintArea" localSheetId="64" hidden="1">'2403-060'!$B$1:$I$52</definedName>
    <definedName name="Z_8CEFEE3B_E906_4903_9850_D32C8D742297_.wvu.PrintArea" localSheetId="65" hidden="1">'2403-061'!$B$1:$I$52</definedName>
    <definedName name="Z_8CEFEE3B_E906_4903_9850_D32C8D742297_.wvu.PrintArea" localSheetId="66" hidden="1">'2403-062'!$B$1:$I$52</definedName>
    <definedName name="Z_8CEFEE3B_E906_4903_9850_D32C8D742297_.wvu.PrintArea" localSheetId="67" hidden="1">'2403-063'!$B$1:$I$52</definedName>
    <definedName name="Z_8CEFEE3B_E906_4903_9850_D32C8D742297_.wvu.PrintArea" localSheetId="68" hidden="1">'2403-064'!$B$1:$I$52</definedName>
    <definedName name="Z_8CEFEE3B_E906_4903_9850_D32C8D742297_.wvu.PrintArea" localSheetId="69" hidden="1">'2403-065'!$B$1:$I$52</definedName>
    <definedName name="Z_8CEFEE3B_E906_4903_9850_D32C8D742297_.wvu.PrintArea" localSheetId="70" hidden="1">'2403-066'!$B$1:$I$52</definedName>
    <definedName name="Z_8CEFEE3B_E906_4903_9850_D32C8D742297_.wvu.PrintArea" localSheetId="71" hidden="1">'2403-067'!$B$1:$I$52</definedName>
    <definedName name="Z_8CEFEE3B_E906_4903_9850_D32C8D742297_.wvu.PrintArea" localSheetId="72" hidden="1">'2403-068'!$B$1:$I$52</definedName>
    <definedName name="Z_8CEFEE3B_E906_4903_9850_D32C8D742297_.wvu.PrintArea" localSheetId="73" hidden="1">'2403-069'!$B$1:$I$52</definedName>
    <definedName name="Z_8CEFEE3B_E906_4903_9850_D32C8D742297_.wvu.PrintArea" localSheetId="74" hidden="1">'2403-070'!$B$1:$I$52</definedName>
    <definedName name="Z_8CEFEE3B_E906_4903_9850_D32C8D742297_.wvu.PrintArea" localSheetId="75" hidden="1">'2403-071'!$B$1:$I$52</definedName>
    <definedName name="Z_8CEFEE3B_E906_4903_9850_D32C8D742297_.wvu.PrintArea" localSheetId="76" hidden="1">'2403-072'!$B$1:$I$52</definedName>
    <definedName name="Z_8CEFEE3B_E906_4903_9850_D32C8D742297_.wvu.PrintArea" localSheetId="77" hidden="1">'2403-073'!$B$1:$I$52</definedName>
    <definedName name="Z_8CEFEE3B_E906_4903_9850_D32C8D742297_.wvu.PrintArea" localSheetId="78" hidden="1">'2403-074'!$B$1:$I$52</definedName>
    <definedName name="Z_8CEFEE3B_E906_4903_9850_D32C8D742297_.wvu.PrintArea" localSheetId="79" hidden="1">'2403-075'!$B$1:$I$52</definedName>
    <definedName name="Z_8CEFEE3B_E906_4903_9850_D32C8D742297_.wvu.PrintArea" localSheetId="80" hidden="1">'2403-076'!$B$1:$I$52</definedName>
    <definedName name="Z_8CEFEE3B_E906_4903_9850_D32C8D742297_.wvu.PrintArea" localSheetId="81" hidden="1">'2403-077'!$B$1:$I$52</definedName>
    <definedName name="Z_8CEFEE3B_E906_4903_9850_D32C8D742297_.wvu.PrintArea" localSheetId="82" hidden="1">'2403-078'!$B$1:$I$52</definedName>
    <definedName name="Z_8CEFEE3B_E906_4903_9850_D32C8D742297_.wvu.PrintArea" localSheetId="83" hidden="1">'2403-079'!$B$1:$I$52</definedName>
    <definedName name="Z_8CEFEE3B_E906_4903_9850_D32C8D742297_.wvu.PrintArea" localSheetId="84" hidden="1">'2403-080'!$B$1:$I$52</definedName>
    <definedName name="Z_8CEFEE3B_E906_4903_9850_D32C8D742297_.wvu.PrintArea" localSheetId="85" hidden="1">'2403-081'!$B$1:$I$52</definedName>
    <definedName name="Z_8CEFEE3B_E906_4903_9850_D32C8D742297_.wvu.PrintArea" localSheetId="86" hidden="1">'2403-082'!$B$1:$I$52</definedName>
    <definedName name="Z_8CEFEE3B_E906_4903_9850_D32C8D742297_.wvu.PrintArea" localSheetId="87" hidden="1">'2403-083'!$B$1:$I$52</definedName>
    <definedName name="Z_8CEFEE3B_E906_4903_9850_D32C8D742297_.wvu.PrintArea" localSheetId="88" hidden="1">'2403-084'!$B$1:$I$52</definedName>
    <definedName name="Z_8CEFEE3B_E906_4903_9850_D32C8D742297_.wvu.PrintArea" localSheetId="89" hidden="1">'2403-085'!$B$1:$I$52</definedName>
    <definedName name="Z_8CEFEE3B_E906_4903_9850_D32C8D742297_.wvu.PrintArea" localSheetId="90" hidden="1">'2403-086'!$B$1:$I$52</definedName>
    <definedName name="Z_8CEFEE3B_E906_4903_9850_D32C8D742297_.wvu.PrintArea" localSheetId="91" hidden="1">'2403-087'!$B$1:$I$52</definedName>
    <definedName name="Z_8CEFEE3B_E906_4903_9850_D32C8D742297_.wvu.PrintArea" localSheetId="92" hidden="1">'2403-088'!$B$1:$I$52</definedName>
    <definedName name="Z_8CEFEE3B_E906_4903_9850_D32C8D742297_.wvu.PrintArea" localSheetId="93" hidden="1">'2403-089'!$B$1:$I$52</definedName>
    <definedName name="Z_8CEFEE3B_E906_4903_9850_D32C8D742297_.wvu.PrintArea" localSheetId="94" hidden="1">'2403-090'!$B$1:$I$52</definedName>
    <definedName name="Z_8CEFEE3B_E906_4903_9850_D32C8D742297_.wvu.PrintArea" localSheetId="95" hidden="1">'2403-091'!$B$1:$I$52</definedName>
    <definedName name="Z_8CEFEE3B_E906_4903_9850_D32C8D742297_.wvu.PrintArea" localSheetId="96" hidden="1">'2403-092'!$B$1:$I$52</definedName>
    <definedName name="Z_8CEFEE3B_E906_4903_9850_D32C8D742297_.wvu.PrintArea" localSheetId="97" hidden="1">'2403-093'!$B$1:$I$52</definedName>
    <definedName name="Z_8CEFEE3B_E906_4903_9850_D32C8D742297_.wvu.PrintArea" localSheetId="98" hidden="1">'2403-094'!$B$1:$I$52</definedName>
    <definedName name="Z_8CEFEE3B_E906_4903_9850_D32C8D742297_.wvu.PrintArea" localSheetId="99" hidden="1">'2403-095'!$B$1:$I$52</definedName>
    <definedName name="Z_8CEFEE3B_E906_4903_9850_D32C8D742297_.wvu.PrintArea" localSheetId="100" hidden="1">'2403-096'!$B$1:$I$52</definedName>
    <definedName name="Z_8CEFEE3B_E906_4903_9850_D32C8D742297_.wvu.PrintArea" localSheetId="101" hidden="1">'2403-097'!$B$1:$I$52</definedName>
    <definedName name="Z_8CEFEE3B_E906_4903_9850_D32C8D742297_.wvu.PrintArea" localSheetId="102" hidden="1">'2403-098'!$B$1:$I$52</definedName>
    <definedName name="Z_8CEFEE3B_E906_4903_9850_D32C8D742297_.wvu.PrintArea" localSheetId="103" hidden="1">'2403-099'!$B$1:$I$52</definedName>
    <definedName name="Z_8CEFEE3B_E906_4903_9850_D32C8D742297_.wvu.PrintArea" localSheetId="104" hidden="1">'2403-100'!$B$1:$I$52</definedName>
    <definedName name="Z_8CEFEE3B_E906_4903_9850_D32C8D742297_.wvu.PrintArea" localSheetId="105" hidden="1">'2403-101'!$B$1:$I$52</definedName>
    <definedName name="Z_8CEFEE3B_E906_4903_9850_D32C8D742297_.wvu.PrintArea" localSheetId="106" hidden="1">'2403-102'!$B$1:$I$52</definedName>
    <definedName name="Z_8CEFEE3B_E906_4903_9850_D32C8D742297_.wvu.PrintArea" localSheetId="107" hidden="1">'2403-103'!$B$1:$I$52</definedName>
    <definedName name="Z_8CEFEE3B_E906_4903_9850_D32C8D742297_.wvu.PrintArea" localSheetId="108" hidden="1">'2403-104'!$B$1:$I$52</definedName>
    <definedName name="Z_8CEFEE3B_E906_4903_9850_D32C8D742297_.wvu.PrintArea" localSheetId="109" hidden="1">'2403-105'!$B$1:$I$52</definedName>
    <definedName name="Z_8CEFEE3B_E906_4903_9850_D32C8D742297_.wvu.PrintArea" localSheetId="110" hidden="1">'2403-106'!$B$1:$I$52</definedName>
    <definedName name="Z_8CEFEE3B_E906_4903_9850_D32C8D742297_.wvu.PrintArea" localSheetId="111" hidden="1">'2403-107'!$B$1:$I$52</definedName>
    <definedName name="Z_8CEFEE3B_E906_4903_9850_D32C8D742297_.wvu.PrintArea" localSheetId="112" hidden="1">'2403-108'!$B$1:$I$52</definedName>
    <definedName name="Z_8CEFEE3B_E906_4903_9850_D32C8D742297_.wvu.PrintArea" localSheetId="113" hidden="1">'2403-109'!$B$1:$I$52</definedName>
    <definedName name="Z_8CEFEE3B_E906_4903_9850_D32C8D742297_.wvu.PrintArea" localSheetId="114" hidden="1">'2403-110'!$B$1:$I$52</definedName>
    <definedName name="Z_8CEFEE3B_E906_4903_9850_D32C8D742297_.wvu.PrintArea" localSheetId="115" hidden="1">'2403-111'!$B$1:$I$52</definedName>
    <definedName name="Z_8CEFEE3B_E906_4903_9850_D32C8D742297_.wvu.PrintArea" localSheetId="116" hidden="1">'2403-112'!$B$1:$I$52</definedName>
    <definedName name="Z_8CEFEE3B_E906_4903_9850_D32C8D742297_.wvu.PrintArea" localSheetId="117" hidden="1">'2403-113'!$B$1:$I$52</definedName>
    <definedName name="Z_8CEFEE3B_E906_4903_9850_D32C8D742297_.wvu.PrintArea" localSheetId="118" hidden="1">'2403-114'!$B$1:$I$52</definedName>
    <definedName name="Z_8CEFEE3B_E906_4903_9850_D32C8D742297_.wvu.PrintArea" localSheetId="119" hidden="1">'2403-115'!$B$1:$I$52</definedName>
    <definedName name="Z_8CEFEE3B_E906_4903_9850_D32C8D742297_.wvu.PrintArea" localSheetId="120" hidden="1">'2403-116'!$B$1:$I$52</definedName>
    <definedName name="Z_8CEFEE3B_E906_4903_9850_D32C8D742297_.wvu.PrintArea" localSheetId="121" hidden="1">'2403-117'!$B$1:$I$52</definedName>
    <definedName name="Z_8CEFEE3B_E906_4903_9850_D32C8D742297_.wvu.PrintArea" localSheetId="122" hidden="1">'2403-118'!$B$1:$I$52</definedName>
    <definedName name="Z_8CEFEE3B_E906_4903_9850_D32C8D742297_.wvu.PrintArea" localSheetId="123" hidden="1">'2403-119'!$B$1:$I$52</definedName>
    <definedName name="Z_8CEFEE3B_E906_4903_9850_D32C8D742297_.wvu.PrintArea" localSheetId="124" hidden="1">'2403-120'!$B$1:$I$52</definedName>
    <definedName name="Z_8CEFEE3B_E906_4903_9850_D32C8D742297_.wvu.PrintArea" localSheetId="125" hidden="1">'2403-121'!$B$1:$I$52</definedName>
    <definedName name="Z_8CEFEE3B_E906_4903_9850_D32C8D742297_.wvu.PrintArea" localSheetId="126" hidden="1">'2403-122'!$B$1:$I$52</definedName>
    <definedName name="Z_8CEFEE3B_E906_4903_9850_D32C8D742297_.wvu.PrintArea" localSheetId="127" hidden="1">'2403-123'!$B$1:$I$52</definedName>
    <definedName name="Z_8CEFEE3B_E906_4903_9850_D32C8D742297_.wvu.PrintArea" localSheetId="128" hidden="1">'2403-124'!$B$1:$I$52</definedName>
    <definedName name="Z_8CEFEE3B_E906_4903_9850_D32C8D742297_.wvu.PrintArea" localSheetId="129" hidden="1">'2403-125'!$B$1:$I$52</definedName>
    <definedName name="Z_8CEFEE3B_E906_4903_9850_D32C8D742297_.wvu.PrintArea" localSheetId="130" hidden="1">'2403-126'!$B$1:$I$52</definedName>
    <definedName name="Z_8CEFEE3B_E906_4903_9850_D32C8D742297_.wvu.PrintArea" localSheetId="131" hidden="1">'2403-127'!$B$1:$I$52</definedName>
    <definedName name="Z_8CEFEE3B_E906_4903_9850_D32C8D742297_.wvu.PrintArea" localSheetId="132" hidden="1">'2403-128'!$B$1:$I$52</definedName>
    <definedName name="Z_8CEFEE3B_E906_4903_9850_D32C8D742297_.wvu.PrintArea" localSheetId="133" hidden="1">'2403-129'!$B$1:$I$52</definedName>
    <definedName name="Z_8CEFEE3B_E906_4903_9850_D32C8D742297_.wvu.PrintArea" localSheetId="134" hidden="1">'2403-130'!$B$1:$I$52</definedName>
    <definedName name="Z_8CEFEE3B_E906_4903_9850_D32C8D742297_.wvu.PrintArea" localSheetId="135" hidden="1">'2403-131'!$B$1:$I$52</definedName>
    <definedName name="Z_8CEFEE3B_E906_4903_9850_D32C8D742297_.wvu.PrintArea" localSheetId="136" hidden="1">'2403-132'!$B$1:$I$52</definedName>
    <definedName name="Z_8CEFEE3B_E906_4903_9850_D32C8D742297_.wvu.PrintArea" localSheetId="137" hidden="1">'2403-133'!$B$1:$I$52</definedName>
    <definedName name="Z_8CEFEE3B_E906_4903_9850_D32C8D742297_.wvu.PrintArea" localSheetId="138" hidden="1">'2403-134'!$B$1:$I$52</definedName>
    <definedName name="Z_8CEFEE3B_E906_4903_9850_D32C8D742297_.wvu.PrintArea" localSheetId="139" hidden="1">'2403-135'!$B$1:$I$52</definedName>
    <definedName name="Z_8CEFEE3B_E906_4903_9850_D32C8D742297_.wvu.PrintArea" localSheetId="140" hidden="1">'2403-136'!$B$1:$I$52</definedName>
    <definedName name="Z_8CEFEE3B_E906_4903_9850_D32C8D742297_.wvu.PrintArea" localSheetId="141" hidden="1">'2403-137'!$B$1:$I$52</definedName>
    <definedName name="Z_8CEFEE3B_E906_4903_9850_D32C8D742297_.wvu.PrintArea" localSheetId="142" hidden="1">'2403-138'!$B$1:$I$52</definedName>
    <definedName name="Z_8CEFEE3B_E906_4903_9850_D32C8D742297_.wvu.PrintArea" localSheetId="143" hidden="1">'2403-139'!$B$1:$I$52</definedName>
    <definedName name="Z_8CEFEE3B_E906_4903_9850_D32C8D742297_.wvu.PrintArea" localSheetId="144" hidden="1">'2403-140'!$B$1:$I$52</definedName>
    <definedName name="Z_8CEFEE3B_E906_4903_9850_D32C8D742297_.wvu.PrintArea" localSheetId="145" hidden="1">'2403-141'!$B$1:$I$52</definedName>
    <definedName name="Z_8CEFEE3B_E906_4903_9850_D32C8D742297_.wvu.PrintArea" localSheetId="4" hidden="1">'TEMPLATE-SHEET'!$B$1:$I$52</definedName>
    <definedName name="Z_C1355A62_F1E2_4388_B529_AB508DE122C3_.wvu.PrintArea" localSheetId="5" hidden="1">'2403-001'!$B$1:$I$52</definedName>
    <definedName name="Z_C1355A62_F1E2_4388_B529_AB508DE122C3_.wvu.PrintArea" localSheetId="6" hidden="1">'2403-002'!$B$1:$J$52</definedName>
    <definedName name="Z_C1355A62_F1E2_4388_B529_AB508DE122C3_.wvu.PrintArea" localSheetId="7" hidden="1">'2403-003'!$B$1:$I$52</definedName>
    <definedName name="Z_C1355A62_F1E2_4388_B529_AB508DE122C3_.wvu.PrintArea" localSheetId="8" hidden="1">'2403-004'!$B$1:$J$52</definedName>
    <definedName name="Z_C1355A62_F1E2_4388_B529_AB508DE122C3_.wvu.PrintArea" localSheetId="9" hidden="1">'2403-005'!$B$1:$I$52</definedName>
    <definedName name="Z_C1355A62_F1E2_4388_B529_AB508DE122C3_.wvu.PrintArea" localSheetId="10" hidden="1">'2403-006'!$B$1:$I$52</definedName>
    <definedName name="Z_C1355A62_F1E2_4388_B529_AB508DE122C3_.wvu.PrintArea" localSheetId="11" hidden="1">'2403-007'!$B$1:$I$52</definedName>
    <definedName name="Z_C1355A62_F1E2_4388_B529_AB508DE122C3_.wvu.PrintArea" localSheetId="12" hidden="1">'2403-008'!$B$1:$I$52</definedName>
    <definedName name="Z_C1355A62_F1E2_4388_B529_AB508DE122C3_.wvu.PrintArea" localSheetId="13" hidden="1">'2403-009'!$B$1:$I$52</definedName>
    <definedName name="Z_C1355A62_F1E2_4388_B529_AB508DE122C3_.wvu.PrintArea" localSheetId="14" hidden="1">'2403-010'!$B$1:$I$52</definedName>
    <definedName name="Z_C1355A62_F1E2_4388_B529_AB508DE122C3_.wvu.PrintArea" localSheetId="15" hidden="1">'2403-011'!$B$1:$J$52</definedName>
    <definedName name="Z_C1355A62_F1E2_4388_B529_AB508DE122C3_.wvu.PrintArea" localSheetId="16" hidden="1">'2403-012'!$B$1:$I$52</definedName>
    <definedName name="Z_C1355A62_F1E2_4388_B529_AB508DE122C3_.wvu.PrintArea" localSheetId="17" hidden="1">'2403-013'!$B$1:$I$52</definedName>
    <definedName name="Z_C1355A62_F1E2_4388_B529_AB508DE122C3_.wvu.PrintArea" localSheetId="18" hidden="1">'2403-014'!$B$1:$K$56</definedName>
    <definedName name="Z_C1355A62_F1E2_4388_B529_AB508DE122C3_.wvu.PrintArea" localSheetId="19" hidden="1">'2403-015'!$B$1:$I$52</definedName>
    <definedName name="Z_C1355A62_F1E2_4388_B529_AB508DE122C3_.wvu.PrintArea" localSheetId="20" hidden="1">'2403-016'!$B$1:$I$52</definedName>
    <definedName name="Z_C1355A62_F1E2_4388_B529_AB508DE122C3_.wvu.PrintArea" localSheetId="21" hidden="1">'2403-017'!$B$1:$I$52</definedName>
    <definedName name="Z_C1355A62_F1E2_4388_B529_AB508DE122C3_.wvu.PrintArea" localSheetId="22" hidden="1">'2403-018'!$B$1:$I$52</definedName>
    <definedName name="Z_C1355A62_F1E2_4388_B529_AB508DE122C3_.wvu.PrintArea" localSheetId="23" hidden="1">'2403-019'!$B$1:$I$52</definedName>
    <definedName name="Z_C1355A62_F1E2_4388_B529_AB508DE122C3_.wvu.PrintArea" localSheetId="24" hidden="1">'2403-020'!$B$1:$J$52</definedName>
    <definedName name="Z_C1355A62_F1E2_4388_B529_AB508DE122C3_.wvu.PrintArea" localSheetId="25" hidden="1">'2403-021'!$B$1:$I$52</definedName>
    <definedName name="Z_C1355A62_F1E2_4388_B529_AB508DE122C3_.wvu.PrintArea" localSheetId="26" hidden="1">'2403-022'!$B$1:$I$52</definedName>
    <definedName name="Z_C1355A62_F1E2_4388_B529_AB508DE122C3_.wvu.PrintArea" localSheetId="27" hidden="1">'2403-023'!$B$1:$I$52</definedName>
    <definedName name="Z_C1355A62_F1E2_4388_B529_AB508DE122C3_.wvu.PrintArea" localSheetId="28" hidden="1">'2403-024'!$B$1:$I$52</definedName>
    <definedName name="Z_C1355A62_F1E2_4388_B529_AB508DE122C3_.wvu.PrintArea" localSheetId="29" hidden="1">'2403-025'!$B$1:$I$52</definedName>
    <definedName name="Z_C1355A62_F1E2_4388_B529_AB508DE122C3_.wvu.PrintArea" localSheetId="30" hidden="1">'2403-026'!$B$1:$I$52</definedName>
    <definedName name="Z_C1355A62_F1E2_4388_B529_AB508DE122C3_.wvu.PrintArea" localSheetId="31" hidden="1">'2403-027'!$B$1:$I$52</definedName>
    <definedName name="Z_C1355A62_F1E2_4388_B529_AB508DE122C3_.wvu.PrintArea" localSheetId="32" hidden="1">'2403-028'!$B$1:$I$52</definedName>
    <definedName name="Z_C1355A62_F1E2_4388_B529_AB508DE122C3_.wvu.PrintArea" localSheetId="33" hidden="1">'2403-029'!$B$1:$I$52</definedName>
    <definedName name="Z_C1355A62_F1E2_4388_B529_AB508DE122C3_.wvu.PrintArea" localSheetId="34" hidden="1">'2403-030'!$B$1:$I$52</definedName>
    <definedName name="Z_C1355A62_F1E2_4388_B529_AB508DE122C3_.wvu.PrintArea" localSheetId="35" hidden="1">'2403-031'!$B$1:$I$52</definedName>
    <definedName name="Z_C1355A62_F1E2_4388_B529_AB508DE122C3_.wvu.PrintArea" localSheetId="36" hidden="1">'2403-032'!$B$1:$I$52</definedName>
    <definedName name="Z_C1355A62_F1E2_4388_B529_AB508DE122C3_.wvu.PrintArea" localSheetId="37" hidden="1">'2403-033'!$B$1:$I$52</definedName>
    <definedName name="Z_C1355A62_F1E2_4388_B529_AB508DE122C3_.wvu.PrintArea" localSheetId="38" hidden="1">'2403-034'!$B$1:$I$52</definedName>
    <definedName name="Z_C1355A62_F1E2_4388_B529_AB508DE122C3_.wvu.PrintArea" localSheetId="39" hidden="1">'2403-035'!$B$1:$I$52</definedName>
    <definedName name="Z_C1355A62_F1E2_4388_B529_AB508DE122C3_.wvu.PrintArea" localSheetId="40" hidden="1">'2403-036'!$B$1:$I$52</definedName>
    <definedName name="Z_C1355A62_F1E2_4388_B529_AB508DE122C3_.wvu.PrintArea" localSheetId="41" hidden="1">'2403-037'!$B$1:$I$52</definedName>
    <definedName name="Z_C1355A62_F1E2_4388_B529_AB508DE122C3_.wvu.PrintArea" localSheetId="42" hidden="1">'2403-038'!$B$1:$I$52</definedName>
    <definedName name="Z_C1355A62_F1E2_4388_B529_AB508DE122C3_.wvu.PrintArea" localSheetId="43" hidden="1">'2403-039'!$B$1:$I$52</definedName>
    <definedName name="Z_C1355A62_F1E2_4388_B529_AB508DE122C3_.wvu.PrintArea" localSheetId="44" hidden="1">'2403-040'!$B$1:$I$52</definedName>
    <definedName name="Z_C1355A62_F1E2_4388_B529_AB508DE122C3_.wvu.PrintArea" localSheetId="45" hidden="1">'2403-041'!$B$1:$I$52</definedName>
    <definedName name="Z_C1355A62_F1E2_4388_B529_AB508DE122C3_.wvu.PrintArea" localSheetId="46" hidden="1">'2403-042'!$B$1:$I$52</definedName>
    <definedName name="Z_C1355A62_F1E2_4388_B529_AB508DE122C3_.wvu.PrintArea" localSheetId="47" hidden="1">'2403-043'!$B$1:$I$52</definedName>
    <definedName name="Z_C1355A62_F1E2_4388_B529_AB508DE122C3_.wvu.PrintArea" localSheetId="48" hidden="1">'2403-044'!$B$1:$I$52</definedName>
    <definedName name="Z_C1355A62_F1E2_4388_B529_AB508DE122C3_.wvu.PrintArea" localSheetId="49" hidden="1">'2403-045'!$B$1:$I$52</definedName>
    <definedName name="Z_C1355A62_F1E2_4388_B529_AB508DE122C3_.wvu.PrintArea" localSheetId="50" hidden="1">'2403-046'!$B$1:$I$52</definedName>
    <definedName name="Z_C1355A62_F1E2_4388_B529_AB508DE122C3_.wvu.PrintArea" localSheetId="51" hidden="1">'2403-047'!$B$1:$I$52</definedName>
    <definedName name="Z_C1355A62_F1E2_4388_B529_AB508DE122C3_.wvu.PrintArea" localSheetId="52" hidden="1">'2403-048'!$B$1:$I$52</definedName>
    <definedName name="Z_C1355A62_F1E2_4388_B529_AB508DE122C3_.wvu.PrintArea" localSheetId="53" hidden="1">'2403-049'!$B$1:$I$52</definedName>
    <definedName name="Z_C1355A62_F1E2_4388_B529_AB508DE122C3_.wvu.PrintArea" localSheetId="54" hidden="1">'2403-050'!$B$1:$I$52</definedName>
    <definedName name="Z_C1355A62_F1E2_4388_B529_AB508DE122C3_.wvu.PrintArea" localSheetId="55" hidden="1">'2403-051'!$B$1:$I$52</definedName>
    <definedName name="Z_C1355A62_F1E2_4388_B529_AB508DE122C3_.wvu.PrintArea" localSheetId="56" hidden="1">'2403-052'!$B$1:$I$52</definedName>
    <definedName name="Z_C1355A62_F1E2_4388_B529_AB508DE122C3_.wvu.PrintArea" localSheetId="57" hidden="1">'2403-053'!$B$1:$I$52</definedName>
    <definedName name="Z_C1355A62_F1E2_4388_B529_AB508DE122C3_.wvu.PrintArea" localSheetId="58" hidden="1">'2403-054'!$B$1:$I$52</definedName>
    <definedName name="Z_C1355A62_F1E2_4388_B529_AB508DE122C3_.wvu.PrintArea" localSheetId="59" hidden="1">'2403-055'!$B$1:$I$52</definedName>
    <definedName name="Z_C1355A62_F1E2_4388_B529_AB508DE122C3_.wvu.PrintArea" localSheetId="60" hidden="1">'2403-056'!$B$1:$I$52</definedName>
    <definedName name="Z_C1355A62_F1E2_4388_B529_AB508DE122C3_.wvu.PrintArea" localSheetId="61" hidden="1">'2403-057'!$B$1:$I$52</definedName>
    <definedName name="Z_C1355A62_F1E2_4388_B529_AB508DE122C3_.wvu.PrintArea" localSheetId="62" hidden="1">'2403-058'!$B$1:$I$52</definedName>
    <definedName name="Z_C1355A62_F1E2_4388_B529_AB508DE122C3_.wvu.PrintArea" localSheetId="63" hidden="1">'2403-059'!$B$1:$I$52</definedName>
    <definedName name="Z_C1355A62_F1E2_4388_B529_AB508DE122C3_.wvu.PrintArea" localSheetId="64" hidden="1">'2403-060'!$B$1:$I$52</definedName>
    <definedName name="Z_C1355A62_F1E2_4388_B529_AB508DE122C3_.wvu.PrintArea" localSheetId="65" hidden="1">'2403-061'!$B$1:$I$52</definedName>
    <definedName name="Z_C1355A62_F1E2_4388_B529_AB508DE122C3_.wvu.PrintArea" localSheetId="66" hidden="1">'2403-062'!$B$1:$I$52</definedName>
    <definedName name="Z_C1355A62_F1E2_4388_B529_AB508DE122C3_.wvu.PrintArea" localSheetId="67" hidden="1">'2403-063'!$B$1:$I$52</definedName>
    <definedName name="Z_C1355A62_F1E2_4388_B529_AB508DE122C3_.wvu.PrintArea" localSheetId="68" hidden="1">'2403-064'!$B$1:$I$52</definedName>
    <definedName name="Z_C1355A62_F1E2_4388_B529_AB508DE122C3_.wvu.PrintArea" localSheetId="69" hidden="1">'2403-065'!$B$1:$I$52</definedName>
    <definedName name="Z_C1355A62_F1E2_4388_B529_AB508DE122C3_.wvu.PrintArea" localSheetId="70" hidden="1">'2403-066'!$B$1:$I$52</definedName>
    <definedName name="Z_C1355A62_F1E2_4388_B529_AB508DE122C3_.wvu.PrintArea" localSheetId="71" hidden="1">'2403-067'!$B$1:$I$52</definedName>
    <definedName name="Z_C1355A62_F1E2_4388_B529_AB508DE122C3_.wvu.PrintArea" localSheetId="72" hidden="1">'2403-068'!$B$1:$I$52</definedName>
    <definedName name="Z_C1355A62_F1E2_4388_B529_AB508DE122C3_.wvu.PrintArea" localSheetId="73" hidden="1">'2403-069'!$B$1:$I$52</definedName>
    <definedName name="Z_C1355A62_F1E2_4388_B529_AB508DE122C3_.wvu.PrintArea" localSheetId="74" hidden="1">'2403-070'!$B$1:$I$52</definedName>
    <definedName name="Z_C1355A62_F1E2_4388_B529_AB508DE122C3_.wvu.PrintArea" localSheetId="75" hidden="1">'2403-071'!$B$1:$I$52</definedName>
    <definedName name="Z_C1355A62_F1E2_4388_B529_AB508DE122C3_.wvu.PrintArea" localSheetId="76" hidden="1">'2403-072'!$B$1:$I$52</definedName>
    <definedName name="Z_C1355A62_F1E2_4388_B529_AB508DE122C3_.wvu.PrintArea" localSheetId="77" hidden="1">'2403-073'!$B$1:$I$52</definedName>
    <definedName name="Z_C1355A62_F1E2_4388_B529_AB508DE122C3_.wvu.PrintArea" localSheetId="78" hidden="1">'2403-074'!$B$1:$I$52</definedName>
    <definedName name="Z_C1355A62_F1E2_4388_B529_AB508DE122C3_.wvu.PrintArea" localSheetId="79" hidden="1">'2403-075'!$B$1:$I$52</definedName>
    <definedName name="Z_C1355A62_F1E2_4388_B529_AB508DE122C3_.wvu.PrintArea" localSheetId="80" hidden="1">'2403-076'!$B$1:$I$52</definedName>
    <definedName name="Z_C1355A62_F1E2_4388_B529_AB508DE122C3_.wvu.PrintArea" localSheetId="81" hidden="1">'2403-077'!$B$1:$I$52</definedName>
    <definedName name="Z_C1355A62_F1E2_4388_B529_AB508DE122C3_.wvu.PrintArea" localSheetId="82" hidden="1">'2403-078'!$B$1:$I$52</definedName>
    <definedName name="Z_C1355A62_F1E2_4388_B529_AB508DE122C3_.wvu.PrintArea" localSheetId="83" hidden="1">'2403-079'!$B$1:$I$52</definedName>
    <definedName name="Z_C1355A62_F1E2_4388_B529_AB508DE122C3_.wvu.PrintArea" localSheetId="84" hidden="1">'2403-080'!$B$1:$I$52</definedName>
    <definedName name="Z_C1355A62_F1E2_4388_B529_AB508DE122C3_.wvu.PrintArea" localSheetId="85" hidden="1">'2403-081'!$B$1:$I$52</definedName>
    <definedName name="Z_C1355A62_F1E2_4388_B529_AB508DE122C3_.wvu.PrintArea" localSheetId="86" hidden="1">'2403-082'!$B$1:$I$52</definedName>
    <definedName name="Z_C1355A62_F1E2_4388_B529_AB508DE122C3_.wvu.PrintArea" localSheetId="87" hidden="1">'2403-083'!$B$1:$I$52</definedName>
    <definedName name="Z_C1355A62_F1E2_4388_B529_AB508DE122C3_.wvu.PrintArea" localSheetId="88" hidden="1">'2403-084'!$B$1:$I$52</definedName>
    <definedName name="Z_C1355A62_F1E2_4388_B529_AB508DE122C3_.wvu.PrintArea" localSheetId="89" hidden="1">'2403-085'!$B$1:$I$52</definedName>
    <definedName name="Z_C1355A62_F1E2_4388_B529_AB508DE122C3_.wvu.PrintArea" localSheetId="90" hidden="1">'2403-086'!$B$1:$I$52</definedName>
    <definedName name="Z_C1355A62_F1E2_4388_B529_AB508DE122C3_.wvu.PrintArea" localSheetId="91" hidden="1">'2403-087'!$B$1:$I$52</definedName>
    <definedName name="Z_C1355A62_F1E2_4388_B529_AB508DE122C3_.wvu.PrintArea" localSheetId="92" hidden="1">'2403-088'!$B$1:$I$52</definedName>
    <definedName name="Z_C1355A62_F1E2_4388_B529_AB508DE122C3_.wvu.PrintArea" localSheetId="93" hidden="1">'2403-089'!$B$1:$I$52</definedName>
    <definedName name="Z_C1355A62_F1E2_4388_B529_AB508DE122C3_.wvu.PrintArea" localSheetId="94" hidden="1">'2403-090'!$B$1:$I$52</definedName>
    <definedName name="Z_C1355A62_F1E2_4388_B529_AB508DE122C3_.wvu.PrintArea" localSheetId="95" hidden="1">'2403-091'!$B$1:$I$52</definedName>
    <definedName name="Z_C1355A62_F1E2_4388_B529_AB508DE122C3_.wvu.PrintArea" localSheetId="96" hidden="1">'2403-092'!$B$1:$I$52</definedName>
    <definedName name="Z_C1355A62_F1E2_4388_B529_AB508DE122C3_.wvu.PrintArea" localSheetId="97" hidden="1">'2403-093'!$B$1:$I$52</definedName>
    <definedName name="Z_C1355A62_F1E2_4388_B529_AB508DE122C3_.wvu.PrintArea" localSheetId="98" hidden="1">'2403-094'!$B$1:$I$52</definedName>
    <definedName name="Z_C1355A62_F1E2_4388_B529_AB508DE122C3_.wvu.PrintArea" localSheetId="99" hidden="1">'2403-095'!$B$1:$I$52</definedName>
    <definedName name="Z_C1355A62_F1E2_4388_B529_AB508DE122C3_.wvu.PrintArea" localSheetId="100" hidden="1">'2403-096'!$B$1:$I$52</definedName>
    <definedName name="Z_C1355A62_F1E2_4388_B529_AB508DE122C3_.wvu.PrintArea" localSheetId="101" hidden="1">'2403-097'!$B$1:$I$52</definedName>
    <definedName name="Z_C1355A62_F1E2_4388_B529_AB508DE122C3_.wvu.PrintArea" localSheetId="102" hidden="1">'2403-098'!$B$1:$I$52</definedName>
    <definedName name="Z_C1355A62_F1E2_4388_B529_AB508DE122C3_.wvu.PrintArea" localSheetId="103" hidden="1">'2403-099'!$B$1:$I$52</definedName>
    <definedName name="Z_C1355A62_F1E2_4388_B529_AB508DE122C3_.wvu.PrintArea" localSheetId="104" hidden="1">'2403-100'!$B$1:$I$52</definedName>
    <definedName name="Z_C1355A62_F1E2_4388_B529_AB508DE122C3_.wvu.PrintArea" localSheetId="105" hidden="1">'2403-101'!$B$1:$I$52</definedName>
    <definedName name="Z_C1355A62_F1E2_4388_B529_AB508DE122C3_.wvu.PrintArea" localSheetId="106" hidden="1">'2403-102'!$B$1:$I$52</definedName>
    <definedName name="Z_C1355A62_F1E2_4388_B529_AB508DE122C3_.wvu.PrintArea" localSheetId="107" hidden="1">'2403-103'!$B$1:$I$52</definedName>
    <definedName name="Z_C1355A62_F1E2_4388_B529_AB508DE122C3_.wvu.PrintArea" localSheetId="108" hidden="1">'2403-104'!$B$1:$I$52</definedName>
    <definedName name="Z_C1355A62_F1E2_4388_B529_AB508DE122C3_.wvu.PrintArea" localSheetId="109" hidden="1">'2403-105'!$B$1:$I$52</definedName>
    <definedName name="Z_C1355A62_F1E2_4388_B529_AB508DE122C3_.wvu.PrintArea" localSheetId="110" hidden="1">'2403-106'!$B$1:$I$52</definedName>
    <definedName name="Z_C1355A62_F1E2_4388_B529_AB508DE122C3_.wvu.PrintArea" localSheetId="111" hidden="1">'2403-107'!$B$1:$I$52</definedName>
    <definedName name="Z_C1355A62_F1E2_4388_B529_AB508DE122C3_.wvu.PrintArea" localSheetId="112" hidden="1">'2403-108'!$B$1:$I$52</definedName>
    <definedName name="Z_C1355A62_F1E2_4388_B529_AB508DE122C3_.wvu.PrintArea" localSheetId="113" hidden="1">'2403-109'!$B$1:$I$52</definedName>
    <definedName name="Z_C1355A62_F1E2_4388_B529_AB508DE122C3_.wvu.PrintArea" localSheetId="114" hidden="1">'2403-110'!$B$1:$I$52</definedName>
    <definedName name="Z_C1355A62_F1E2_4388_B529_AB508DE122C3_.wvu.PrintArea" localSheetId="115" hidden="1">'2403-111'!$B$1:$I$52</definedName>
    <definedName name="Z_C1355A62_F1E2_4388_B529_AB508DE122C3_.wvu.PrintArea" localSheetId="116" hidden="1">'2403-112'!$B$1:$I$52</definedName>
    <definedName name="Z_C1355A62_F1E2_4388_B529_AB508DE122C3_.wvu.PrintArea" localSheetId="117" hidden="1">'2403-113'!$B$1:$I$52</definedName>
    <definedName name="Z_C1355A62_F1E2_4388_B529_AB508DE122C3_.wvu.PrintArea" localSheetId="118" hidden="1">'2403-114'!$B$1:$I$52</definedName>
    <definedName name="Z_C1355A62_F1E2_4388_B529_AB508DE122C3_.wvu.PrintArea" localSheetId="119" hidden="1">'2403-115'!$B$1:$I$52</definedName>
    <definedName name="Z_C1355A62_F1E2_4388_B529_AB508DE122C3_.wvu.PrintArea" localSheetId="120" hidden="1">'2403-116'!$B$1:$I$52</definedName>
    <definedName name="Z_C1355A62_F1E2_4388_B529_AB508DE122C3_.wvu.PrintArea" localSheetId="121" hidden="1">'2403-117'!$B$1:$I$52</definedName>
    <definedName name="Z_C1355A62_F1E2_4388_B529_AB508DE122C3_.wvu.PrintArea" localSheetId="122" hidden="1">'2403-118'!$B$1:$I$52</definedName>
    <definedName name="Z_C1355A62_F1E2_4388_B529_AB508DE122C3_.wvu.PrintArea" localSheetId="123" hidden="1">'2403-119'!$B$1:$I$52</definedName>
    <definedName name="Z_C1355A62_F1E2_4388_B529_AB508DE122C3_.wvu.PrintArea" localSheetId="124" hidden="1">'2403-120'!$B$1:$I$52</definedName>
    <definedName name="Z_C1355A62_F1E2_4388_B529_AB508DE122C3_.wvu.PrintArea" localSheetId="125" hidden="1">'2403-121'!$B$1:$I$52</definedName>
    <definedName name="Z_C1355A62_F1E2_4388_B529_AB508DE122C3_.wvu.PrintArea" localSheetId="126" hidden="1">'2403-122'!$B$1:$I$52</definedName>
    <definedName name="Z_C1355A62_F1E2_4388_B529_AB508DE122C3_.wvu.PrintArea" localSheetId="127" hidden="1">'2403-123'!$B$1:$I$52</definedName>
    <definedName name="Z_C1355A62_F1E2_4388_B529_AB508DE122C3_.wvu.PrintArea" localSheetId="128" hidden="1">'2403-124'!$B$1:$I$52</definedName>
    <definedName name="Z_C1355A62_F1E2_4388_B529_AB508DE122C3_.wvu.PrintArea" localSheetId="129" hidden="1">'2403-125'!$B$1:$I$52</definedName>
    <definedName name="Z_C1355A62_F1E2_4388_B529_AB508DE122C3_.wvu.PrintArea" localSheetId="130" hidden="1">'2403-126'!$B$1:$I$52</definedName>
    <definedName name="Z_C1355A62_F1E2_4388_B529_AB508DE122C3_.wvu.PrintArea" localSheetId="131" hidden="1">'2403-127'!$B$1:$I$52</definedName>
    <definedName name="Z_C1355A62_F1E2_4388_B529_AB508DE122C3_.wvu.PrintArea" localSheetId="132" hidden="1">'2403-128'!$B$1:$I$52</definedName>
    <definedName name="Z_C1355A62_F1E2_4388_B529_AB508DE122C3_.wvu.PrintArea" localSheetId="133" hidden="1">'2403-129'!$B$1:$I$52</definedName>
    <definedName name="Z_C1355A62_F1E2_4388_B529_AB508DE122C3_.wvu.PrintArea" localSheetId="134" hidden="1">'2403-130'!$B$1:$I$52</definedName>
    <definedName name="Z_C1355A62_F1E2_4388_B529_AB508DE122C3_.wvu.PrintArea" localSheetId="135" hidden="1">'2403-131'!$B$1:$I$52</definedName>
    <definedName name="Z_C1355A62_F1E2_4388_B529_AB508DE122C3_.wvu.PrintArea" localSheetId="136" hidden="1">'2403-132'!$B$1:$I$52</definedName>
    <definedName name="Z_C1355A62_F1E2_4388_B529_AB508DE122C3_.wvu.PrintArea" localSheetId="137" hidden="1">'2403-133'!$B$1:$I$52</definedName>
    <definedName name="Z_C1355A62_F1E2_4388_B529_AB508DE122C3_.wvu.PrintArea" localSheetId="138" hidden="1">'2403-134'!$B$1:$I$52</definedName>
    <definedName name="Z_C1355A62_F1E2_4388_B529_AB508DE122C3_.wvu.PrintArea" localSheetId="139" hidden="1">'2403-135'!$B$1:$I$52</definedName>
    <definedName name="Z_C1355A62_F1E2_4388_B529_AB508DE122C3_.wvu.PrintArea" localSheetId="140" hidden="1">'2403-136'!$B$1:$I$52</definedName>
    <definedName name="Z_C1355A62_F1E2_4388_B529_AB508DE122C3_.wvu.PrintArea" localSheetId="141" hidden="1">'2403-137'!$B$1:$I$52</definedName>
    <definedName name="Z_C1355A62_F1E2_4388_B529_AB508DE122C3_.wvu.PrintArea" localSheetId="142" hidden="1">'2403-138'!$B$1:$I$52</definedName>
    <definedName name="Z_C1355A62_F1E2_4388_B529_AB508DE122C3_.wvu.PrintArea" localSheetId="143" hidden="1">'2403-139'!$B$1:$I$52</definedName>
    <definedName name="Z_C1355A62_F1E2_4388_B529_AB508DE122C3_.wvu.PrintArea" localSheetId="144" hidden="1">'2403-140'!$B$1:$I$52</definedName>
    <definedName name="Z_C1355A62_F1E2_4388_B529_AB508DE122C3_.wvu.PrintArea" localSheetId="145" hidden="1">'2403-141'!$B$1:$I$52</definedName>
    <definedName name="Z_C1355A62_F1E2_4388_B529_AB508DE122C3_.wvu.PrintArea" localSheetId="4" hidden="1">'TEMPLATE-SHEET'!$B$1:$I$52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466" l="1"/>
  <c r="C10" i="605"/>
  <c r="C9" i="589"/>
  <c r="C9" i="588"/>
  <c r="C10" i="479"/>
  <c r="F27" i="545" l="1"/>
  <c r="E29" i="545"/>
  <c r="E28" i="545"/>
  <c r="F27" i="544"/>
  <c r="F29" i="544"/>
  <c r="F28" i="544"/>
  <c r="G49" i="2"/>
  <c r="G50" i="2"/>
  <c r="G51" i="2"/>
  <c r="G52" i="2"/>
  <c r="G53" i="2"/>
  <c r="G211" i="2"/>
  <c r="C9" i="494" l="1"/>
  <c r="C9" i="595"/>
  <c r="C9" i="491"/>
  <c r="C9" i="489"/>
  <c r="C9" i="488"/>
  <c r="I47" i="488"/>
  <c r="C9" i="484"/>
  <c r="C9" i="482"/>
  <c r="C9" i="481"/>
  <c r="C9" i="473"/>
  <c r="C9" i="461"/>
  <c r="C9" i="464"/>
  <c r="C9" i="465"/>
  <c r="C9" i="466"/>
  <c r="C9" i="467"/>
  <c r="C9" i="468"/>
  <c r="C10" i="468"/>
  <c r="C9" i="463"/>
  <c r="C9" i="462"/>
  <c r="C9" i="608"/>
  <c r="I41" i="609"/>
  <c r="H41" i="609"/>
  <c r="I40" i="609"/>
  <c r="H40" i="609"/>
  <c r="I39" i="609"/>
  <c r="H39" i="609"/>
  <c r="I38" i="609"/>
  <c r="H38" i="609"/>
  <c r="I37" i="609"/>
  <c r="H37" i="609"/>
  <c r="I36" i="609"/>
  <c r="H36" i="609"/>
  <c r="I35" i="609"/>
  <c r="H35" i="609"/>
  <c r="I34" i="609"/>
  <c r="H34" i="609"/>
  <c r="I33" i="609"/>
  <c r="H33" i="609"/>
  <c r="I32" i="609"/>
  <c r="H32" i="609"/>
  <c r="I31" i="609"/>
  <c r="H31" i="609"/>
  <c r="I30" i="609"/>
  <c r="H30" i="609"/>
  <c r="I29" i="609"/>
  <c r="H29" i="609"/>
  <c r="I28" i="609"/>
  <c r="H28" i="609"/>
  <c r="I27" i="609"/>
  <c r="H27" i="609"/>
  <c r="I26" i="609"/>
  <c r="I43" i="609" s="1"/>
  <c r="I48" i="609" s="1"/>
  <c r="H26" i="609"/>
  <c r="I21" i="609"/>
  <c r="F10" i="609"/>
  <c r="C10" i="609"/>
  <c r="F9" i="609"/>
  <c r="C9" i="609"/>
  <c r="I41" i="608"/>
  <c r="H41" i="608"/>
  <c r="I40" i="608"/>
  <c r="H40" i="608"/>
  <c r="I39" i="608"/>
  <c r="H39" i="608"/>
  <c r="I38" i="608"/>
  <c r="H38" i="608"/>
  <c r="I37" i="608"/>
  <c r="H37" i="608"/>
  <c r="I36" i="608"/>
  <c r="H36" i="608"/>
  <c r="I35" i="608"/>
  <c r="H35" i="608"/>
  <c r="I34" i="608"/>
  <c r="H34" i="608"/>
  <c r="I33" i="608"/>
  <c r="H33" i="608"/>
  <c r="I32" i="608"/>
  <c r="H32" i="608"/>
  <c r="I31" i="608"/>
  <c r="H31" i="608"/>
  <c r="I30" i="608"/>
  <c r="H30" i="608"/>
  <c r="I29" i="608"/>
  <c r="H29" i="608"/>
  <c r="I28" i="608"/>
  <c r="H28" i="608"/>
  <c r="I27" i="608"/>
  <c r="H27" i="608"/>
  <c r="I26" i="608"/>
  <c r="I43" i="608" s="1"/>
  <c r="I48" i="608" s="1"/>
  <c r="H26" i="608"/>
  <c r="I21" i="608"/>
  <c r="F10" i="608"/>
  <c r="C10" i="608"/>
  <c r="F9" i="608"/>
  <c r="I41" i="607"/>
  <c r="H41" i="607"/>
  <c r="I40" i="607"/>
  <c r="H40" i="607"/>
  <c r="I39" i="607"/>
  <c r="H39" i="607"/>
  <c r="I38" i="607"/>
  <c r="H38" i="607"/>
  <c r="I37" i="607"/>
  <c r="H37" i="607"/>
  <c r="I36" i="607"/>
  <c r="H36" i="607"/>
  <c r="I35" i="607"/>
  <c r="H35" i="607"/>
  <c r="I34" i="607"/>
  <c r="H34" i="607"/>
  <c r="I33" i="607"/>
  <c r="H33" i="607"/>
  <c r="I32" i="607"/>
  <c r="H32" i="607"/>
  <c r="I31" i="607"/>
  <c r="H31" i="607"/>
  <c r="I30" i="607"/>
  <c r="H30" i="607"/>
  <c r="I29" i="607"/>
  <c r="H29" i="607"/>
  <c r="I28" i="607"/>
  <c r="H28" i="607"/>
  <c r="I27" i="607"/>
  <c r="H27" i="607"/>
  <c r="I26" i="607"/>
  <c r="I43" i="607" s="1"/>
  <c r="I48" i="607" s="1"/>
  <c r="H26" i="607"/>
  <c r="I21" i="607"/>
  <c r="F10" i="607"/>
  <c r="C10" i="607"/>
  <c r="F9" i="607"/>
  <c r="C9" i="607"/>
  <c r="I41" i="606"/>
  <c r="H41" i="606"/>
  <c r="I40" i="606"/>
  <c r="H40" i="606"/>
  <c r="I39" i="606"/>
  <c r="H39" i="606"/>
  <c r="I38" i="606"/>
  <c r="H38" i="606"/>
  <c r="I37" i="606"/>
  <c r="H37" i="606"/>
  <c r="I36" i="606"/>
  <c r="H36" i="606"/>
  <c r="I35" i="606"/>
  <c r="H35" i="606"/>
  <c r="I34" i="606"/>
  <c r="H34" i="606"/>
  <c r="I33" i="606"/>
  <c r="H33" i="606"/>
  <c r="I32" i="606"/>
  <c r="H32" i="606"/>
  <c r="I31" i="606"/>
  <c r="H31" i="606"/>
  <c r="I30" i="606"/>
  <c r="H30" i="606"/>
  <c r="I29" i="606"/>
  <c r="H29" i="606"/>
  <c r="I28" i="606"/>
  <c r="H28" i="606"/>
  <c r="I27" i="606"/>
  <c r="H27" i="606"/>
  <c r="I26" i="606"/>
  <c r="I43" i="606" s="1"/>
  <c r="I48" i="606" s="1"/>
  <c r="H26" i="606"/>
  <c r="I21" i="606"/>
  <c r="F10" i="606"/>
  <c r="C10" i="606"/>
  <c r="F9" i="606"/>
  <c r="C9" i="606"/>
  <c r="I41" i="605"/>
  <c r="H41" i="605"/>
  <c r="I40" i="605"/>
  <c r="H40" i="605"/>
  <c r="I39" i="605"/>
  <c r="H39" i="605"/>
  <c r="I38" i="605"/>
  <c r="H38" i="605"/>
  <c r="I37" i="605"/>
  <c r="H37" i="605"/>
  <c r="I36" i="605"/>
  <c r="H36" i="605"/>
  <c r="I35" i="605"/>
  <c r="H35" i="605"/>
  <c r="I34" i="605"/>
  <c r="H34" i="605"/>
  <c r="I33" i="605"/>
  <c r="H33" i="605"/>
  <c r="I32" i="605"/>
  <c r="H32" i="605"/>
  <c r="I31" i="605"/>
  <c r="H31" i="605"/>
  <c r="I30" i="605"/>
  <c r="H30" i="605"/>
  <c r="I29" i="605"/>
  <c r="H29" i="605"/>
  <c r="I28" i="605"/>
  <c r="H28" i="605"/>
  <c r="I27" i="605"/>
  <c r="H27" i="605"/>
  <c r="I26" i="605"/>
  <c r="I43" i="605" s="1"/>
  <c r="I48" i="605" s="1"/>
  <c r="H26" i="605"/>
  <c r="I21" i="605"/>
  <c r="F10" i="605"/>
  <c r="F9" i="605"/>
  <c r="C9" i="605"/>
  <c r="I41" i="604"/>
  <c r="H41" i="604"/>
  <c r="I40" i="604"/>
  <c r="H40" i="604"/>
  <c r="I39" i="604"/>
  <c r="H39" i="604"/>
  <c r="I38" i="604"/>
  <c r="H38" i="604"/>
  <c r="I37" i="604"/>
  <c r="H37" i="604"/>
  <c r="I36" i="604"/>
  <c r="H36" i="604"/>
  <c r="I35" i="604"/>
  <c r="H35" i="604"/>
  <c r="I34" i="604"/>
  <c r="H34" i="604"/>
  <c r="I33" i="604"/>
  <c r="H33" i="604"/>
  <c r="I32" i="604"/>
  <c r="H32" i="604"/>
  <c r="I31" i="604"/>
  <c r="H31" i="604"/>
  <c r="I30" i="604"/>
  <c r="H30" i="604"/>
  <c r="I29" i="604"/>
  <c r="H29" i="604"/>
  <c r="I28" i="604"/>
  <c r="H28" i="604"/>
  <c r="I27" i="604"/>
  <c r="H27" i="604"/>
  <c r="I26" i="604"/>
  <c r="I43" i="604" s="1"/>
  <c r="I48" i="604" s="1"/>
  <c r="H26" i="604"/>
  <c r="I21" i="604"/>
  <c r="F10" i="604"/>
  <c r="C10" i="604"/>
  <c r="F9" i="604"/>
  <c r="C9" i="604"/>
  <c r="I41" i="603"/>
  <c r="H41" i="603"/>
  <c r="I40" i="603"/>
  <c r="H40" i="603"/>
  <c r="I39" i="603"/>
  <c r="H39" i="603"/>
  <c r="I38" i="603"/>
  <c r="H38" i="603"/>
  <c r="I37" i="603"/>
  <c r="H37" i="603"/>
  <c r="I36" i="603"/>
  <c r="H36" i="603"/>
  <c r="I35" i="603"/>
  <c r="H35" i="603"/>
  <c r="I34" i="603"/>
  <c r="H34" i="603"/>
  <c r="I33" i="603"/>
  <c r="H33" i="603"/>
  <c r="I32" i="603"/>
  <c r="H32" i="603"/>
  <c r="I31" i="603"/>
  <c r="H31" i="603"/>
  <c r="I30" i="603"/>
  <c r="H30" i="603"/>
  <c r="I29" i="603"/>
  <c r="H29" i="603"/>
  <c r="I28" i="603"/>
  <c r="H28" i="603"/>
  <c r="I27" i="603"/>
  <c r="H27" i="603"/>
  <c r="I26" i="603"/>
  <c r="I43" i="603" s="1"/>
  <c r="I48" i="603" s="1"/>
  <c r="H26" i="603"/>
  <c r="I21" i="603"/>
  <c r="F10" i="603"/>
  <c r="C10" i="603"/>
  <c r="F9" i="603"/>
  <c r="C9" i="603"/>
  <c r="I41" i="602"/>
  <c r="H41" i="602"/>
  <c r="I40" i="602"/>
  <c r="H40" i="602"/>
  <c r="I39" i="602"/>
  <c r="H39" i="602"/>
  <c r="I38" i="602"/>
  <c r="H38" i="602"/>
  <c r="I37" i="602"/>
  <c r="H37" i="602"/>
  <c r="I36" i="602"/>
  <c r="H36" i="602"/>
  <c r="I35" i="602"/>
  <c r="H35" i="602"/>
  <c r="I34" i="602"/>
  <c r="H34" i="602"/>
  <c r="I33" i="602"/>
  <c r="H33" i="602"/>
  <c r="I32" i="602"/>
  <c r="H32" i="602"/>
  <c r="I31" i="602"/>
  <c r="H31" i="602"/>
  <c r="I30" i="602"/>
  <c r="H30" i="602"/>
  <c r="I29" i="602"/>
  <c r="H29" i="602"/>
  <c r="I28" i="602"/>
  <c r="H28" i="602"/>
  <c r="I27" i="602"/>
  <c r="H27" i="602"/>
  <c r="I26" i="602"/>
  <c r="I43" i="602" s="1"/>
  <c r="I48" i="602" s="1"/>
  <c r="H26" i="602"/>
  <c r="I21" i="602"/>
  <c r="F10" i="602"/>
  <c r="C10" i="602"/>
  <c r="F9" i="602"/>
  <c r="C9" i="602"/>
  <c r="I41" i="601"/>
  <c r="H41" i="601"/>
  <c r="I40" i="601"/>
  <c r="H40" i="601"/>
  <c r="I39" i="601"/>
  <c r="H39" i="601"/>
  <c r="I38" i="601"/>
  <c r="H38" i="601"/>
  <c r="I37" i="601"/>
  <c r="H37" i="601"/>
  <c r="I36" i="601"/>
  <c r="H36" i="601"/>
  <c r="I35" i="601"/>
  <c r="H35" i="601"/>
  <c r="I34" i="601"/>
  <c r="H34" i="601"/>
  <c r="I33" i="601"/>
  <c r="H33" i="601"/>
  <c r="I32" i="601"/>
  <c r="H32" i="601"/>
  <c r="I31" i="601"/>
  <c r="H31" i="601"/>
  <c r="I30" i="601"/>
  <c r="H30" i="601"/>
  <c r="I29" i="601"/>
  <c r="H29" i="601"/>
  <c r="I28" i="601"/>
  <c r="H28" i="601"/>
  <c r="I27" i="601"/>
  <c r="H27" i="601"/>
  <c r="I26" i="601"/>
  <c r="I43" i="601" s="1"/>
  <c r="I48" i="601" s="1"/>
  <c r="H26" i="601"/>
  <c r="I21" i="601"/>
  <c r="F10" i="601"/>
  <c r="C10" i="601"/>
  <c r="F9" i="601"/>
  <c r="C9" i="601"/>
  <c r="I41" i="600"/>
  <c r="H41" i="600"/>
  <c r="I40" i="600"/>
  <c r="H40" i="600"/>
  <c r="I39" i="600"/>
  <c r="H39" i="600"/>
  <c r="I38" i="600"/>
  <c r="H38" i="600"/>
  <c r="I37" i="600"/>
  <c r="H37" i="600"/>
  <c r="I36" i="600"/>
  <c r="H36" i="600"/>
  <c r="I35" i="600"/>
  <c r="H35" i="600"/>
  <c r="I34" i="600"/>
  <c r="H34" i="600"/>
  <c r="I33" i="600"/>
  <c r="H33" i="600"/>
  <c r="I32" i="600"/>
  <c r="H32" i="600"/>
  <c r="I31" i="600"/>
  <c r="H31" i="600"/>
  <c r="I30" i="600"/>
  <c r="H30" i="600"/>
  <c r="I29" i="600"/>
  <c r="H29" i="600"/>
  <c r="I28" i="600"/>
  <c r="H28" i="600"/>
  <c r="I27" i="600"/>
  <c r="H27" i="600"/>
  <c r="I26" i="600"/>
  <c r="I43" i="600" s="1"/>
  <c r="I48" i="600" s="1"/>
  <c r="H26" i="600"/>
  <c r="I21" i="600"/>
  <c r="F10" i="600"/>
  <c r="C10" i="600"/>
  <c r="F9" i="600"/>
  <c r="C9" i="600"/>
  <c r="I43" i="599"/>
  <c r="I48" i="599" s="1"/>
  <c r="I41" i="599"/>
  <c r="H41" i="599"/>
  <c r="I40" i="599"/>
  <c r="H40" i="599"/>
  <c r="I39" i="599"/>
  <c r="H39" i="599"/>
  <c r="I38" i="599"/>
  <c r="H38" i="599"/>
  <c r="I37" i="599"/>
  <c r="H37" i="599"/>
  <c r="I36" i="599"/>
  <c r="H36" i="599"/>
  <c r="I35" i="599"/>
  <c r="H35" i="599"/>
  <c r="I34" i="599"/>
  <c r="H34" i="599"/>
  <c r="I33" i="599"/>
  <c r="H33" i="599"/>
  <c r="I32" i="599"/>
  <c r="H32" i="599"/>
  <c r="I31" i="599"/>
  <c r="H31" i="599"/>
  <c r="I30" i="599"/>
  <c r="H30" i="599"/>
  <c r="I29" i="599"/>
  <c r="H29" i="599"/>
  <c r="I28" i="599"/>
  <c r="H28" i="599"/>
  <c r="I27" i="599"/>
  <c r="H27" i="599"/>
  <c r="I26" i="599"/>
  <c r="H26" i="599"/>
  <c r="I21" i="599"/>
  <c r="F10" i="599"/>
  <c r="C10" i="599"/>
  <c r="F9" i="599"/>
  <c r="C9" i="599"/>
  <c r="I41" i="598"/>
  <c r="H41" i="598"/>
  <c r="I40" i="598"/>
  <c r="H40" i="598"/>
  <c r="I39" i="598"/>
  <c r="H39" i="598"/>
  <c r="I38" i="598"/>
  <c r="H38" i="598"/>
  <c r="I37" i="598"/>
  <c r="H37" i="598"/>
  <c r="I36" i="598"/>
  <c r="H36" i="598"/>
  <c r="I35" i="598"/>
  <c r="H35" i="598"/>
  <c r="I34" i="598"/>
  <c r="H34" i="598"/>
  <c r="I33" i="598"/>
  <c r="H33" i="598"/>
  <c r="I32" i="598"/>
  <c r="H32" i="598"/>
  <c r="I31" i="598"/>
  <c r="H31" i="598"/>
  <c r="I30" i="598"/>
  <c r="H30" i="598"/>
  <c r="I29" i="598"/>
  <c r="H29" i="598"/>
  <c r="I28" i="598"/>
  <c r="H28" i="598"/>
  <c r="I27" i="598"/>
  <c r="H27" i="598"/>
  <c r="I26" i="598"/>
  <c r="I43" i="598" s="1"/>
  <c r="I48" i="598" s="1"/>
  <c r="H26" i="598"/>
  <c r="I21" i="598"/>
  <c r="F10" i="598"/>
  <c r="C10" i="598"/>
  <c r="F9" i="598"/>
  <c r="C9" i="598"/>
  <c r="I41" i="597"/>
  <c r="H41" i="597"/>
  <c r="I40" i="597"/>
  <c r="H40" i="597"/>
  <c r="I39" i="597"/>
  <c r="H39" i="597"/>
  <c r="I38" i="597"/>
  <c r="H38" i="597"/>
  <c r="I37" i="597"/>
  <c r="H37" i="597"/>
  <c r="I36" i="597"/>
  <c r="H36" i="597"/>
  <c r="I35" i="597"/>
  <c r="H35" i="597"/>
  <c r="I34" i="597"/>
  <c r="H34" i="597"/>
  <c r="I33" i="597"/>
  <c r="H33" i="597"/>
  <c r="I32" i="597"/>
  <c r="H32" i="597"/>
  <c r="I31" i="597"/>
  <c r="H31" i="597"/>
  <c r="I30" i="597"/>
  <c r="H30" i="597"/>
  <c r="I29" i="597"/>
  <c r="H29" i="597"/>
  <c r="I28" i="597"/>
  <c r="H28" i="597"/>
  <c r="I27" i="597"/>
  <c r="H27" i="597"/>
  <c r="I26" i="597"/>
  <c r="I43" i="597" s="1"/>
  <c r="I48" i="597" s="1"/>
  <c r="H26" i="597"/>
  <c r="I21" i="597"/>
  <c r="F10" i="597"/>
  <c r="C10" i="597"/>
  <c r="F9" i="597"/>
  <c r="C9" i="597"/>
  <c r="I41" i="596"/>
  <c r="H41" i="596"/>
  <c r="I40" i="596"/>
  <c r="H40" i="596"/>
  <c r="I39" i="596"/>
  <c r="H39" i="596"/>
  <c r="I38" i="596"/>
  <c r="H38" i="596"/>
  <c r="I37" i="596"/>
  <c r="H37" i="596"/>
  <c r="I36" i="596"/>
  <c r="H36" i="596"/>
  <c r="I35" i="596"/>
  <c r="H35" i="596"/>
  <c r="I34" i="596"/>
  <c r="H34" i="596"/>
  <c r="I33" i="596"/>
  <c r="H33" i="596"/>
  <c r="I32" i="596"/>
  <c r="H32" i="596"/>
  <c r="I31" i="596"/>
  <c r="H31" i="596"/>
  <c r="I30" i="596"/>
  <c r="H30" i="596"/>
  <c r="I29" i="596"/>
  <c r="H29" i="596"/>
  <c r="I28" i="596"/>
  <c r="H28" i="596"/>
  <c r="I27" i="596"/>
  <c r="H27" i="596"/>
  <c r="I26" i="596"/>
  <c r="H26" i="596"/>
  <c r="I21" i="596"/>
  <c r="F10" i="596"/>
  <c r="C10" i="596"/>
  <c r="F9" i="596"/>
  <c r="C9" i="596"/>
  <c r="I41" i="595"/>
  <c r="H41" i="595"/>
  <c r="I40" i="595"/>
  <c r="H40" i="595"/>
  <c r="I39" i="595"/>
  <c r="H39" i="595"/>
  <c r="I38" i="595"/>
  <c r="H38" i="595"/>
  <c r="I37" i="595"/>
  <c r="H37" i="595"/>
  <c r="I36" i="595"/>
  <c r="H36" i="595"/>
  <c r="I35" i="595"/>
  <c r="H35" i="595"/>
  <c r="I34" i="595"/>
  <c r="H34" i="595"/>
  <c r="I33" i="595"/>
  <c r="H33" i="595"/>
  <c r="I32" i="595"/>
  <c r="H32" i="595"/>
  <c r="I31" i="595"/>
  <c r="H31" i="595"/>
  <c r="I30" i="595"/>
  <c r="H30" i="595"/>
  <c r="I29" i="595"/>
  <c r="H29" i="595"/>
  <c r="I28" i="595"/>
  <c r="H28" i="595"/>
  <c r="I27" i="595"/>
  <c r="H27" i="595"/>
  <c r="I26" i="595"/>
  <c r="I43" i="595" s="1"/>
  <c r="I48" i="595" s="1"/>
  <c r="H26" i="595"/>
  <c r="I21" i="595"/>
  <c r="F10" i="595"/>
  <c r="C10" i="595"/>
  <c r="F9" i="595"/>
  <c r="I41" i="594"/>
  <c r="H41" i="594"/>
  <c r="I40" i="594"/>
  <c r="H40" i="594"/>
  <c r="I39" i="594"/>
  <c r="H39" i="594"/>
  <c r="I38" i="594"/>
  <c r="H38" i="594"/>
  <c r="I37" i="594"/>
  <c r="H37" i="594"/>
  <c r="I36" i="594"/>
  <c r="H36" i="594"/>
  <c r="I35" i="594"/>
  <c r="H35" i="594"/>
  <c r="I34" i="594"/>
  <c r="H34" i="594"/>
  <c r="I33" i="594"/>
  <c r="H33" i="594"/>
  <c r="I32" i="594"/>
  <c r="H32" i="594"/>
  <c r="I31" i="594"/>
  <c r="H31" i="594"/>
  <c r="I30" i="594"/>
  <c r="H30" i="594"/>
  <c r="I29" i="594"/>
  <c r="H29" i="594"/>
  <c r="I28" i="594"/>
  <c r="H28" i="594"/>
  <c r="I27" i="594"/>
  <c r="H27" i="594"/>
  <c r="I26" i="594"/>
  <c r="I43" i="594" s="1"/>
  <c r="I48" i="594" s="1"/>
  <c r="H26" i="594"/>
  <c r="I21" i="594"/>
  <c r="F10" i="594"/>
  <c r="C10" i="594"/>
  <c r="F9" i="594"/>
  <c r="C9" i="594"/>
  <c r="I41" i="593"/>
  <c r="H41" i="593"/>
  <c r="I40" i="593"/>
  <c r="H40" i="593"/>
  <c r="I39" i="593"/>
  <c r="H39" i="593"/>
  <c r="I38" i="593"/>
  <c r="H38" i="593"/>
  <c r="I37" i="593"/>
  <c r="H37" i="593"/>
  <c r="I36" i="593"/>
  <c r="H36" i="593"/>
  <c r="I35" i="593"/>
  <c r="H35" i="593"/>
  <c r="I34" i="593"/>
  <c r="H34" i="593"/>
  <c r="I33" i="593"/>
  <c r="H33" i="593"/>
  <c r="I32" i="593"/>
  <c r="H32" i="593"/>
  <c r="I31" i="593"/>
  <c r="H31" i="593"/>
  <c r="I30" i="593"/>
  <c r="H30" i="593"/>
  <c r="I29" i="593"/>
  <c r="H29" i="593"/>
  <c r="I28" i="593"/>
  <c r="I43" i="593" s="1"/>
  <c r="I48" i="593" s="1"/>
  <c r="H28" i="593"/>
  <c r="I27" i="593"/>
  <c r="H27" i="593"/>
  <c r="I26" i="593"/>
  <c r="H26" i="593"/>
  <c r="I21" i="593"/>
  <c r="F10" i="593"/>
  <c r="C10" i="593"/>
  <c r="F9" i="593"/>
  <c r="C9" i="593"/>
  <c r="I41" i="592"/>
  <c r="H41" i="592"/>
  <c r="I40" i="592"/>
  <c r="H40" i="592"/>
  <c r="I39" i="592"/>
  <c r="H39" i="592"/>
  <c r="I38" i="592"/>
  <c r="H38" i="592"/>
  <c r="I37" i="592"/>
  <c r="H37" i="592"/>
  <c r="I36" i="592"/>
  <c r="H36" i="592"/>
  <c r="I35" i="592"/>
  <c r="H35" i="592"/>
  <c r="I34" i="592"/>
  <c r="H34" i="592"/>
  <c r="I33" i="592"/>
  <c r="H33" i="592"/>
  <c r="I32" i="592"/>
  <c r="H32" i="592"/>
  <c r="I31" i="592"/>
  <c r="H31" i="592"/>
  <c r="I30" i="592"/>
  <c r="H30" i="592"/>
  <c r="I29" i="592"/>
  <c r="H29" i="592"/>
  <c r="I28" i="592"/>
  <c r="H28" i="592"/>
  <c r="I27" i="592"/>
  <c r="H27" i="592"/>
  <c r="I26" i="592"/>
  <c r="I43" i="592" s="1"/>
  <c r="I48" i="592" s="1"/>
  <c r="H26" i="592"/>
  <c r="I21" i="592"/>
  <c r="F10" i="592"/>
  <c r="C10" i="592"/>
  <c r="F9" i="592"/>
  <c r="C9" i="592"/>
  <c r="I41" i="591"/>
  <c r="H41" i="591"/>
  <c r="I40" i="591"/>
  <c r="H40" i="591"/>
  <c r="I39" i="591"/>
  <c r="H39" i="591"/>
  <c r="I38" i="591"/>
  <c r="H38" i="591"/>
  <c r="I37" i="591"/>
  <c r="H37" i="591"/>
  <c r="I36" i="591"/>
  <c r="H36" i="591"/>
  <c r="I35" i="591"/>
  <c r="H35" i="591"/>
  <c r="I34" i="591"/>
  <c r="H34" i="591"/>
  <c r="I33" i="591"/>
  <c r="H33" i="591"/>
  <c r="I32" i="591"/>
  <c r="H32" i="591"/>
  <c r="I31" i="591"/>
  <c r="H31" i="591"/>
  <c r="I30" i="591"/>
  <c r="H30" i="591"/>
  <c r="I29" i="591"/>
  <c r="H29" i="591"/>
  <c r="I28" i="591"/>
  <c r="H28" i="591"/>
  <c r="I27" i="591"/>
  <c r="H27" i="591"/>
  <c r="I26" i="591"/>
  <c r="I43" i="591" s="1"/>
  <c r="I48" i="591" s="1"/>
  <c r="H26" i="591"/>
  <c r="I21" i="591"/>
  <c r="F10" i="591"/>
  <c r="C10" i="591"/>
  <c r="F9" i="591"/>
  <c r="C9" i="591"/>
  <c r="I41" i="590"/>
  <c r="H41" i="590"/>
  <c r="I40" i="590"/>
  <c r="H40" i="590"/>
  <c r="I39" i="590"/>
  <c r="H39" i="590"/>
  <c r="I38" i="590"/>
  <c r="H38" i="590"/>
  <c r="I37" i="590"/>
  <c r="H37" i="590"/>
  <c r="I36" i="590"/>
  <c r="H36" i="590"/>
  <c r="I35" i="590"/>
  <c r="H35" i="590"/>
  <c r="I34" i="590"/>
  <c r="H34" i="590"/>
  <c r="I33" i="590"/>
  <c r="H33" i="590"/>
  <c r="I32" i="590"/>
  <c r="H32" i="590"/>
  <c r="I31" i="590"/>
  <c r="H31" i="590"/>
  <c r="I30" i="590"/>
  <c r="H30" i="590"/>
  <c r="I29" i="590"/>
  <c r="H29" i="590"/>
  <c r="I28" i="590"/>
  <c r="H28" i="590"/>
  <c r="I27" i="590"/>
  <c r="I43" i="590" s="1"/>
  <c r="I48" i="590" s="1"/>
  <c r="H27" i="590"/>
  <c r="I26" i="590"/>
  <c r="H26" i="590"/>
  <c r="I21" i="590"/>
  <c r="F10" i="590"/>
  <c r="C10" i="590"/>
  <c r="F9" i="590"/>
  <c r="C9" i="590"/>
  <c r="I41" i="589"/>
  <c r="H41" i="589"/>
  <c r="I40" i="589"/>
  <c r="H40" i="589"/>
  <c r="I39" i="589"/>
  <c r="H39" i="589"/>
  <c r="I38" i="589"/>
  <c r="H38" i="589"/>
  <c r="I37" i="589"/>
  <c r="H37" i="589"/>
  <c r="I36" i="589"/>
  <c r="H36" i="589"/>
  <c r="I35" i="589"/>
  <c r="H35" i="589"/>
  <c r="I34" i="589"/>
  <c r="H34" i="589"/>
  <c r="I33" i="589"/>
  <c r="H33" i="589"/>
  <c r="I32" i="589"/>
  <c r="H32" i="589"/>
  <c r="I31" i="589"/>
  <c r="H31" i="589"/>
  <c r="I30" i="589"/>
  <c r="H30" i="589"/>
  <c r="I29" i="589"/>
  <c r="H29" i="589"/>
  <c r="I28" i="589"/>
  <c r="H28" i="589"/>
  <c r="I27" i="589"/>
  <c r="H27" i="589"/>
  <c r="I26" i="589"/>
  <c r="I43" i="589" s="1"/>
  <c r="I48" i="589" s="1"/>
  <c r="H26" i="589"/>
  <c r="I21" i="589"/>
  <c r="F10" i="589"/>
  <c r="C10" i="589"/>
  <c r="F9" i="589"/>
  <c r="I41" i="588"/>
  <c r="H41" i="588"/>
  <c r="I40" i="588"/>
  <c r="H40" i="588"/>
  <c r="I39" i="588"/>
  <c r="H39" i="588"/>
  <c r="I38" i="588"/>
  <c r="H38" i="588"/>
  <c r="I37" i="588"/>
  <c r="H37" i="588"/>
  <c r="I36" i="588"/>
  <c r="H36" i="588"/>
  <c r="I35" i="588"/>
  <c r="H35" i="588"/>
  <c r="I34" i="588"/>
  <c r="H34" i="588"/>
  <c r="I33" i="588"/>
  <c r="H33" i="588"/>
  <c r="I32" i="588"/>
  <c r="H32" i="588"/>
  <c r="I31" i="588"/>
  <c r="H31" i="588"/>
  <c r="I30" i="588"/>
  <c r="H30" i="588"/>
  <c r="I29" i="588"/>
  <c r="H29" i="588"/>
  <c r="I28" i="588"/>
  <c r="H28" i="588"/>
  <c r="I27" i="588"/>
  <c r="H27" i="588"/>
  <c r="I26" i="588"/>
  <c r="I43" i="588" s="1"/>
  <c r="I48" i="588" s="1"/>
  <c r="H26" i="588"/>
  <c r="I21" i="588"/>
  <c r="F10" i="588"/>
  <c r="C10" i="588"/>
  <c r="F9" i="588"/>
  <c r="I41" i="587"/>
  <c r="H41" i="587"/>
  <c r="I40" i="587"/>
  <c r="H40" i="587"/>
  <c r="I39" i="587"/>
  <c r="H39" i="587"/>
  <c r="I38" i="587"/>
  <c r="H38" i="587"/>
  <c r="I37" i="587"/>
  <c r="H37" i="587"/>
  <c r="I36" i="587"/>
  <c r="H36" i="587"/>
  <c r="I35" i="587"/>
  <c r="H35" i="587"/>
  <c r="I34" i="587"/>
  <c r="H34" i="587"/>
  <c r="I33" i="587"/>
  <c r="H33" i="587"/>
  <c r="I32" i="587"/>
  <c r="H32" i="587"/>
  <c r="I31" i="587"/>
  <c r="H31" i="587"/>
  <c r="I30" i="587"/>
  <c r="H30" i="587"/>
  <c r="I29" i="587"/>
  <c r="H29" i="587"/>
  <c r="I28" i="587"/>
  <c r="H28" i="587"/>
  <c r="I27" i="587"/>
  <c r="H27" i="587"/>
  <c r="I26" i="587"/>
  <c r="I43" i="587" s="1"/>
  <c r="I48" i="587" s="1"/>
  <c r="H26" i="587"/>
  <c r="I21" i="587"/>
  <c r="F10" i="587"/>
  <c r="C10" i="587"/>
  <c r="F9" i="587"/>
  <c r="C9" i="587"/>
  <c r="I41" i="586"/>
  <c r="H41" i="586"/>
  <c r="I40" i="586"/>
  <c r="H40" i="586"/>
  <c r="I39" i="586"/>
  <c r="H39" i="586"/>
  <c r="I38" i="586"/>
  <c r="H38" i="586"/>
  <c r="I37" i="586"/>
  <c r="H37" i="586"/>
  <c r="I36" i="586"/>
  <c r="H36" i="586"/>
  <c r="I35" i="586"/>
  <c r="H35" i="586"/>
  <c r="I34" i="586"/>
  <c r="H34" i="586"/>
  <c r="I33" i="586"/>
  <c r="H33" i="586"/>
  <c r="I32" i="586"/>
  <c r="H32" i="586"/>
  <c r="I31" i="586"/>
  <c r="H31" i="586"/>
  <c r="I30" i="586"/>
  <c r="H30" i="586"/>
  <c r="I29" i="586"/>
  <c r="H29" i="586"/>
  <c r="I28" i="586"/>
  <c r="H28" i="586"/>
  <c r="I27" i="586"/>
  <c r="H27" i="586"/>
  <c r="I26" i="586"/>
  <c r="I43" i="586" s="1"/>
  <c r="I48" i="586" s="1"/>
  <c r="H26" i="586"/>
  <c r="I21" i="586"/>
  <c r="F10" i="586"/>
  <c r="C10" i="586"/>
  <c r="F9" i="586"/>
  <c r="C9" i="586"/>
  <c r="I41" i="585"/>
  <c r="H41" i="585"/>
  <c r="I40" i="585"/>
  <c r="H40" i="585"/>
  <c r="I39" i="585"/>
  <c r="H39" i="585"/>
  <c r="I38" i="585"/>
  <c r="H38" i="585"/>
  <c r="I37" i="585"/>
  <c r="H37" i="585"/>
  <c r="I36" i="585"/>
  <c r="H36" i="585"/>
  <c r="I35" i="585"/>
  <c r="H35" i="585"/>
  <c r="I34" i="585"/>
  <c r="H34" i="585"/>
  <c r="I33" i="585"/>
  <c r="H33" i="585"/>
  <c r="I32" i="585"/>
  <c r="H32" i="585"/>
  <c r="I31" i="585"/>
  <c r="H31" i="585"/>
  <c r="I30" i="585"/>
  <c r="H30" i="585"/>
  <c r="I29" i="585"/>
  <c r="H29" i="585"/>
  <c r="I28" i="585"/>
  <c r="H28" i="585"/>
  <c r="H27" i="585"/>
  <c r="I27" i="585" s="1"/>
  <c r="I26" i="585"/>
  <c r="H26" i="585"/>
  <c r="I21" i="585"/>
  <c r="F10" i="585"/>
  <c r="C10" i="585"/>
  <c r="F9" i="585"/>
  <c r="C9" i="585"/>
  <c r="I41" i="584"/>
  <c r="H41" i="584"/>
  <c r="I40" i="584"/>
  <c r="H40" i="584"/>
  <c r="I39" i="584"/>
  <c r="H39" i="584"/>
  <c r="I38" i="584"/>
  <c r="H38" i="584"/>
  <c r="I37" i="584"/>
  <c r="H37" i="584"/>
  <c r="I36" i="584"/>
  <c r="H36" i="584"/>
  <c r="I35" i="584"/>
  <c r="H35" i="584"/>
  <c r="I34" i="584"/>
  <c r="H34" i="584"/>
  <c r="I33" i="584"/>
  <c r="H33" i="584"/>
  <c r="I32" i="584"/>
  <c r="H32" i="584"/>
  <c r="I31" i="584"/>
  <c r="H31" i="584"/>
  <c r="I30" i="584"/>
  <c r="H30" i="584"/>
  <c r="I29" i="584"/>
  <c r="H29" i="584"/>
  <c r="I28" i="584"/>
  <c r="H28" i="584"/>
  <c r="I27" i="584"/>
  <c r="H27" i="584"/>
  <c r="I26" i="584"/>
  <c r="I43" i="584" s="1"/>
  <c r="I48" i="584" s="1"/>
  <c r="H26" i="584"/>
  <c r="I21" i="584"/>
  <c r="F10" i="584"/>
  <c r="C10" i="584"/>
  <c r="F9" i="584"/>
  <c r="C9" i="584"/>
  <c r="I41" i="583"/>
  <c r="H41" i="583"/>
  <c r="I40" i="583"/>
  <c r="H40" i="583"/>
  <c r="I39" i="583"/>
  <c r="H39" i="583"/>
  <c r="I38" i="583"/>
  <c r="H38" i="583"/>
  <c r="I37" i="583"/>
  <c r="H37" i="583"/>
  <c r="I36" i="583"/>
  <c r="H36" i="583"/>
  <c r="I35" i="583"/>
  <c r="H35" i="583"/>
  <c r="I34" i="583"/>
  <c r="H34" i="583"/>
  <c r="I33" i="583"/>
  <c r="H33" i="583"/>
  <c r="I32" i="583"/>
  <c r="H32" i="583"/>
  <c r="I31" i="583"/>
  <c r="H31" i="583"/>
  <c r="I30" i="583"/>
  <c r="H30" i="583"/>
  <c r="I29" i="583"/>
  <c r="H29" i="583"/>
  <c r="I28" i="583"/>
  <c r="H28" i="583"/>
  <c r="I27" i="583"/>
  <c r="H27" i="583"/>
  <c r="I26" i="583"/>
  <c r="I43" i="583" s="1"/>
  <c r="I48" i="583" s="1"/>
  <c r="H26" i="583"/>
  <c r="I21" i="583"/>
  <c r="F10" i="583"/>
  <c r="C10" i="583"/>
  <c r="F9" i="583"/>
  <c r="C9" i="583"/>
  <c r="I41" i="582"/>
  <c r="H41" i="582"/>
  <c r="I40" i="582"/>
  <c r="H40" i="582"/>
  <c r="I39" i="582"/>
  <c r="H39" i="582"/>
  <c r="I38" i="582"/>
  <c r="H38" i="582"/>
  <c r="I37" i="582"/>
  <c r="H37" i="582"/>
  <c r="I36" i="582"/>
  <c r="H36" i="582"/>
  <c r="I35" i="582"/>
  <c r="H35" i="582"/>
  <c r="I34" i="582"/>
  <c r="H34" i="582"/>
  <c r="I33" i="582"/>
  <c r="H33" i="582"/>
  <c r="I32" i="582"/>
  <c r="H32" i="582"/>
  <c r="I31" i="582"/>
  <c r="H31" i="582"/>
  <c r="I30" i="582"/>
  <c r="H30" i="582"/>
  <c r="I29" i="582"/>
  <c r="H29" i="582"/>
  <c r="I28" i="582"/>
  <c r="H28" i="582"/>
  <c r="I27" i="582"/>
  <c r="H27" i="582"/>
  <c r="I26" i="582"/>
  <c r="I43" i="582" s="1"/>
  <c r="I48" i="582" s="1"/>
  <c r="H26" i="582"/>
  <c r="I21" i="582"/>
  <c r="F10" i="582"/>
  <c r="C10" i="582"/>
  <c r="F9" i="582"/>
  <c r="C9" i="582"/>
  <c r="I41" i="581"/>
  <c r="H41" i="581"/>
  <c r="I40" i="581"/>
  <c r="H40" i="581"/>
  <c r="I39" i="581"/>
  <c r="H39" i="581"/>
  <c r="I38" i="581"/>
  <c r="H38" i="581"/>
  <c r="I37" i="581"/>
  <c r="H37" i="581"/>
  <c r="I36" i="581"/>
  <c r="H36" i="581"/>
  <c r="I35" i="581"/>
  <c r="H35" i="581"/>
  <c r="I34" i="581"/>
  <c r="H34" i="581"/>
  <c r="I33" i="581"/>
  <c r="H33" i="581"/>
  <c r="I32" i="581"/>
  <c r="H32" i="581"/>
  <c r="I31" i="581"/>
  <c r="H31" i="581"/>
  <c r="I30" i="581"/>
  <c r="H30" i="581"/>
  <c r="I29" i="581"/>
  <c r="H29" i="581"/>
  <c r="I28" i="581"/>
  <c r="H28" i="581"/>
  <c r="I27" i="581"/>
  <c r="H27" i="581"/>
  <c r="I26" i="581"/>
  <c r="I43" i="581" s="1"/>
  <c r="I48" i="581" s="1"/>
  <c r="H26" i="581"/>
  <c r="I21" i="581"/>
  <c r="F10" i="581"/>
  <c r="C10" i="581"/>
  <c r="F9" i="581"/>
  <c r="C9" i="581"/>
  <c r="I41" i="580"/>
  <c r="H41" i="580"/>
  <c r="I40" i="580"/>
  <c r="H40" i="580"/>
  <c r="I39" i="580"/>
  <c r="H39" i="580"/>
  <c r="I38" i="580"/>
  <c r="H38" i="580"/>
  <c r="I37" i="580"/>
  <c r="H37" i="580"/>
  <c r="I36" i="580"/>
  <c r="H36" i="580"/>
  <c r="I35" i="580"/>
  <c r="H35" i="580"/>
  <c r="I34" i="580"/>
  <c r="H34" i="580"/>
  <c r="I33" i="580"/>
  <c r="H33" i="580"/>
  <c r="I32" i="580"/>
  <c r="H32" i="580"/>
  <c r="I31" i="580"/>
  <c r="H31" i="580"/>
  <c r="I30" i="580"/>
  <c r="H30" i="580"/>
  <c r="I29" i="580"/>
  <c r="H29" i="580"/>
  <c r="I28" i="580"/>
  <c r="H28" i="580"/>
  <c r="I27" i="580"/>
  <c r="H27" i="580"/>
  <c r="I26" i="580"/>
  <c r="I43" i="580" s="1"/>
  <c r="I48" i="580" s="1"/>
  <c r="H26" i="580"/>
  <c r="I21" i="580"/>
  <c r="F10" i="580"/>
  <c r="C10" i="580"/>
  <c r="F9" i="580"/>
  <c r="C9" i="580"/>
  <c r="I41" i="579"/>
  <c r="H41" i="579"/>
  <c r="I40" i="579"/>
  <c r="H40" i="579"/>
  <c r="I39" i="579"/>
  <c r="H39" i="579"/>
  <c r="I38" i="579"/>
  <c r="H38" i="579"/>
  <c r="I37" i="579"/>
  <c r="H37" i="579"/>
  <c r="I36" i="579"/>
  <c r="H36" i="579"/>
  <c r="I35" i="579"/>
  <c r="H35" i="579"/>
  <c r="I34" i="579"/>
  <c r="H34" i="579"/>
  <c r="I33" i="579"/>
  <c r="H33" i="579"/>
  <c r="I32" i="579"/>
  <c r="H32" i="579"/>
  <c r="I31" i="579"/>
  <c r="H31" i="579"/>
  <c r="I30" i="579"/>
  <c r="H30" i="579"/>
  <c r="I29" i="579"/>
  <c r="H29" i="579"/>
  <c r="I28" i="579"/>
  <c r="H28" i="579"/>
  <c r="I27" i="579"/>
  <c r="H27" i="579"/>
  <c r="I26" i="579"/>
  <c r="H26" i="579"/>
  <c r="I21" i="579"/>
  <c r="F10" i="579"/>
  <c r="C10" i="579"/>
  <c r="F9" i="579"/>
  <c r="C9" i="579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I21" i="4"/>
  <c r="C9" i="4"/>
  <c r="C10" i="4"/>
  <c r="I21" i="459"/>
  <c r="F213" i="2"/>
  <c r="G191" i="2"/>
  <c r="G190" i="2"/>
  <c r="G205" i="2"/>
  <c r="G204" i="2"/>
  <c r="G206" i="2"/>
  <c r="G207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208" i="2"/>
  <c r="G189" i="2"/>
  <c r="I43" i="585" l="1"/>
  <c r="I48" i="585" s="1"/>
  <c r="I43" i="596"/>
  <c r="I48" i="596" s="1"/>
  <c r="I43" i="579"/>
  <c r="I48" i="579" s="1"/>
  <c r="I21" i="566"/>
  <c r="C10" i="546" l="1"/>
  <c r="I28" i="528" l="1"/>
  <c r="H28" i="528"/>
  <c r="I27" i="528"/>
  <c r="H27" i="528"/>
  <c r="G188" i="2"/>
  <c r="G187" i="2"/>
  <c r="G186" i="2"/>
  <c r="G185" i="2"/>
  <c r="G184" i="2"/>
  <c r="G183" i="2"/>
  <c r="G176" i="2"/>
  <c r="G123" i="2"/>
  <c r="G170" i="2"/>
  <c r="I21" i="538"/>
  <c r="I21" i="539"/>
  <c r="I21" i="540"/>
  <c r="I21" i="541"/>
  <c r="I21" i="542"/>
  <c r="I21" i="543"/>
  <c r="I21" i="545"/>
  <c r="I21" i="546"/>
  <c r="I21" i="547"/>
  <c r="I21" i="548"/>
  <c r="I21" i="549"/>
  <c r="I21" i="550"/>
  <c r="I21" i="551"/>
  <c r="I21" i="552"/>
  <c r="I21" i="553"/>
  <c r="I21" i="554"/>
  <c r="I21" i="555"/>
  <c r="I21" i="557"/>
  <c r="I21" i="558"/>
  <c r="I21" i="559"/>
  <c r="I21" i="560"/>
  <c r="I21" i="561"/>
  <c r="I21" i="562"/>
  <c r="I21" i="563"/>
  <c r="I21" i="564"/>
  <c r="I21" i="565"/>
  <c r="I21" i="537"/>
  <c r="I21" i="536"/>
  <c r="I21" i="535"/>
  <c r="I21" i="534"/>
  <c r="I21" i="533"/>
  <c r="I21" i="532"/>
  <c r="I21" i="531"/>
  <c r="I21" i="530"/>
  <c r="I21" i="529"/>
  <c r="I21" i="528"/>
  <c r="I21" i="527"/>
  <c r="I21" i="526"/>
  <c r="I21" i="525"/>
  <c r="I21" i="524"/>
  <c r="I21" i="523"/>
  <c r="I21" i="522"/>
  <c r="I21" i="521"/>
  <c r="I21" i="520"/>
  <c r="I21" i="519"/>
  <c r="I21" i="518"/>
  <c r="I21" i="517"/>
  <c r="I21" i="516"/>
  <c r="I21" i="515"/>
  <c r="I21" i="514"/>
  <c r="I21" i="513"/>
  <c r="I21" i="512"/>
  <c r="I21" i="511"/>
  <c r="I21" i="510"/>
  <c r="I21" i="509"/>
  <c r="I21" i="508"/>
  <c r="I21" i="507"/>
  <c r="I21" i="506"/>
  <c r="I21" i="505"/>
  <c r="I21" i="504"/>
  <c r="I21" i="503"/>
  <c r="I21" i="502"/>
  <c r="I21" i="501"/>
  <c r="I21" i="500"/>
  <c r="I21" i="499"/>
  <c r="I21" i="498"/>
  <c r="I21" i="497"/>
  <c r="I21" i="496"/>
  <c r="I21" i="495"/>
  <c r="I21" i="494"/>
  <c r="I21" i="493"/>
  <c r="I21" i="492"/>
  <c r="I21" i="491"/>
  <c r="I21" i="490"/>
  <c r="I21" i="489"/>
  <c r="I21" i="488"/>
  <c r="I21" i="487"/>
  <c r="I21" i="486"/>
  <c r="I21" i="485"/>
  <c r="I21" i="484"/>
  <c r="I21" i="483"/>
  <c r="I21" i="482"/>
  <c r="I21" i="481"/>
  <c r="I21" i="480"/>
  <c r="I21" i="479"/>
  <c r="I21" i="478"/>
  <c r="I21" i="477"/>
  <c r="J21" i="476"/>
  <c r="I21" i="475"/>
  <c r="I21" i="474"/>
  <c r="I21" i="473"/>
  <c r="I21" i="472"/>
  <c r="I21" i="471"/>
  <c r="K21" i="470"/>
  <c r="I21" i="469"/>
  <c r="I21" i="468"/>
  <c r="G169" i="2"/>
  <c r="G136" i="2"/>
  <c r="G135" i="2"/>
  <c r="G122" i="2"/>
  <c r="G121" i="2"/>
  <c r="G120" i="2"/>
  <c r="G103" i="2"/>
  <c r="G102" i="2"/>
  <c r="G83" i="2"/>
  <c r="G82" i="2"/>
  <c r="G80" i="2"/>
  <c r="G79" i="2"/>
  <c r="G87" i="2" l="1"/>
  <c r="I41" i="567"/>
  <c r="H41" i="567"/>
  <c r="I40" i="567"/>
  <c r="H40" i="567"/>
  <c r="I39" i="567"/>
  <c r="H39" i="567"/>
  <c r="I38" i="567"/>
  <c r="H38" i="567"/>
  <c r="I37" i="567"/>
  <c r="H37" i="567"/>
  <c r="I36" i="567"/>
  <c r="H36" i="567"/>
  <c r="I35" i="567"/>
  <c r="H35" i="567"/>
  <c r="I34" i="567"/>
  <c r="H34" i="567"/>
  <c r="I33" i="567"/>
  <c r="H33" i="567"/>
  <c r="I32" i="567"/>
  <c r="H32" i="567"/>
  <c r="I31" i="567"/>
  <c r="H31" i="567"/>
  <c r="I30" i="567"/>
  <c r="H30" i="567"/>
  <c r="I29" i="567"/>
  <c r="H29" i="567"/>
  <c r="I28" i="567"/>
  <c r="H28" i="567"/>
  <c r="I27" i="567"/>
  <c r="H27" i="567"/>
  <c r="I26" i="567"/>
  <c r="H26" i="567"/>
  <c r="I21" i="567"/>
  <c r="F10" i="567"/>
  <c r="C10" i="567"/>
  <c r="F9" i="567"/>
  <c r="C9" i="567"/>
  <c r="I41" i="566"/>
  <c r="H41" i="566"/>
  <c r="I40" i="566"/>
  <c r="H40" i="566"/>
  <c r="I39" i="566"/>
  <c r="H39" i="566"/>
  <c r="I38" i="566"/>
  <c r="H38" i="566"/>
  <c r="I37" i="566"/>
  <c r="H37" i="566"/>
  <c r="I36" i="566"/>
  <c r="H36" i="566"/>
  <c r="I35" i="566"/>
  <c r="H35" i="566"/>
  <c r="I34" i="566"/>
  <c r="H34" i="566"/>
  <c r="I33" i="566"/>
  <c r="H33" i="566"/>
  <c r="I32" i="566"/>
  <c r="H32" i="566"/>
  <c r="I31" i="566"/>
  <c r="H31" i="566"/>
  <c r="I30" i="566"/>
  <c r="H30" i="566"/>
  <c r="I29" i="566"/>
  <c r="H29" i="566"/>
  <c r="I28" i="566"/>
  <c r="H28" i="566"/>
  <c r="I27" i="566"/>
  <c r="H27" i="566"/>
  <c r="I26" i="566"/>
  <c r="H26" i="566"/>
  <c r="F10" i="566"/>
  <c r="C10" i="566"/>
  <c r="F9" i="566"/>
  <c r="C9" i="566"/>
  <c r="I41" i="565"/>
  <c r="H41" i="565"/>
  <c r="I40" i="565"/>
  <c r="H40" i="565"/>
  <c r="I39" i="565"/>
  <c r="H39" i="565"/>
  <c r="I38" i="565"/>
  <c r="H38" i="565"/>
  <c r="I37" i="565"/>
  <c r="H37" i="565"/>
  <c r="I36" i="565"/>
  <c r="H36" i="565"/>
  <c r="I35" i="565"/>
  <c r="H35" i="565"/>
  <c r="I34" i="565"/>
  <c r="H34" i="565"/>
  <c r="I33" i="565"/>
  <c r="H33" i="565"/>
  <c r="I32" i="565"/>
  <c r="H32" i="565"/>
  <c r="I31" i="565"/>
  <c r="H31" i="565"/>
  <c r="I30" i="565"/>
  <c r="H30" i="565"/>
  <c r="I29" i="565"/>
  <c r="H29" i="565"/>
  <c r="I28" i="565"/>
  <c r="H28" i="565"/>
  <c r="I27" i="565"/>
  <c r="H27" i="565"/>
  <c r="I26" i="565"/>
  <c r="H26" i="565"/>
  <c r="F10" i="565"/>
  <c r="C10" i="565"/>
  <c r="F9" i="565"/>
  <c r="C9" i="565"/>
  <c r="I41" i="564"/>
  <c r="H41" i="564"/>
  <c r="I40" i="564"/>
  <c r="H40" i="564"/>
  <c r="I39" i="564"/>
  <c r="H39" i="564"/>
  <c r="I38" i="564"/>
  <c r="H38" i="564"/>
  <c r="I37" i="564"/>
  <c r="H37" i="564"/>
  <c r="I36" i="564"/>
  <c r="H36" i="564"/>
  <c r="I35" i="564"/>
  <c r="H35" i="564"/>
  <c r="I34" i="564"/>
  <c r="H34" i="564"/>
  <c r="I33" i="564"/>
  <c r="H33" i="564"/>
  <c r="I32" i="564"/>
  <c r="H32" i="564"/>
  <c r="I31" i="564"/>
  <c r="H31" i="564"/>
  <c r="I30" i="564"/>
  <c r="H30" i="564"/>
  <c r="I29" i="564"/>
  <c r="H29" i="564"/>
  <c r="I28" i="564"/>
  <c r="H28" i="564"/>
  <c r="I27" i="564"/>
  <c r="H27" i="564"/>
  <c r="I26" i="564"/>
  <c r="H26" i="564"/>
  <c r="F10" i="564"/>
  <c r="C10" i="564"/>
  <c r="F9" i="564"/>
  <c r="C9" i="564"/>
  <c r="I41" i="563"/>
  <c r="H41" i="563"/>
  <c r="I40" i="563"/>
  <c r="H40" i="563"/>
  <c r="I39" i="563"/>
  <c r="H39" i="563"/>
  <c r="I38" i="563"/>
  <c r="H38" i="563"/>
  <c r="I37" i="563"/>
  <c r="H37" i="563"/>
  <c r="I36" i="563"/>
  <c r="H36" i="563"/>
  <c r="I35" i="563"/>
  <c r="H35" i="563"/>
  <c r="I34" i="563"/>
  <c r="H34" i="563"/>
  <c r="I33" i="563"/>
  <c r="H33" i="563"/>
  <c r="I32" i="563"/>
  <c r="H32" i="563"/>
  <c r="I31" i="563"/>
  <c r="H31" i="563"/>
  <c r="I30" i="563"/>
  <c r="H30" i="563"/>
  <c r="I29" i="563"/>
  <c r="H29" i="563"/>
  <c r="I28" i="563"/>
  <c r="H28" i="563"/>
  <c r="I27" i="563"/>
  <c r="H27" i="563"/>
  <c r="I26" i="563"/>
  <c r="H26" i="563"/>
  <c r="F10" i="563"/>
  <c r="C10" i="563"/>
  <c r="F9" i="563"/>
  <c r="C9" i="563"/>
  <c r="I41" i="562"/>
  <c r="H41" i="562"/>
  <c r="I40" i="562"/>
  <c r="H40" i="562"/>
  <c r="I39" i="562"/>
  <c r="H39" i="562"/>
  <c r="I38" i="562"/>
  <c r="H38" i="562"/>
  <c r="I37" i="562"/>
  <c r="H37" i="562"/>
  <c r="I36" i="562"/>
  <c r="H36" i="562"/>
  <c r="I35" i="562"/>
  <c r="H35" i="562"/>
  <c r="I34" i="562"/>
  <c r="H34" i="562"/>
  <c r="I33" i="562"/>
  <c r="H33" i="562"/>
  <c r="I32" i="562"/>
  <c r="H32" i="562"/>
  <c r="I31" i="562"/>
  <c r="H31" i="562"/>
  <c r="I30" i="562"/>
  <c r="H30" i="562"/>
  <c r="I29" i="562"/>
  <c r="H29" i="562"/>
  <c r="I28" i="562"/>
  <c r="H28" i="562"/>
  <c r="I27" i="562"/>
  <c r="H27" i="562"/>
  <c r="I26" i="562"/>
  <c r="I43" i="562" s="1"/>
  <c r="I48" i="562" s="1"/>
  <c r="H26" i="562"/>
  <c r="F10" i="562"/>
  <c r="C10" i="562"/>
  <c r="F9" i="562"/>
  <c r="C9" i="562"/>
  <c r="I41" i="561"/>
  <c r="H41" i="561"/>
  <c r="I40" i="561"/>
  <c r="H40" i="561"/>
  <c r="I39" i="561"/>
  <c r="H39" i="561"/>
  <c r="I38" i="561"/>
  <c r="H38" i="561"/>
  <c r="I37" i="561"/>
  <c r="H37" i="561"/>
  <c r="I36" i="561"/>
  <c r="H36" i="561"/>
  <c r="I35" i="561"/>
  <c r="H35" i="561"/>
  <c r="I34" i="561"/>
  <c r="H34" i="561"/>
  <c r="I33" i="561"/>
  <c r="H33" i="561"/>
  <c r="I32" i="561"/>
  <c r="H32" i="561"/>
  <c r="I31" i="561"/>
  <c r="H31" i="561"/>
  <c r="I30" i="561"/>
  <c r="H30" i="561"/>
  <c r="I29" i="561"/>
  <c r="H29" i="561"/>
  <c r="I28" i="561"/>
  <c r="H28" i="561"/>
  <c r="I27" i="561"/>
  <c r="H27" i="561"/>
  <c r="I26" i="561"/>
  <c r="H26" i="561"/>
  <c r="F10" i="561"/>
  <c r="C10" i="561"/>
  <c r="F9" i="561"/>
  <c r="C9" i="561"/>
  <c r="I41" i="560"/>
  <c r="H41" i="560"/>
  <c r="I40" i="560"/>
  <c r="H40" i="560"/>
  <c r="I39" i="560"/>
  <c r="H39" i="560"/>
  <c r="I38" i="560"/>
  <c r="H38" i="560"/>
  <c r="I37" i="560"/>
  <c r="H37" i="560"/>
  <c r="I36" i="560"/>
  <c r="H36" i="560"/>
  <c r="I35" i="560"/>
  <c r="H35" i="560"/>
  <c r="I34" i="560"/>
  <c r="H34" i="560"/>
  <c r="I33" i="560"/>
  <c r="H33" i="560"/>
  <c r="I32" i="560"/>
  <c r="H32" i="560"/>
  <c r="I31" i="560"/>
  <c r="H31" i="560"/>
  <c r="I30" i="560"/>
  <c r="H30" i="560"/>
  <c r="I29" i="560"/>
  <c r="H29" i="560"/>
  <c r="I28" i="560"/>
  <c r="H28" i="560"/>
  <c r="I27" i="560"/>
  <c r="H27" i="560"/>
  <c r="I26" i="560"/>
  <c r="I43" i="560" s="1"/>
  <c r="I48" i="560" s="1"/>
  <c r="H26" i="560"/>
  <c r="F10" i="560"/>
  <c r="C10" i="560"/>
  <c r="F9" i="560"/>
  <c r="C9" i="560"/>
  <c r="I41" i="559"/>
  <c r="H41" i="559"/>
  <c r="I40" i="559"/>
  <c r="H40" i="559"/>
  <c r="I39" i="559"/>
  <c r="H39" i="559"/>
  <c r="I38" i="559"/>
  <c r="H38" i="559"/>
  <c r="I37" i="559"/>
  <c r="H37" i="559"/>
  <c r="I36" i="559"/>
  <c r="H36" i="559"/>
  <c r="I35" i="559"/>
  <c r="H35" i="559"/>
  <c r="I34" i="559"/>
  <c r="H34" i="559"/>
  <c r="I33" i="559"/>
  <c r="H33" i="559"/>
  <c r="I32" i="559"/>
  <c r="H32" i="559"/>
  <c r="I31" i="559"/>
  <c r="H31" i="559"/>
  <c r="I30" i="559"/>
  <c r="H30" i="559"/>
  <c r="I29" i="559"/>
  <c r="H29" i="559"/>
  <c r="I28" i="559"/>
  <c r="H28" i="559"/>
  <c r="I27" i="559"/>
  <c r="H27" i="559"/>
  <c r="I26" i="559"/>
  <c r="H26" i="559"/>
  <c r="F10" i="559"/>
  <c r="C10" i="559"/>
  <c r="F9" i="559"/>
  <c r="C9" i="559"/>
  <c r="I41" i="558"/>
  <c r="H41" i="558"/>
  <c r="I40" i="558"/>
  <c r="H40" i="558"/>
  <c r="I39" i="558"/>
  <c r="H39" i="558"/>
  <c r="I38" i="558"/>
  <c r="H38" i="558"/>
  <c r="I37" i="558"/>
  <c r="H37" i="558"/>
  <c r="I36" i="558"/>
  <c r="H36" i="558"/>
  <c r="I35" i="558"/>
  <c r="H35" i="558"/>
  <c r="I34" i="558"/>
  <c r="H34" i="558"/>
  <c r="I33" i="558"/>
  <c r="H33" i="558"/>
  <c r="I32" i="558"/>
  <c r="H32" i="558"/>
  <c r="I31" i="558"/>
  <c r="H31" i="558"/>
  <c r="I30" i="558"/>
  <c r="H30" i="558"/>
  <c r="I29" i="558"/>
  <c r="H29" i="558"/>
  <c r="I28" i="558"/>
  <c r="H28" i="558"/>
  <c r="I27" i="558"/>
  <c r="H27" i="558"/>
  <c r="I26" i="558"/>
  <c r="H26" i="558"/>
  <c r="F10" i="558"/>
  <c r="C10" i="558"/>
  <c r="F9" i="558"/>
  <c r="C9" i="558"/>
  <c r="I41" i="557"/>
  <c r="H41" i="557"/>
  <c r="I40" i="557"/>
  <c r="H40" i="557"/>
  <c r="I39" i="557"/>
  <c r="H39" i="557"/>
  <c r="I38" i="557"/>
  <c r="H38" i="557"/>
  <c r="I37" i="557"/>
  <c r="H37" i="557"/>
  <c r="I36" i="557"/>
  <c r="H36" i="557"/>
  <c r="I35" i="557"/>
  <c r="H35" i="557"/>
  <c r="I34" i="557"/>
  <c r="H34" i="557"/>
  <c r="I33" i="557"/>
  <c r="H33" i="557"/>
  <c r="I32" i="557"/>
  <c r="H32" i="557"/>
  <c r="I31" i="557"/>
  <c r="H31" i="557"/>
  <c r="I30" i="557"/>
  <c r="H30" i="557"/>
  <c r="I29" i="557"/>
  <c r="H29" i="557"/>
  <c r="I28" i="557"/>
  <c r="H28" i="557"/>
  <c r="I27" i="557"/>
  <c r="H27" i="557"/>
  <c r="I26" i="557"/>
  <c r="H26" i="557"/>
  <c r="F10" i="557"/>
  <c r="C10" i="557"/>
  <c r="F9" i="557"/>
  <c r="C9" i="557"/>
  <c r="G78" i="2"/>
  <c r="G161" i="2"/>
  <c r="G159" i="2"/>
  <c r="G160" i="2"/>
  <c r="G165" i="2"/>
  <c r="G178" i="2"/>
  <c r="G180" i="2"/>
  <c r="G177" i="2"/>
  <c r="G179" i="2"/>
  <c r="G175" i="2"/>
  <c r="G154" i="2"/>
  <c r="G155" i="2"/>
  <c r="G173" i="2"/>
  <c r="G124" i="2"/>
  <c r="G88" i="2"/>
  <c r="G85" i="2"/>
  <c r="G147" i="2"/>
  <c r="I43" i="563" l="1"/>
  <c r="I48" i="563" s="1"/>
  <c r="I43" i="557"/>
  <c r="I48" i="557" s="1"/>
  <c r="I43" i="566"/>
  <c r="I48" i="566" s="1"/>
  <c r="I43" i="567"/>
  <c r="I48" i="567" s="1"/>
  <c r="I43" i="559"/>
  <c r="I48" i="559" s="1"/>
  <c r="I43" i="558"/>
  <c r="I48" i="558" s="1"/>
  <c r="I43" i="561"/>
  <c r="I48" i="561" s="1"/>
  <c r="I43" i="564"/>
  <c r="I48" i="564" s="1"/>
  <c r="I43" i="565"/>
  <c r="I48" i="565" s="1"/>
  <c r="I47" i="463" l="1"/>
  <c r="J48" i="482"/>
  <c r="J43" i="482"/>
  <c r="J41" i="482"/>
  <c r="I41" i="482"/>
  <c r="J40" i="482"/>
  <c r="I40" i="482"/>
  <c r="J39" i="482"/>
  <c r="I39" i="482"/>
  <c r="J38" i="482"/>
  <c r="I38" i="482"/>
  <c r="J37" i="482"/>
  <c r="I37" i="482"/>
  <c r="J36" i="482"/>
  <c r="I36" i="482"/>
  <c r="J35" i="482"/>
  <c r="I35" i="482"/>
  <c r="J34" i="482"/>
  <c r="I34" i="482"/>
  <c r="J33" i="482"/>
  <c r="I33" i="482"/>
  <c r="J32" i="482"/>
  <c r="I32" i="482"/>
  <c r="J31" i="482"/>
  <c r="I31" i="482"/>
  <c r="J30" i="482"/>
  <c r="I30" i="482"/>
  <c r="J29" i="482"/>
  <c r="I29" i="482"/>
  <c r="J28" i="482"/>
  <c r="I28" i="482"/>
  <c r="J27" i="482"/>
  <c r="I27" i="482"/>
  <c r="J26" i="482"/>
  <c r="I26" i="482"/>
  <c r="J41" i="481"/>
  <c r="I41" i="481"/>
  <c r="J40" i="481"/>
  <c r="I40" i="481"/>
  <c r="J39" i="481"/>
  <c r="I39" i="481"/>
  <c r="J38" i="481"/>
  <c r="I38" i="481"/>
  <c r="J37" i="481"/>
  <c r="I37" i="481"/>
  <c r="J36" i="481"/>
  <c r="I36" i="481"/>
  <c r="J35" i="481"/>
  <c r="I35" i="481"/>
  <c r="J34" i="481"/>
  <c r="I34" i="481"/>
  <c r="J33" i="481"/>
  <c r="I33" i="481"/>
  <c r="J32" i="481"/>
  <c r="I32" i="481"/>
  <c r="J31" i="481"/>
  <c r="J43" i="481" s="1"/>
  <c r="I31" i="481"/>
  <c r="J30" i="481"/>
  <c r="I30" i="481"/>
  <c r="J29" i="481"/>
  <c r="I29" i="481"/>
  <c r="J28" i="481"/>
  <c r="I28" i="481"/>
  <c r="J27" i="481"/>
  <c r="I27" i="481"/>
  <c r="J26" i="481"/>
  <c r="I26" i="481"/>
  <c r="I27" i="478"/>
  <c r="J47" i="467"/>
  <c r="J41" i="467"/>
  <c r="J40" i="467"/>
  <c r="J39" i="467"/>
  <c r="J38" i="467"/>
  <c r="J37" i="467"/>
  <c r="J36" i="467"/>
  <c r="J35" i="467"/>
  <c r="J34" i="467"/>
  <c r="J33" i="467"/>
  <c r="J32" i="467"/>
  <c r="J31" i="467"/>
  <c r="J30" i="467"/>
  <c r="J29" i="467"/>
  <c r="J28" i="467"/>
  <c r="J27" i="467"/>
  <c r="J26" i="467"/>
  <c r="J47" i="476"/>
  <c r="J41" i="476"/>
  <c r="J40" i="476"/>
  <c r="J39" i="476"/>
  <c r="J38" i="476"/>
  <c r="J37" i="476"/>
  <c r="J36" i="476"/>
  <c r="J35" i="476"/>
  <c r="J34" i="476"/>
  <c r="J33" i="476"/>
  <c r="J32" i="476"/>
  <c r="J31" i="476"/>
  <c r="J30" i="476"/>
  <c r="J29" i="476"/>
  <c r="J28" i="476"/>
  <c r="J27" i="476"/>
  <c r="J26" i="476"/>
  <c r="K51" i="470"/>
  <c r="K44" i="470"/>
  <c r="K43" i="470"/>
  <c r="K42" i="470"/>
  <c r="K41" i="470"/>
  <c r="K40" i="470"/>
  <c r="K39" i="470"/>
  <c r="K38" i="470"/>
  <c r="K37" i="470"/>
  <c r="K36" i="470"/>
  <c r="K35" i="470"/>
  <c r="K34" i="470"/>
  <c r="K33" i="470"/>
  <c r="K32" i="470"/>
  <c r="K31" i="470"/>
  <c r="K30" i="470"/>
  <c r="K29" i="470"/>
  <c r="K28" i="470"/>
  <c r="K27" i="470"/>
  <c r="K26" i="470"/>
  <c r="K45" i="470"/>
  <c r="J44" i="470"/>
  <c r="J43" i="470"/>
  <c r="J40" i="470"/>
  <c r="J21" i="467" l="1"/>
  <c r="I21" i="466"/>
  <c r="I21" i="465"/>
  <c r="I21" i="464"/>
  <c r="I21" i="463"/>
  <c r="I21" i="462"/>
  <c r="I21" i="461"/>
  <c r="J21" i="460"/>
  <c r="J21" i="458"/>
  <c r="G13" i="2"/>
  <c r="G11" i="2"/>
  <c r="G12" i="2"/>
  <c r="I47" i="459"/>
  <c r="G15" i="2"/>
  <c r="I28" i="461"/>
  <c r="I27" i="461" l="1"/>
  <c r="H27" i="461"/>
  <c r="G81" i="2"/>
  <c r="G146" i="2"/>
  <c r="G168" i="2"/>
  <c r="G76" i="2"/>
  <c r="G163" i="2"/>
  <c r="G162" i="2"/>
  <c r="G148" i="2"/>
  <c r="G158" i="2"/>
  <c r="G157" i="2"/>
  <c r="G156" i="2"/>
  <c r="G164" i="2"/>
  <c r="G60" i="2"/>
  <c r="G77" i="2"/>
  <c r="G75" i="2"/>
  <c r="G34" i="2"/>
  <c r="G28" i="2"/>
  <c r="G33" i="2"/>
  <c r="I35" i="465"/>
  <c r="H35" i="465"/>
  <c r="I34" i="465"/>
  <c r="H34" i="465"/>
  <c r="I33" i="465"/>
  <c r="H33" i="465"/>
  <c r="I32" i="465"/>
  <c r="H32" i="465"/>
  <c r="I31" i="465"/>
  <c r="H31" i="465"/>
  <c r="I30" i="465"/>
  <c r="H30" i="465"/>
  <c r="I29" i="465"/>
  <c r="H29" i="465"/>
  <c r="I28" i="465"/>
  <c r="H28" i="465"/>
  <c r="I27" i="465"/>
  <c r="H27" i="465"/>
  <c r="I26" i="465"/>
  <c r="H26" i="465"/>
  <c r="I41" i="555"/>
  <c r="H41" i="555"/>
  <c r="I40" i="555"/>
  <c r="H40" i="555"/>
  <c r="I39" i="555"/>
  <c r="H39" i="555"/>
  <c r="I38" i="555"/>
  <c r="H38" i="555"/>
  <c r="I37" i="555"/>
  <c r="H37" i="555"/>
  <c r="I36" i="555"/>
  <c r="H36" i="555"/>
  <c r="I35" i="555"/>
  <c r="H35" i="555"/>
  <c r="I34" i="555"/>
  <c r="H34" i="555"/>
  <c r="I33" i="555"/>
  <c r="H33" i="555"/>
  <c r="I32" i="555"/>
  <c r="H32" i="555"/>
  <c r="I31" i="555"/>
  <c r="H31" i="555"/>
  <c r="I30" i="555"/>
  <c r="H30" i="555"/>
  <c r="I29" i="555"/>
  <c r="H29" i="555"/>
  <c r="I28" i="555"/>
  <c r="H28" i="555"/>
  <c r="H27" i="555"/>
  <c r="I27" i="555" s="1"/>
  <c r="I26" i="555"/>
  <c r="H26" i="555"/>
  <c r="F10" i="555"/>
  <c r="C10" i="555"/>
  <c r="F9" i="555"/>
  <c r="C9" i="555"/>
  <c r="I41" i="554"/>
  <c r="H41" i="554"/>
  <c r="I40" i="554"/>
  <c r="H40" i="554"/>
  <c r="I39" i="554"/>
  <c r="H39" i="554"/>
  <c r="I38" i="554"/>
  <c r="H38" i="554"/>
  <c r="I37" i="554"/>
  <c r="H37" i="554"/>
  <c r="I36" i="554"/>
  <c r="H36" i="554"/>
  <c r="I35" i="554"/>
  <c r="H35" i="554"/>
  <c r="I34" i="554"/>
  <c r="H34" i="554"/>
  <c r="I33" i="554"/>
  <c r="H33" i="554"/>
  <c r="I32" i="554"/>
  <c r="H32" i="554"/>
  <c r="I31" i="554"/>
  <c r="H31" i="554"/>
  <c r="I30" i="554"/>
  <c r="H30" i="554"/>
  <c r="I29" i="554"/>
  <c r="H29" i="554"/>
  <c r="I28" i="554"/>
  <c r="H28" i="554"/>
  <c r="I27" i="554"/>
  <c r="H27" i="554"/>
  <c r="I26" i="554"/>
  <c r="H26" i="554"/>
  <c r="F10" i="554"/>
  <c r="C10" i="554"/>
  <c r="F9" i="554"/>
  <c r="C9" i="554"/>
  <c r="I41" i="553"/>
  <c r="H41" i="553"/>
  <c r="I40" i="553"/>
  <c r="H40" i="553"/>
  <c r="I39" i="553"/>
  <c r="H39" i="553"/>
  <c r="I38" i="553"/>
  <c r="H38" i="553"/>
  <c r="I37" i="553"/>
  <c r="H37" i="553"/>
  <c r="I36" i="553"/>
  <c r="H36" i="553"/>
  <c r="I35" i="553"/>
  <c r="H35" i="553"/>
  <c r="I34" i="553"/>
  <c r="H34" i="553"/>
  <c r="I33" i="553"/>
  <c r="H33" i="553"/>
  <c r="I32" i="553"/>
  <c r="H32" i="553"/>
  <c r="I31" i="553"/>
  <c r="H31" i="553"/>
  <c r="I30" i="553"/>
  <c r="H30" i="553"/>
  <c r="I29" i="553"/>
  <c r="H29" i="553"/>
  <c r="I28" i="553"/>
  <c r="H28" i="553"/>
  <c r="I27" i="553"/>
  <c r="H27" i="553"/>
  <c r="I26" i="553"/>
  <c r="H26" i="553"/>
  <c r="F10" i="553"/>
  <c r="C10" i="553"/>
  <c r="F9" i="553"/>
  <c r="C9" i="553"/>
  <c r="I41" i="552"/>
  <c r="H41" i="552"/>
  <c r="I40" i="552"/>
  <c r="H40" i="552"/>
  <c r="I39" i="552"/>
  <c r="H39" i="552"/>
  <c r="I38" i="552"/>
  <c r="H38" i="552"/>
  <c r="I37" i="552"/>
  <c r="H37" i="552"/>
  <c r="I36" i="552"/>
  <c r="H36" i="552"/>
  <c r="I35" i="552"/>
  <c r="H35" i="552"/>
  <c r="I34" i="552"/>
  <c r="H34" i="552"/>
  <c r="I33" i="552"/>
  <c r="H33" i="552"/>
  <c r="I32" i="552"/>
  <c r="H32" i="552"/>
  <c r="I31" i="552"/>
  <c r="H31" i="552"/>
  <c r="I30" i="552"/>
  <c r="H30" i="552"/>
  <c r="I29" i="552"/>
  <c r="H29" i="552"/>
  <c r="I28" i="552"/>
  <c r="H28" i="552"/>
  <c r="I27" i="552"/>
  <c r="H27" i="552"/>
  <c r="I26" i="552"/>
  <c r="H26" i="552"/>
  <c r="F10" i="552"/>
  <c r="C10" i="552"/>
  <c r="F9" i="552"/>
  <c r="C9" i="552"/>
  <c r="I41" i="551"/>
  <c r="H41" i="551"/>
  <c r="I40" i="551"/>
  <c r="H40" i="551"/>
  <c r="I39" i="551"/>
  <c r="H39" i="551"/>
  <c r="I38" i="551"/>
  <c r="H38" i="551"/>
  <c r="I37" i="551"/>
  <c r="H37" i="551"/>
  <c r="I36" i="551"/>
  <c r="H36" i="551"/>
  <c r="I35" i="551"/>
  <c r="H35" i="551"/>
  <c r="I34" i="551"/>
  <c r="H34" i="551"/>
  <c r="I33" i="551"/>
  <c r="H33" i="551"/>
  <c r="I32" i="551"/>
  <c r="H32" i="551"/>
  <c r="I31" i="551"/>
  <c r="H31" i="551"/>
  <c r="I30" i="551"/>
  <c r="H30" i="551"/>
  <c r="I29" i="551"/>
  <c r="H29" i="551"/>
  <c r="I28" i="551"/>
  <c r="H28" i="551"/>
  <c r="I27" i="551"/>
  <c r="H27" i="551"/>
  <c r="I26" i="551"/>
  <c r="H26" i="551"/>
  <c r="F10" i="551"/>
  <c r="C10" i="551"/>
  <c r="F9" i="551"/>
  <c r="C9" i="551"/>
  <c r="I41" i="550"/>
  <c r="H41" i="550"/>
  <c r="I40" i="550"/>
  <c r="H40" i="550"/>
  <c r="I39" i="550"/>
  <c r="H39" i="550"/>
  <c r="I38" i="550"/>
  <c r="H38" i="550"/>
  <c r="I37" i="550"/>
  <c r="H37" i="550"/>
  <c r="I36" i="550"/>
  <c r="H36" i="550"/>
  <c r="I35" i="550"/>
  <c r="H35" i="550"/>
  <c r="I34" i="550"/>
  <c r="H34" i="550"/>
  <c r="I33" i="550"/>
  <c r="H33" i="550"/>
  <c r="I32" i="550"/>
  <c r="H32" i="550"/>
  <c r="I31" i="550"/>
  <c r="H31" i="550"/>
  <c r="I30" i="550"/>
  <c r="H30" i="550"/>
  <c r="I29" i="550"/>
  <c r="H29" i="550"/>
  <c r="I28" i="550"/>
  <c r="H28" i="550"/>
  <c r="I27" i="550"/>
  <c r="H27" i="550"/>
  <c r="I26" i="550"/>
  <c r="H26" i="550"/>
  <c r="F10" i="550"/>
  <c r="C10" i="550"/>
  <c r="F9" i="550"/>
  <c r="C9" i="550"/>
  <c r="I41" i="549"/>
  <c r="H41" i="549"/>
  <c r="I40" i="549"/>
  <c r="H40" i="549"/>
  <c r="I39" i="549"/>
  <c r="H39" i="549"/>
  <c r="I38" i="549"/>
  <c r="H38" i="549"/>
  <c r="I37" i="549"/>
  <c r="H37" i="549"/>
  <c r="I36" i="549"/>
  <c r="H36" i="549"/>
  <c r="I35" i="549"/>
  <c r="H35" i="549"/>
  <c r="I34" i="549"/>
  <c r="H34" i="549"/>
  <c r="I33" i="549"/>
  <c r="H33" i="549"/>
  <c r="I32" i="549"/>
  <c r="H32" i="549"/>
  <c r="I31" i="549"/>
  <c r="H31" i="549"/>
  <c r="I30" i="549"/>
  <c r="H30" i="549"/>
  <c r="I29" i="549"/>
  <c r="H29" i="549"/>
  <c r="I28" i="549"/>
  <c r="H28" i="549"/>
  <c r="I27" i="549"/>
  <c r="H27" i="549"/>
  <c r="I26" i="549"/>
  <c r="H26" i="549"/>
  <c r="F10" i="549"/>
  <c r="C10" i="549"/>
  <c r="F9" i="549"/>
  <c r="C9" i="549"/>
  <c r="I41" i="548"/>
  <c r="H41" i="548"/>
  <c r="I40" i="548"/>
  <c r="H40" i="548"/>
  <c r="I39" i="548"/>
  <c r="H39" i="548"/>
  <c r="I38" i="548"/>
  <c r="H38" i="548"/>
  <c r="I37" i="548"/>
  <c r="H37" i="548"/>
  <c r="I36" i="548"/>
  <c r="H36" i="548"/>
  <c r="I35" i="548"/>
  <c r="H35" i="548"/>
  <c r="I34" i="548"/>
  <c r="H34" i="548"/>
  <c r="I33" i="548"/>
  <c r="H33" i="548"/>
  <c r="I32" i="548"/>
  <c r="H32" i="548"/>
  <c r="I31" i="548"/>
  <c r="H31" i="548"/>
  <c r="I30" i="548"/>
  <c r="H30" i="548"/>
  <c r="I29" i="548"/>
  <c r="H29" i="548"/>
  <c r="I28" i="548"/>
  <c r="H28" i="548"/>
  <c r="I27" i="548"/>
  <c r="H27" i="548"/>
  <c r="I26" i="548"/>
  <c r="H26" i="548"/>
  <c r="F10" i="548"/>
  <c r="C10" i="548"/>
  <c r="F9" i="548"/>
  <c r="C9" i="548"/>
  <c r="I41" i="547"/>
  <c r="H41" i="547"/>
  <c r="I40" i="547"/>
  <c r="H40" i="547"/>
  <c r="I39" i="547"/>
  <c r="H39" i="547"/>
  <c r="I38" i="547"/>
  <c r="H38" i="547"/>
  <c r="I37" i="547"/>
  <c r="H37" i="547"/>
  <c r="I36" i="547"/>
  <c r="H36" i="547"/>
  <c r="I35" i="547"/>
  <c r="H35" i="547"/>
  <c r="I34" i="547"/>
  <c r="H34" i="547"/>
  <c r="I33" i="547"/>
  <c r="H33" i="547"/>
  <c r="I32" i="547"/>
  <c r="H32" i="547"/>
  <c r="I31" i="547"/>
  <c r="H31" i="547"/>
  <c r="I30" i="547"/>
  <c r="H30" i="547"/>
  <c r="I29" i="547"/>
  <c r="H29" i="547"/>
  <c r="I28" i="547"/>
  <c r="H28" i="547"/>
  <c r="I27" i="547"/>
  <c r="H27" i="547"/>
  <c r="I26" i="547"/>
  <c r="H26" i="547"/>
  <c r="F10" i="547"/>
  <c r="C10" i="547"/>
  <c r="F9" i="547"/>
  <c r="C9" i="547"/>
  <c r="I41" i="546"/>
  <c r="H41" i="546"/>
  <c r="I40" i="546"/>
  <c r="H40" i="546"/>
  <c r="I39" i="546"/>
  <c r="H39" i="546"/>
  <c r="I38" i="546"/>
  <c r="H38" i="546"/>
  <c r="I37" i="546"/>
  <c r="H37" i="546"/>
  <c r="I36" i="546"/>
  <c r="H36" i="546"/>
  <c r="I35" i="546"/>
  <c r="H35" i="546"/>
  <c r="I34" i="546"/>
  <c r="H34" i="546"/>
  <c r="I33" i="546"/>
  <c r="H33" i="546"/>
  <c r="I32" i="546"/>
  <c r="H32" i="546"/>
  <c r="I31" i="546"/>
  <c r="H31" i="546"/>
  <c r="I30" i="546"/>
  <c r="H30" i="546"/>
  <c r="I29" i="546"/>
  <c r="H29" i="546"/>
  <c r="I28" i="546"/>
  <c r="H28" i="546"/>
  <c r="I27" i="546"/>
  <c r="H27" i="546"/>
  <c r="I26" i="546"/>
  <c r="H26" i="546"/>
  <c r="F10" i="546"/>
  <c r="F9" i="546"/>
  <c r="C9" i="546"/>
  <c r="I41" i="545"/>
  <c r="H41" i="545"/>
  <c r="I40" i="545"/>
  <c r="H40" i="545"/>
  <c r="I39" i="545"/>
  <c r="H39" i="545"/>
  <c r="I38" i="545"/>
  <c r="H38" i="545"/>
  <c r="I37" i="545"/>
  <c r="H37" i="545"/>
  <c r="I36" i="545"/>
  <c r="H36" i="545"/>
  <c r="I35" i="545"/>
  <c r="H35" i="545"/>
  <c r="I34" i="545"/>
  <c r="H34" i="545"/>
  <c r="I33" i="545"/>
  <c r="H33" i="545"/>
  <c r="I32" i="545"/>
  <c r="H32" i="545"/>
  <c r="I31" i="545"/>
  <c r="H31" i="545"/>
  <c r="I30" i="545"/>
  <c r="H30" i="545"/>
  <c r="I29" i="545"/>
  <c r="H29" i="545"/>
  <c r="I28" i="545"/>
  <c r="H28" i="545"/>
  <c r="I27" i="545"/>
  <c r="H27" i="545"/>
  <c r="I26" i="545"/>
  <c r="H26" i="545"/>
  <c r="F10" i="545"/>
  <c r="C10" i="545"/>
  <c r="F9" i="545"/>
  <c r="C9" i="545"/>
  <c r="I41" i="544"/>
  <c r="H41" i="544"/>
  <c r="I40" i="544"/>
  <c r="H40" i="544"/>
  <c r="I39" i="544"/>
  <c r="H39" i="544"/>
  <c r="I38" i="544"/>
  <c r="H38" i="544"/>
  <c r="I37" i="544"/>
  <c r="H37" i="544"/>
  <c r="I36" i="544"/>
  <c r="H36" i="544"/>
  <c r="I35" i="544"/>
  <c r="H35" i="544"/>
  <c r="I34" i="544"/>
  <c r="H34" i="544"/>
  <c r="I33" i="544"/>
  <c r="H33" i="544"/>
  <c r="I32" i="544"/>
  <c r="H32" i="544"/>
  <c r="I31" i="544"/>
  <c r="H31" i="544"/>
  <c r="I30" i="544"/>
  <c r="H30" i="544"/>
  <c r="I29" i="544"/>
  <c r="H29" i="544"/>
  <c r="I28" i="544"/>
  <c r="H28" i="544"/>
  <c r="H27" i="544"/>
  <c r="I26" i="544"/>
  <c r="H26" i="544"/>
  <c r="F10" i="544"/>
  <c r="C10" i="544"/>
  <c r="F9" i="544"/>
  <c r="I41" i="543"/>
  <c r="H41" i="543"/>
  <c r="I40" i="543"/>
  <c r="H40" i="543"/>
  <c r="I39" i="543"/>
  <c r="H39" i="543"/>
  <c r="I38" i="543"/>
  <c r="H38" i="543"/>
  <c r="I37" i="543"/>
  <c r="H37" i="543"/>
  <c r="I36" i="543"/>
  <c r="H36" i="543"/>
  <c r="I35" i="543"/>
  <c r="H35" i="543"/>
  <c r="I34" i="543"/>
  <c r="H34" i="543"/>
  <c r="I33" i="543"/>
  <c r="H33" i="543"/>
  <c r="I32" i="543"/>
  <c r="H32" i="543"/>
  <c r="I31" i="543"/>
  <c r="H31" i="543"/>
  <c r="I30" i="543"/>
  <c r="H30" i="543"/>
  <c r="I29" i="543"/>
  <c r="H29" i="543"/>
  <c r="I28" i="543"/>
  <c r="H28" i="543"/>
  <c r="I27" i="543"/>
  <c r="H27" i="543"/>
  <c r="I26" i="543"/>
  <c r="H26" i="543"/>
  <c r="F10" i="543"/>
  <c r="C10" i="543"/>
  <c r="F9" i="543"/>
  <c r="C9" i="543"/>
  <c r="I41" i="542"/>
  <c r="H41" i="542"/>
  <c r="I40" i="542"/>
  <c r="H40" i="542"/>
  <c r="I39" i="542"/>
  <c r="H39" i="542"/>
  <c r="I38" i="542"/>
  <c r="H38" i="542"/>
  <c r="I37" i="542"/>
  <c r="H37" i="542"/>
  <c r="I36" i="542"/>
  <c r="H36" i="542"/>
  <c r="I35" i="542"/>
  <c r="H35" i="542"/>
  <c r="I34" i="542"/>
  <c r="H34" i="542"/>
  <c r="I33" i="542"/>
  <c r="H33" i="542"/>
  <c r="I32" i="542"/>
  <c r="H32" i="542"/>
  <c r="I31" i="542"/>
  <c r="H31" i="542"/>
  <c r="I30" i="542"/>
  <c r="H30" i="542"/>
  <c r="I29" i="542"/>
  <c r="H29" i="542"/>
  <c r="I28" i="542"/>
  <c r="H28" i="542"/>
  <c r="I27" i="542"/>
  <c r="H27" i="542"/>
  <c r="I26" i="542"/>
  <c r="H26" i="542"/>
  <c r="F10" i="542"/>
  <c r="C10" i="542"/>
  <c r="F9" i="542"/>
  <c r="C9" i="542"/>
  <c r="I41" i="541"/>
  <c r="H41" i="541"/>
  <c r="I40" i="541"/>
  <c r="H40" i="541"/>
  <c r="I39" i="541"/>
  <c r="H39" i="541"/>
  <c r="I38" i="541"/>
  <c r="H38" i="541"/>
  <c r="I37" i="541"/>
  <c r="H37" i="541"/>
  <c r="I36" i="541"/>
  <c r="H36" i="541"/>
  <c r="I35" i="541"/>
  <c r="H35" i="541"/>
  <c r="I34" i="541"/>
  <c r="H34" i="541"/>
  <c r="I33" i="541"/>
  <c r="H33" i="541"/>
  <c r="I32" i="541"/>
  <c r="H32" i="541"/>
  <c r="I31" i="541"/>
  <c r="H31" i="541"/>
  <c r="I30" i="541"/>
  <c r="H30" i="541"/>
  <c r="I29" i="541"/>
  <c r="H29" i="541"/>
  <c r="I28" i="541"/>
  <c r="H28" i="541"/>
  <c r="I27" i="541"/>
  <c r="H27" i="541"/>
  <c r="I26" i="541"/>
  <c r="H26" i="541"/>
  <c r="F10" i="541"/>
  <c r="C10" i="541"/>
  <c r="F9" i="541"/>
  <c r="C9" i="541"/>
  <c r="I41" i="540"/>
  <c r="H41" i="540"/>
  <c r="I40" i="540"/>
  <c r="H40" i="540"/>
  <c r="I39" i="540"/>
  <c r="H39" i="540"/>
  <c r="I38" i="540"/>
  <c r="H38" i="540"/>
  <c r="I37" i="540"/>
  <c r="H37" i="540"/>
  <c r="I36" i="540"/>
  <c r="H36" i="540"/>
  <c r="I35" i="540"/>
  <c r="H35" i="540"/>
  <c r="I34" i="540"/>
  <c r="H34" i="540"/>
  <c r="I33" i="540"/>
  <c r="H33" i="540"/>
  <c r="I32" i="540"/>
  <c r="H32" i="540"/>
  <c r="I31" i="540"/>
  <c r="H31" i="540"/>
  <c r="I30" i="540"/>
  <c r="H30" i="540"/>
  <c r="I29" i="540"/>
  <c r="H29" i="540"/>
  <c r="I28" i="540"/>
  <c r="H28" i="540"/>
  <c r="I27" i="540"/>
  <c r="H27" i="540"/>
  <c r="I26" i="540"/>
  <c r="H26" i="540"/>
  <c r="F10" i="540"/>
  <c r="C10" i="540"/>
  <c r="F9" i="540"/>
  <c r="C9" i="540"/>
  <c r="I41" i="539"/>
  <c r="H41" i="539"/>
  <c r="I40" i="539"/>
  <c r="H40" i="539"/>
  <c r="I39" i="539"/>
  <c r="H39" i="539"/>
  <c r="I38" i="539"/>
  <c r="H38" i="539"/>
  <c r="I37" i="539"/>
  <c r="H37" i="539"/>
  <c r="I36" i="539"/>
  <c r="H36" i="539"/>
  <c r="I35" i="539"/>
  <c r="H35" i="539"/>
  <c r="I34" i="539"/>
  <c r="H34" i="539"/>
  <c r="I33" i="539"/>
  <c r="H33" i="539"/>
  <c r="I32" i="539"/>
  <c r="H32" i="539"/>
  <c r="I31" i="539"/>
  <c r="H31" i="539"/>
  <c r="I30" i="539"/>
  <c r="H30" i="539"/>
  <c r="I29" i="539"/>
  <c r="H29" i="539"/>
  <c r="I28" i="539"/>
  <c r="H28" i="539"/>
  <c r="I27" i="539"/>
  <c r="H27" i="539"/>
  <c r="I26" i="539"/>
  <c r="H26" i="539"/>
  <c r="F10" i="539"/>
  <c r="C10" i="539"/>
  <c r="F9" i="539"/>
  <c r="C9" i="539"/>
  <c r="I41" i="538"/>
  <c r="H41" i="538"/>
  <c r="I40" i="538"/>
  <c r="H40" i="538"/>
  <c r="I39" i="538"/>
  <c r="H39" i="538"/>
  <c r="I38" i="538"/>
  <c r="H38" i="538"/>
  <c r="I37" i="538"/>
  <c r="H37" i="538"/>
  <c r="I36" i="538"/>
  <c r="H36" i="538"/>
  <c r="I35" i="538"/>
  <c r="H35" i="538"/>
  <c r="I34" i="538"/>
  <c r="H34" i="538"/>
  <c r="I33" i="538"/>
  <c r="H33" i="538"/>
  <c r="I32" i="538"/>
  <c r="H32" i="538"/>
  <c r="I31" i="538"/>
  <c r="H31" i="538"/>
  <c r="I30" i="538"/>
  <c r="H30" i="538"/>
  <c r="I29" i="538"/>
  <c r="H29" i="538"/>
  <c r="I28" i="538"/>
  <c r="H28" i="538"/>
  <c r="I27" i="538"/>
  <c r="H27" i="538"/>
  <c r="I26" i="538"/>
  <c r="H26" i="538"/>
  <c r="F10" i="538"/>
  <c r="C10" i="538"/>
  <c r="F9" i="538"/>
  <c r="C9" i="538"/>
  <c r="I41" i="537"/>
  <c r="H41" i="537"/>
  <c r="I40" i="537"/>
  <c r="H40" i="537"/>
  <c r="I39" i="537"/>
  <c r="H39" i="537"/>
  <c r="I38" i="537"/>
  <c r="H38" i="537"/>
  <c r="I37" i="537"/>
  <c r="H37" i="537"/>
  <c r="I36" i="537"/>
  <c r="H36" i="537"/>
  <c r="I35" i="537"/>
  <c r="H35" i="537"/>
  <c r="I34" i="537"/>
  <c r="H34" i="537"/>
  <c r="I33" i="537"/>
  <c r="H33" i="537"/>
  <c r="I32" i="537"/>
  <c r="H32" i="537"/>
  <c r="I31" i="537"/>
  <c r="H31" i="537"/>
  <c r="I30" i="537"/>
  <c r="H30" i="537"/>
  <c r="I29" i="537"/>
  <c r="H29" i="537"/>
  <c r="I28" i="537"/>
  <c r="H28" i="537"/>
  <c r="I27" i="537"/>
  <c r="H27" i="537"/>
  <c r="I26" i="537"/>
  <c r="H26" i="537"/>
  <c r="F10" i="537"/>
  <c r="C10" i="537"/>
  <c r="F9" i="537"/>
  <c r="C9" i="537"/>
  <c r="I41" i="536"/>
  <c r="H41" i="536"/>
  <c r="I40" i="536"/>
  <c r="H40" i="536"/>
  <c r="I39" i="536"/>
  <c r="H39" i="536"/>
  <c r="I38" i="536"/>
  <c r="H38" i="536"/>
  <c r="I37" i="536"/>
  <c r="H37" i="536"/>
  <c r="I36" i="536"/>
  <c r="H36" i="536"/>
  <c r="I35" i="536"/>
  <c r="H35" i="536"/>
  <c r="I34" i="536"/>
  <c r="H34" i="536"/>
  <c r="I33" i="536"/>
  <c r="H33" i="536"/>
  <c r="I32" i="536"/>
  <c r="H32" i="536"/>
  <c r="I31" i="536"/>
  <c r="H31" i="536"/>
  <c r="I30" i="536"/>
  <c r="H30" i="536"/>
  <c r="I29" i="536"/>
  <c r="H29" i="536"/>
  <c r="I28" i="536"/>
  <c r="H28" i="536"/>
  <c r="I27" i="536"/>
  <c r="H27" i="536"/>
  <c r="I26" i="536"/>
  <c r="H26" i="536"/>
  <c r="F10" i="536"/>
  <c r="C10" i="536"/>
  <c r="F9" i="536"/>
  <c r="C9" i="536"/>
  <c r="I41" i="535"/>
  <c r="H41" i="535"/>
  <c r="I40" i="535"/>
  <c r="H40" i="535"/>
  <c r="I39" i="535"/>
  <c r="H39" i="535"/>
  <c r="I38" i="535"/>
  <c r="H38" i="535"/>
  <c r="I37" i="535"/>
  <c r="H37" i="535"/>
  <c r="I36" i="535"/>
  <c r="H36" i="535"/>
  <c r="I35" i="535"/>
  <c r="H35" i="535"/>
  <c r="I34" i="535"/>
  <c r="H34" i="535"/>
  <c r="I33" i="535"/>
  <c r="H33" i="535"/>
  <c r="I32" i="535"/>
  <c r="H32" i="535"/>
  <c r="I31" i="535"/>
  <c r="H31" i="535"/>
  <c r="I30" i="535"/>
  <c r="H30" i="535"/>
  <c r="I29" i="535"/>
  <c r="H29" i="535"/>
  <c r="I28" i="535"/>
  <c r="H28" i="535"/>
  <c r="I27" i="535"/>
  <c r="H27" i="535"/>
  <c r="I26" i="535"/>
  <c r="H26" i="535"/>
  <c r="F10" i="535"/>
  <c r="C10" i="535"/>
  <c r="F9" i="535"/>
  <c r="C9" i="535"/>
  <c r="I41" i="534"/>
  <c r="H41" i="534"/>
  <c r="I40" i="534"/>
  <c r="H40" i="534"/>
  <c r="I39" i="534"/>
  <c r="H39" i="534"/>
  <c r="I38" i="534"/>
  <c r="H38" i="534"/>
  <c r="I37" i="534"/>
  <c r="H37" i="534"/>
  <c r="I36" i="534"/>
  <c r="H36" i="534"/>
  <c r="I35" i="534"/>
  <c r="H35" i="534"/>
  <c r="I34" i="534"/>
  <c r="H34" i="534"/>
  <c r="I33" i="534"/>
  <c r="H33" i="534"/>
  <c r="I32" i="534"/>
  <c r="H32" i="534"/>
  <c r="I31" i="534"/>
  <c r="H31" i="534"/>
  <c r="I30" i="534"/>
  <c r="H30" i="534"/>
  <c r="I29" i="534"/>
  <c r="H29" i="534"/>
  <c r="I28" i="534"/>
  <c r="H28" i="534"/>
  <c r="I27" i="534"/>
  <c r="H27" i="534"/>
  <c r="I26" i="534"/>
  <c r="H26" i="534"/>
  <c r="F10" i="534"/>
  <c r="C10" i="534"/>
  <c r="F9" i="534"/>
  <c r="C9" i="534"/>
  <c r="I41" i="533"/>
  <c r="H41" i="533"/>
  <c r="I40" i="533"/>
  <c r="H40" i="533"/>
  <c r="I39" i="533"/>
  <c r="H39" i="533"/>
  <c r="I38" i="533"/>
  <c r="H38" i="533"/>
  <c r="I37" i="533"/>
  <c r="H37" i="533"/>
  <c r="I36" i="533"/>
  <c r="H36" i="533"/>
  <c r="I35" i="533"/>
  <c r="H35" i="533"/>
  <c r="I34" i="533"/>
  <c r="H34" i="533"/>
  <c r="I33" i="533"/>
  <c r="H33" i="533"/>
  <c r="I32" i="533"/>
  <c r="H32" i="533"/>
  <c r="I31" i="533"/>
  <c r="H31" i="533"/>
  <c r="I30" i="533"/>
  <c r="H30" i="533"/>
  <c r="I29" i="533"/>
  <c r="H29" i="533"/>
  <c r="I28" i="533"/>
  <c r="H28" i="533"/>
  <c r="I27" i="533"/>
  <c r="H27" i="533"/>
  <c r="I26" i="533"/>
  <c r="H26" i="533"/>
  <c r="F10" i="533"/>
  <c r="C10" i="533"/>
  <c r="F9" i="533"/>
  <c r="C9" i="533"/>
  <c r="I41" i="532"/>
  <c r="H41" i="532"/>
  <c r="I40" i="532"/>
  <c r="H40" i="532"/>
  <c r="I39" i="532"/>
  <c r="H39" i="532"/>
  <c r="I38" i="532"/>
  <c r="H38" i="532"/>
  <c r="I37" i="532"/>
  <c r="H37" i="532"/>
  <c r="I36" i="532"/>
  <c r="H36" i="532"/>
  <c r="I35" i="532"/>
  <c r="H35" i="532"/>
  <c r="I34" i="532"/>
  <c r="H34" i="532"/>
  <c r="I33" i="532"/>
  <c r="H33" i="532"/>
  <c r="I32" i="532"/>
  <c r="H32" i="532"/>
  <c r="I31" i="532"/>
  <c r="H31" i="532"/>
  <c r="I30" i="532"/>
  <c r="H30" i="532"/>
  <c r="I29" i="532"/>
  <c r="H29" i="532"/>
  <c r="I28" i="532"/>
  <c r="H28" i="532"/>
  <c r="I27" i="532"/>
  <c r="H27" i="532"/>
  <c r="I26" i="532"/>
  <c r="H26" i="532"/>
  <c r="F10" i="532"/>
  <c r="C10" i="532"/>
  <c r="F9" i="532"/>
  <c r="C9" i="532"/>
  <c r="I41" i="531"/>
  <c r="H41" i="531"/>
  <c r="I40" i="531"/>
  <c r="H40" i="531"/>
  <c r="I39" i="531"/>
  <c r="H39" i="531"/>
  <c r="I38" i="531"/>
  <c r="H38" i="531"/>
  <c r="I37" i="531"/>
  <c r="H37" i="531"/>
  <c r="I36" i="531"/>
  <c r="H36" i="531"/>
  <c r="I35" i="531"/>
  <c r="H35" i="531"/>
  <c r="I34" i="531"/>
  <c r="H34" i="531"/>
  <c r="I33" i="531"/>
  <c r="H33" i="531"/>
  <c r="I32" i="531"/>
  <c r="H32" i="531"/>
  <c r="I31" i="531"/>
  <c r="H31" i="531"/>
  <c r="I30" i="531"/>
  <c r="H30" i="531"/>
  <c r="I29" i="531"/>
  <c r="H29" i="531"/>
  <c r="I28" i="531"/>
  <c r="H28" i="531"/>
  <c r="I27" i="531"/>
  <c r="H27" i="531"/>
  <c r="I26" i="531"/>
  <c r="H26" i="531"/>
  <c r="F10" i="531"/>
  <c r="C10" i="531"/>
  <c r="F9" i="531"/>
  <c r="C9" i="531"/>
  <c r="I41" i="530"/>
  <c r="H41" i="530"/>
  <c r="I40" i="530"/>
  <c r="H40" i="530"/>
  <c r="I39" i="530"/>
  <c r="H39" i="530"/>
  <c r="I38" i="530"/>
  <c r="H38" i="530"/>
  <c r="I37" i="530"/>
  <c r="H37" i="530"/>
  <c r="I36" i="530"/>
  <c r="H36" i="530"/>
  <c r="I35" i="530"/>
  <c r="H35" i="530"/>
  <c r="I34" i="530"/>
  <c r="H34" i="530"/>
  <c r="I33" i="530"/>
  <c r="H33" i="530"/>
  <c r="I32" i="530"/>
  <c r="H32" i="530"/>
  <c r="I31" i="530"/>
  <c r="H31" i="530"/>
  <c r="I30" i="530"/>
  <c r="H30" i="530"/>
  <c r="I29" i="530"/>
  <c r="H29" i="530"/>
  <c r="I28" i="530"/>
  <c r="H28" i="530"/>
  <c r="I27" i="530"/>
  <c r="H27" i="530"/>
  <c r="I26" i="530"/>
  <c r="H26" i="530"/>
  <c r="F10" i="530"/>
  <c r="C10" i="530"/>
  <c r="F9" i="530"/>
  <c r="C9" i="530"/>
  <c r="I41" i="529"/>
  <c r="H41" i="529"/>
  <c r="I40" i="529"/>
  <c r="H40" i="529"/>
  <c r="I39" i="529"/>
  <c r="H39" i="529"/>
  <c r="I38" i="529"/>
  <c r="H38" i="529"/>
  <c r="I37" i="529"/>
  <c r="H37" i="529"/>
  <c r="I36" i="529"/>
  <c r="H36" i="529"/>
  <c r="I35" i="529"/>
  <c r="H35" i="529"/>
  <c r="I34" i="529"/>
  <c r="H34" i="529"/>
  <c r="I33" i="529"/>
  <c r="H33" i="529"/>
  <c r="I32" i="529"/>
  <c r="H32" i="529"/>
  <c r="I31" i="529"/>
  <c r="H31" i="529"/>
  <c r="I30" i="529"/>
  <c r="H30" i="529"/>
  <c r="I29" i="529"/>
  <c r="H29" i="529"/>
  <c r="I28" i="529"/>
  <c r="H28" i="529"/>
  <c r="I27" i="529"/>
  <c r="H27" i="529"/>
  <c r="I26" i="529"/>
  <c r="H26" i="529"/>
  <c r="F10" i="529"/>
  <c r="C10" i="529"/>
  <c r="F9" i="529"/>
  <c r="C9" i="529"/>
  <c r="I41" i="528"/>
  <c r="H41" i="528"/>
  <c r="I40" i="528"/>
  <c r="H40" i="528"/>
  <c r="I39" i="528"/>
  <c r="H39" i="528"/>
  <c r="I38" i="528"/>
  <c r="H38" i="528"/>
  <c r="I37" i="528"/>
  <c r="H37" i="528"/>
  <c r="I36" i="528"/>
  <c r="H36" i="528"/>
  <c r="I35" i="528"/>
  <c r="H35" i="528"/>
  <c r="I34" i="528"/>
  <c r="H34" i="528"/>
  <c r="I33" i="528"/>
  <c r="H33" i="528"/>
  <c r="I32" i="528"/>
  <c r="H32" i="528"/>
  <c r="I31" i="528"/>
  <c r="H31" i="528"/>
  <c r="I30" i="528"/>
  <c r="H30" i="528"/>
  <c r="I29" i="528"/>
  <c r="H29" i="528"/>
  <c r="I26" i="528"/>
  <c r="H26" i="528"/>
  <c r="F10" i="528"/>
  <c r="C10" i="528"/>
  <c r="F9" i="528"/>
  <c r="C9" i="528"/>
  <c r="I41" i="527"/>
  <c r="H41" i="527"/>
  <c r="I40" i="527"/>
  <c r="H40" i="527"/>
  <c r="I39" i="527"/>
  <c r="H39" i="527"/>
  <c r="I38" i="527"/>
  <c r="H38" i="527"/>
  <c r="I37" i="527"/>
  <c r="H37" i="527"/>
  <c r="I36" i="527"/>
  <c r="H36" i="527"/>
  <c r="I35" i="527"/>
  <c r="H35" i="527"/>
  <c r="I34" i="527"/>
  <c r="H34" i="527"/>
  <c r="I33" i="527"/>
  <c r="H33" i="527"/>
  <c r="I32" i="527"/>
  <c r="H32" i="527"/>
  <c r="I31" i="527"/>
  <c r="H31" i="527"/>
  <c r="I30" i="527"/>
  <c r="H30" i="527"/>
  <c r="I29" i="527"/>
  <c r="H29" i="527"/>
  <c r="I28" i="527"/>
  <c r="H28" i="527"/>
  <c r="I27" i="527"/>
  <c r="H27" i="527"/>
  <c r="I26" i="527"/>
  <c r="H26" i="527"/>
  <c r="F10" i="527"/>
  <c r="C10" i="527"/>
  <c r="F9" i="527"/>
  <c r="C9" i="527"/>
  <c r="I41" i="526"/>
  <c r="H41" i="526"/>
  <c r="I40" i="526"/>
  <c r="H40" i="526"/>
  <c r="I39" i="526"/>
  <c r="H39" i="526"/>
  <c r="I38" i="526"/>
  <c r="H38" i="526"/>
  <c r="I37" i="526"/>
  <c r="H37" i="526"/>
  <c r="I36" i="526"/>
  <c r="H36" i="526"/>
  <c r="I35" i="526"/>
  <c r="H35" i="526"/>
  <c r="I34" i="526"/>
  <c r="H34" i="526"/>
  <c r="I33" i="526"/>
  <c r="H33" i="526"/>
  <c r="I32" i="526"/>
  <c r="H32" i="526"/>
  <c r="I31" i="526"/>
  <c r="H31" i="526"/>
  <c r="I30" i="526"/>
  <c r="H30" i="526"/>
  <c r="I29" i="526"/>
  <c r="H29" i="526"/>
  <c r="I28" i="526"/>
  <c r="H28" i="526"/>
  <c r="I27" i="526"/>
  <c r="H27" i="526"/>
  <c r="I26" i="526"/>
  <c r="H26" i="526"/>
  <c r="F10" i="526"/>
  <c r="C10" i="526"/>
  <c r="F9" i="526"/>
  <c r="C9" i="526"/>
  <c r="I41" i="525"/>
  <c r="H41" i="525"/>
  <c r="I40" i="525"/>
  <c r="H40" i="525"/>
  <c r="I39" i="525"/>
  <c r="H39" i="525"/>
  <c r="I38" i="525"/>
  <c r="H38" i="525"/>
  <c r="I37" i="525"/>
  <c r="H37" i="525"/>
  <c r="I36" i="525"/>
  <c r="H36" i="525"/>
  <c r="I35" i="525"/>
  <c r="H35" i="525"/>
  <c r="I34" i="525"/>
  <c r="H34" i="525"/>
  <c r="I33" i="525"/>
  <c r="H33" i="525"/>
  <c r="I32" i="525"/>
  <c r="H32" i="525"/>
  <c r="I31" i="525"/>
  <c r="H31" i="525"/>
  <c r="I30" i="525"/>
  <c r="H30" i="525"/>
  <c r="I29" i="525"/>
  <c r="H29" i="525"/>
  <c r="I28" i="525"/>
  <c r="H28" i="525"/>
  <c r="I27" i="525"/>
  <c r="H27" i="525"/>
  <c r="I26" i="525"/>
  <c r="H26" i="525"/>
  <c r="F10" i="525"/>
  <c r="C10" i="525"/>
  <c r="F9" i="525"/>
  <c r="C9" i="525"/>
  <c r="I41" i="524"/>
  <c r="H41" i="524"/>
  <c r="I40" i="524"/>
  <c r="H40" i="524"/>
  <c r="I39" i="524"/>
  <c r="H39" i="524"/>
  <c r="I38" i="524"/>
  <c r="H38" i="524"/>
  <c r="I37" i="524"/>
  <c r="H37" i="524"/>
  <c r="I36" i="524"/>
  <c r="H36" i="524"/>
  <c r="I35" i="524"/>
  <c r="H35" i="524"/>
  <c r="I34" i="524"/>
  <c r="H34" i="524"/>
  <c r="I33" i="524"/>
  <c r="H33" i="524"/>
  <c r="I32" i="524"/>
  <c r="H32" i="524"/>
  <c r="I31" i="524"/>
  <c r="H31" i="524"/>
  <c r="I30" i="524"/>
  <c r="H30" i="524"/>
  <c r="I29" i="524"/>
  <c r="H29" i="524"/>
  <c r="I28" i="524"/>
  <c r="H28" i="524"/>
  <c r="I27" i="524"/>
  <c r="H27" i="524"/>
  <c r="I26" i="524"/>
  <c r="H26" i="524"/>
  <c r="F10" i="524"/>
  <c r="C10" i="524"/>
  <c r="F9" i="524"/>
  <c r="C9" i="524"/>
  <c r="I41" i="523"/>
  <c r="H41" i="523"/>
  <c r="I40" i="523"/>
  <c r="H40" i="523"/>
  <c r="I39" i="523"/>
  <c r="H39" i="523"/>
  <c r="I38" i="523"/>
  <c r="H38" i="523"/>
  <c r="I37" i="523"/>
  <c r="H37" i="523"/>
  <c r="I36" i="523"/>
  <c r="H36" i="523"/>
  <c r="I35" i="523"/>
  <c r="H35" i="523"/>
  <c r="I34" i="523"/>
  <c r="H34" i="523"/>
  <c r="I33" i="523"/>
  <c r="H33" i="523"/>
  <c r="I32" i="523"/>
  <c r="H32" i="523"/>
  <c r="I31" i="523"/>
  <c r="H31" i="523"/>
  <c r="I30" i="523"/>
  <c r="H30" i="523"/>
  <c r="I29" i="523"/>
  <c r="H29" i="523"/>
  <c r="I28" i="523"/>
  <c r="H28" i="523"/>
  <c r="I27" i="523"/>
  <c r="H27" i="523"/>
  <c r="I26" i="523"/>
  <c r="H26" i="523"/>
  <c r="F10" i="523"/>
  <c r="C10" i="523"/>
  <c r="F9" i="523"/>
  <c r="C9" i="523"/>
  <c r="I41" i="522"/>
  <c r="H41" i="522"/>
  <c r="I40" i="522"/>
  <c r="H40" i="522"/>
  <c r="I39" i="522"/>
  <c r="H39" i="522"/>
  <c r="I38" i="522"/>
  <c r="H38" i="522"/>
  <c r="I37" i="522"/>
  <c r="H37" i="522"/>
  <c r="I36" i="522"/>
  <c r="H36" i="522"/>
  <c r="I35" i="522"/>
  <c r="H35" i="522"/>
  <c r="I34" i="522"/>
  <c r="H34" i="522"/>
  <c r="I33" i="522"/>
  <c r="H33" i="522"/>
  <c r="I32" i="522"/>
  <c r="H32" i="522"/>
  <c r="I31" i="522"/>
  <c r="H31" i="522"/>
  <c r="I30" i="522"/>
  <c r="H30" i="522"/>
  <c r="I29" i="522"/>
  <c r="H29" i="522"/>
  <c r="I28" i="522"/>
  <c r="H28" i="522"/>
  <c r="I27" i="522"/>
  <c r="H27" i="522"/>
  <c r="I26" i="522"/>
  <c r="H26" i="522"/>
  <c r="F10" i="522"/>
  <c r="C10" i="522"/>
  <c r="F9" i="522"/>
  <c r="C9" i="522"/>
  <c r="I41" i="521"/>
  <c r="H41" i="521"/>
  <c r="I40" i="521"/>
  <c r="H40" i="521"/>
  <c r="I39" i="521"/>
  <c r="H39" i="521"/>
  <c r="I38" i="521"/>
  <c r="H38" i="521"/>
  <c r="I37" i="521"/>
  <c r="H37" i="521"/>
  <c r="I36" i="521"/>
  <c r="H36" i="521"/>
  <c r="I35" i="521"/>
  <c r="H35" i="521"/>
  <c r="I34" i="521"/>
  <c r="H34" i="521"/>
  <c r="I33" i="521"/>
  <c r="H33" i="521"/>
  <c r="I32" i="521"/>
  <c r="H32" i="521"/>
  <c r="I31" i="521"/>
  <c r="H31" i="521"/>
  <c r="I30" i="521"/>
  <c r="H30" i="521"/>
  <c r="I29" i="521"/>
  <c r="H29" i="521"/>
  <c r="I28" i="521"/>
  <c r="H28" i="521"/>
  <c r="I27" i="521"/>
  <c r="H27" i="521"/>
  <c r="I26" i="521"/>
  <c r="H26" i="521"/>
  <c r="F10" i="521"/>
  <c r="C10" i="521"/>
  <c r="F9" i="521"/>
  <c r="C9" i="521"/>
  <c r="I41" i="520"/>
  <c r="H41" i="520"/>
  <c r="I40" i="520"/>
  <c r="H40" i="520"/>
  <c r="I39" i="520"/>
  <c r="H39" i="520"/>
  <c r="I38" i="520"/>
  <c r="H38" i="520"/>
  <c r="I37" i="520"/>
  <c r="H37" i="520"/>
  <c r="I36" i="520"/>
  <c r="H36" i="520"/>
  <c r="I35" i="520"/>
  <c r="H35" i="520"/>
  <c r="I34" i="520"/>
  <c r="H34" i="520"/>
  <c r="I33" i="520"/>
  <c r="H33" i="520"/>
  <c r="I32" i="520"/>
  <c r="H32" i="520"/>
  <c r="I31" i="520"/>
  <c r="H31" i="520"/>
  <c r="I30" i="520"/>
  <c r="H30" i="520"/>
  <c r="I29" i="520"/>
  <c r="H29" i="520"/>
  <c r="I28" i="520"/>
  <c r="H28" i="520"/>
  <c r="I27" i="520"/>
  <c r="H27" i="520"/>
  <c r="I26" i="520"/>
  <c r="H26" i="520"/>
  <c r="F10" i="520"/>
  <c r="C10" i="520"/>
  <c r="F9" i="520"/>
  <c r="C9" i="520"/>
  <c r="I41" i="519"/>
  <c r="H41" i="519"/>
  <c r="I40" i="519"/>
  <c r="H40" i="519"/>
  <c r="I39" i="519"/>
  <c r="H39" i="519"/>
  <c r="I38" i="519"/>
  <c r="H38" i="519"/>
  <c r="I37" i="519"/>
  <c r="H37" i="519"/>
  <c r="I36" i="519"/>
  <c r="H36" i="519"/>
  <c r="I35" i="519"/>
  <c r="H35" i="519"/>
  <c r="I34" i="519"/>
  <c r="H34" i="519"/>
  <c r="I33" i="519"/>
  <c r="H33" i="519"/>
  <c r="I32" i="519"/>
  <c r="H32" i="519"/>
  <c r="I31" i="519"/>
  <c r="H31" i="519"/>
  <c r="I30" i="519"/>
  <c r="H30" i="519"/>
  <c r="I29" i="519"/>
  <c r="H29" i="519"/>
  <c r="I28" i="519"/>
  <c r="H28" i="519"/>
  <c r="I27" i="519"/>
  <c r="H27" i="519"/>
  <c r="I26" i="519"/>
  <c r="H26" i="519"/>
  <c r="F10" i="519"/>
  <c r="C10" i="519"/>
  <c r="F9" i="519"/>
  <c r="C9" i="519"/>
  <c r="I41" i="518"/>
  <c r="H41" i="518"/>
  <c r="I40" i="518"/>
  <c r="H40" i="518"/>
  <c r="I39" i="518"/>
  <c r="H39" i="518"/>
  <c r="I38" i="518"/>
  <c r="H38" i="518"/>
  <c r="I37" i="518"/>
  <c r="H37" i="518"/>
  <c r="I36" i="518"/>
  <c r="H36" i="518"/>
  <c r="I35" i="518"/>
  <c r="H35" i="518"/>
  <c r="I34" i="518"/>
  <c r="H34" i="518"/>
  <c r="I33" i="518"/>
  <c r="H33" i="518"/>
  <c r="I32" i="518"/>
  <c r="H32" i="518"/>
  <c r="I31" i="518"/>
  <c r="H31" i="518"/>
  <c r="I30" i="518"/>
  <c r="H30" i="518"/>
  <c r="I29" i="518"/>
  <c r="H29" i="518"/>
  <c r="I28" i="518"/>
  <c r="H28" i="518"/>
  <c r="I27" i="518"/>
  <c r="H27" i="518"/>
  <c r="I26" i="518"/>
  <c r="H26" i="518"/>
  <c r="F10" i="518"/>
  <c r="C10" i="518"/>
  <c r="F9" i="518"/>
  <c r="C9" i="518"/>
  <c r="I41" i="517"/>
  <c r="H41" i="517"/>
  <c r="I40" i="517"/>
  <c r="H40" i="517"/>
  <c r="I39" i="517"/>
  <c r="H39" i="517"/>
  <c r="I38" i="517"/>
  <c r="H38" i="517"/>
  <c r="I37" i="517"/>
  <c r="H37" i="517"/>
  <c r="I36" i="517"/>
  <c r="H36" i="517"/>
  <c r="I35" i="517"/>
  <c r="H35" i="517"/>
  <c r="I34" i="517"/>
  <c r="H34" i="517"/>
  <c r="I33" i="517"/>
  <c r="H33" i="517"/>
  <c r="I32" i="517"/>
  <c r="H32" i="517"/>
  <c r="I31" i="517"/>
  <c r="H31" i="517"/>
  <c r="I30" i="517"/>
  <c r="H30" i="517"/>
  <c r="I29" i="517"/>
  <c r="H29" i="517"/>
  <c r="I28" i="517"/>
  <c r="H28" i="517"/>
  <c r="I27" i="517"/>
  <c r="H27" i="517"/>
  <c r="I26" i="517"/>
  <c r="H26" i="517"/>
  <c r="F10" i="517"/>
  <c r="C10" i="517"/>
  <c r="F9" i="517"/>
  <c r="C9" i="517"/>
  <c r="I41" i="516"/>
  <c r="H41" i="516"/>
  <c r="I40" i="516"/>
  <c r="H40" i="516"/>
  <c r="I39" i="516"/>
  <c r="H39" i="516"/>
  <c r="I38" i="516"/>
  <c r="H38" i="516"/>
  <c r="I37" i="516"/>
  <c r="H37" i="516"/>
  <c r="I36" i="516"/>
  <c r="H36" i="516"/>
  <c r="I35" i="516"/>
  <c r="H35" i="516"/>
  <c r="I34" i="516"/>
  <c r="H34" i="516"/>
  <c r="I33" i="516"/>
  <c r="H33" i="516"/>
  <c r="I32" i="516"/>
  <c r="H32" i="516"/>
  <c r="I31" i="516"/>
  <c r="H31" i="516"/>
  <c r="I30" i="516"/>
  <c r="H30" i="516"/>
  <c r="I29" i="516"/>
  <c r="H29" i="516"/>
  <c r="I28" i="516"/>
  <c r="H28" i="516"/>
  <c r="I27" i="516"/>
  <c r="H27" i="516"/>
  <c r="I26" i="516"/>
  <c r="H26" i="516"/>
  <c r="F10" i="516"/>
  <c r="C10" i="516"/>
  <c r="F9" i="516"/>
  <c r="C9" i="516"/>
  <c r="I41" i="515"/>
  <c r="H41" i="515"/>
  <c r="I40" i="515"/>
  <c r="H40" i="515"/>
  <c r="I39" i="515"/>
  <c r="H39" i="515"/>
  <c r="I38" i="515"/>
  <c r="H38" i="515"/>
  <c r="I37" i="515"/>
  <c r="H37" i="515"/>
  <c r="I36" i="515"/>
  <c r="H36" i="515"/>
  <c r="I35" i="515"/>
  <c r="H35" i="515"/>
  <c r="I34" i="515"/>
  <c r="H34" i="515"/>
  <c r="I33" i="515"/>
  <c r="H33" i="515"/>
  <c r="I32" i="515"/>
  <c r="H32" i="515"/>
  <c r="I31" i="515"/>
  <c r="H31" i="515"/>
  <c r="I30" i="515"/>
  <c r="H30" i="515"/>
  <c r="I29" i="515"/>
  <c r="H29" i="515"/>
  <c r="I28" i="515"/>
  <c r="H28" i="515"/>
  <c r="I27" i="515"/>
  <c r="H27" i="515"/>
  <c r="I26" i="515"/>
  <c r="H26" i="515"/>
  <c r="F10" i="515"/>
  <c r="C10" i="515"/>
  <c r="F9" i="515"/>
  <c r="C9" i="515"/>
  <c r="I41" i="514"/>
  <c r="H41" i="514"/>
  <c r="I40" i="514"/>
  <c r="H40" i="514"/>
  <c r="I39" i="514"/>
  <c r="H39" i="514"/>
  <c r="I38" i="514"/>
  <c r="H38" i="514"/>
  <c r="I37" i="514"/>
  <c r="H37" i="514"/>
  <c r="I36" i="514"/>
  <c r="H36" i="514"/>
  <c r="I35" i="514"/>
  <c r="H35" i="514"/>
  <c r="I34" i="514"/>
  <c r="H34" i="514"/>
  <c r="I33" i="514"/>
  <c r="H33" i="514"/>
  <c r="I32" i="514"/>
  <c r="H32" i="514"/>
  <c r="I31" i="514"/>
  <c r="H31" i="514"/>
  <c r="I30" i="514"/>
  <c r="H30" i="514"/>
  <c r="I29" i="514"/>
  <c r="H29" i="514"/>
  <c r="I28" i="514"/>
  <c r="H28" i="514"/>
  <c r="I27" i="514"/>
  <c r="H27" i="514"/>
  <c r="I26" i="514"/>
  <c r="H26" i="514"/>
  <c r="F10" i="514"/>
  <c r="C10" i="514"/>
  <c r="F9" i="514"/>
  <c r="C9" i="514"/>
  <c r="I41" i="513"/>
  <c r="H41" i="513"/>
  <c r="I40" i="513"/>
  <c r="H40" i="513"/>
  <c r="I39" i="513"/>
  <c r="H39" i="513"/>
  <c r="I38" i="513"/>
  <c r="H38" i="513"/>
  <c r="I37" i="513"/>
  <c r="H37" i="513"/>
  <c r="I36" i="513"/>
  <c r="H36" i="513"/>
  <c r="I35" i="513"/>
  <c r="H35" i="513"/>
  <c r="I34" i="513"/>
  <c r="H34" i="513"/>
  <c r="I33" i="513"/>
  <c r="H33" i="513"/>
  <c r="I32" i="513"/>
  <c r="H32" i="513"/>
  <c r="I31" i="513"/>
  <c r="H31" i="513"/>
  <c r="I30" i="513"/>
  <c r="H30" i="513"/>
  <c r="I29" i="513"/>
  <c r="H29" i="513"/>
  <c r="I28" i="513"/>
  <c r="H28" i="513"/>
  <c r="I27" i="513"/>
  <c r="H27" i="513"/>
  <c r="I26" i="513"/>
  <c r="H26" i="513"/>
  <c r="F10" i="513"/>
  <c r="C10" i="513"/>
  <c r="F9" i="513"/>
  <c r="C9" i="513"/>
  <c r="I41" i="512"/>
  <c r="H41" i="512"/>
  <c r="I40" i="512"/>
  <c r="H40" i="512"/>
  <c r="I39" i="512"/>
  <c r="H39" i="512"/>
  <c r="I38" i="512"/>
  <c r="H38" i="512"/>
  <c r="I37" i="512"/>
  <c r="H37" i="512"/>
  <c r="I36" i="512"/>
  <c r="H36" i="512"/>
  <c r="I35" i="512"/>
  <c r="H35" i="512"/>
  <c r="I34" i="512"/>
  <c r="H34" i="512"/>
  <c r="I33" i="512"/>
  <c r="H33" i="512"/>
  <c r="I32" i="512"/>
  <c r="H32" i="512"/>
  <c r="I31" i="512"/>
  <c r="H31" i="512"/>
  <c r="I30" i="512"/>
  <c r="H30" i="512"/>
  <c r="I29" i="512"/>
  <c r="H29" i="512"/>
  <c r="I28" i="512"/>
  <c r="H28" i="512"/>
  <c r="I27" i="512"/>
  <c r="H27" i="512"/>
  <c r="I26" i="512"/>
  <c r="H26" i="512"/>
  <c r="F10" i="512"/>
  <c r="C10" i="512"/>
  <c r="F9" i="512"/>
  <c r="C9" i="512"/>
  <c r="I41" i="511"/>
  <c r="H41" i="511"/>
  <c r="I40" i="511"/>
  <c r="H40" i="511"/>
  <c r="I39" i="511"/>
  <c r="H39" i="511"/>
  <c r="I38" i="511"/>
  <c r="H38" i="511"/>
  <c r="I37" i="511"/>
  <c r="H37" i="511"/>
  <c r="I36" i="511"/>
  <c r="H36" i="511"/>
  <c r="I35" i="511"/>
  <c r="H35" i="511"/>
  <c r="I34" i="511"/>
  <c r="H34" i="511"/>
  <c r="I33" i="511"/>
  <c r="H33" i="511"/>
  <c r="I32" i="511"/>
  <c r="H32" i="511"/>
  <c r="I31" i="511"/>
  <c r="H31" i="511"/>
  <c r="I30" i="511"/>
  <c r="H30" i="511"/>
  <c r="I29" i="511"/>
  <c r="H29" i="511"/>
  <c r="I28" i="511"/>
  <c r="H28" i="511"/>
  <c r="I27" i="511"/>
  <c r="H27" i="511"/>
  <c r="I26" i="511"/>
  <c r="H26" i="511"/>
  <c r="F10" i="511"/>
  <c r="C10" i="511"/>
  <c r="F9" i="511"/>
  <c r="C9" i="511"/>
  <c r="I41" i="510"/>
  <c r="H41" i="510"/>
  <c r="I40" i="510"/>
  <c r="H40" i="510"/>
  <c r="I39" i="510"/>
  <c r="H39" i="510"/>
  <c r="I38" i="510"/>
  <c r="H38" i="510"/>
  <c r="I37" i="510"/>
  <c r="H37" i="510"/>
  <c r="I36" i="510"/>
  <c r="H36" i="510"/>
  <c r="I35" i="510"/>
  <c r="H35" i="510"/>
  <c r="I34" i="510"/>
  <c r="H34" i="510"/>
  <c r="I33" i="510"/>
  <c r="H33" i="510"/>
  <c r="I32" i="510"/>
  <c r="H32" i="510"/>
  <c r="I31" i="510"/>
  <c r="H31" i="510"/>
  <c r="I30" i="510"/>
  <c r="H30" i="510"/>
  <c r="I29" i="510"/>
  <c r="H29" i="510"/>
  <c r="I28" i="510"/>
  <c r="H28" i="510"/>
  <c r="I27" i="510"/>
  <c r="H27" i="510"/>
  <c r="I26" i="510"/>
  <c r="H26" i="510"/>
  <c r="F10" i="510"/>
  <c r="C10" i="510"/>
  <c r="F9" i="510"/>
  <c r="C9" i="510"/>
  <c r="I41" i="509"/>
  <c r="H41" i="509"/>
  <c r="I40" i="509"/>
  <c r="H40" i="509"/>
  <c r="I39" i="509"/>
  <c r="H39" i="509"/>
  <c r="I38" i="509"/>
  <c r="H38" i="509"/>
  <c r="I37" i="509"/>
  <c r="H37" i="509"/>
  <c r="I36" i="509"/>
  <c r="H36" i="509"/>
  <c r="I35" i="509"/>
  <c r="H35" i="509"/>
  <c r="I34" i="509"/>
  <c r="H34" i="509"/>
  <c r="I33" i="509"/>
  <c r="H33" i="509"/>
  <c r="I32" i="509"/>
  <c r="H32" i="509"/>
  <c r="I31" i="509"/>
  <c r="H31" i="509"/>
  <c r="I30" i="509"/>
  <c r="H30" i="509"/>
  <c r="I29" i="509"/>
  <c r="H29" i="509"/>
  <c r="I28" i="509"/>
  <c r="H28" i="509"/>
  <c r="I27" i="509"/>
  <c r="H27" i="509"/>
  <c r="I26" i="509"/>
  <c r="H26" i="509"/>
  <c r="F10" i="509"/>
  <c r="C10" i="509"/>
  <c r="F9" i="509"/>
  <c r="C9" i="509"/>
  <c r="I41" i="508"/>
  <c r="H41" i="508"/>
  <c r="I40" i="508"/>
  <c r="H40" i="508"/>
  <c r="I39" i="508"/>
  <c r="H39" i="508"/>
  <c r="I38" i="508"/>
  <c r="H38" i="508"/>
  <c r="I37" i="508"/>
  <c r="H37" i="508"/>
  <c r="I36" i="508"/>
  <c r="H36" i="508"/>
  <c r="I35" i="508"/>
  <c r="H35" i="508"/>
  <c r="I34" i="508"/>
  <c r="H34" i="508"/>
  <c r="I33" i="508"/>
  <c r="H33" i="508"/>
  <c r="I32" i="508"/>
  <c r="H32" i="508"/>
  <c r="I31" i="508"/>
  <c r="H31" i="508"/>
  <c r="I30" i="508"/>
  <c r="H30" i="508"/>
  <c r="I29" i="508"/>
  <c r="H29" i="508"/>
  <c r="I28" i="508"/>
  <c r="H28" i="508"/>
  <c r="I27" i="508"/>
  <c r="H27" i="508"/>
  <c r="I26" i="508"/>
  <c r="H26" i="508"/>
  <c r="F10" i="508"/>
  <c r="C10" i="508"/>
  <c r="F9" i="508"/>
  <c r="C9" i="508"/>
  <c r="I41" i="507"/>
  <c r="H41" i="507"/>
  <c r="I40" i="507"/>
  <c r="H40" i="507"/>
  <c r="I39" i="507"/>
  <c r="H39" i="507"/>
  <c r="I38" i="507"/>
  <c r="H38" i="507"/>
  <c r="I37" i="507"/>
  <c r="H37" i="507"/>
  <c r="I36" i="507"/>
  <c r="H36" i="507"/>
  <c r="I35" i="507"/>
  <c r="H35" i="507"/>
  <c r="I34" i="507"/>
  <c r="H34" i="507"/>
  <c r="I33" i="507"/>
  <c r="H33" i="507"/>
  <c r="I32" i="507"/>
  <c r="H32" i="507"/>
  <c r="I31" i="507"/>
  <c r="H31" i="507"/>
  <c r="I30" i="507"/>
  <c r="H30" i="507"/>
  <c r="I29" i="507"/>
  <c r="H29" i="507"/>
  <c r="I28" i="507"/>
  <c r="H28" i="507"/>
  <c r="I27" i="507"/>
  <c r="H27" i="507"/>
  <c r="I26" i="507"/>
  <c r="H26" i="507"/>
  <c r="F10" i="507"/>
  <c r="C10" i="507"/>
  <c r="F9" i="507"/>
  <c r="C9" i="507"/>
  <c r="I41" i="506"/>
  <c r="H41" i="506"/>
  <c r="I40" i="506"/>
  <c r="H40" i="506"/>
  <c r="I39" i="506"/>
  <c r="H39" i="506"/>
  <c r="I38" i="506"/>
  <c r="H38" i="506"/>
  <c r="I37" i="506"/>
  <c r="H37" i="506"/>
  <c r="I36" i="506"/>
  <c r="H36" i="506"/>
  <c r="I35" i="506"/>
  <c r="H35" i="506"/>
  <c r="I34" i="506"/>
  <c r="H34" i="506"/>
  <c r="I33" i="506"/>
  <c r="H33" i="506"/>
  <c r="I32" i="506"/>
  <c r="H32" i="506"/>
  <c r="I31" i="506"/>
  <c r="H31" i="506"/>
  <c r="I30" i="506"/>
  <c r="H30" i="506"/>
  <c r="I29" i="506"/>
  <c r="H29" i="506"/>
  <c r="I28" i="506"/>
  <c r="H28" i="506"/>
  <c r="I27" i="506"/>
  <c r="H27" i="506"/>
  <c r="I26" i="506"/>
  <c r="H26" i="506"/>
  <c r="F10" i="506"/>
  <c r="C10" i="506"/>
  <c r="F9" i="506"/>
  <c r="C9" i="506"/>
  <c r="I41" i="505"/>
  <c r="H41" i="505"/>
  <c r="I40" i="505"/>
  <c r="H40" i="505"/>
  <c r="I39" i="505"/>
  <c r="H39" i="505"/>
  <c r="I38" i="505"/>
  <c r="H38" i="505"/>
  <c r="I37" i="505"/>
  <c r="H37" i="505"/>
  <c r="I36" i="505"/>
  <c r="H36" i="505"/>
  <c r="I35" i="505"/>
  <c r="H35" i="505"/>
  <c r="I34" i="505"/>
  <c r="H34" i="505"/>
  <c r="I33" i="505"/>
  <c r="H33" i="505"/>
  <c r="I32" i="505"/>
  <c r="H32" i="505"/>
  <c r="I31" i="505"/>
  <c r="H31" i="505"/>
  <c r="I30" i="505"/>
  <c r="H30" i="505"/>
  <c r="I29" i="505"/>
  <c r="H29" i="505"/>
  <c r="I28" i="505"/>
  <c r="H28" i="505"/>
  <c r="I27" i="505"/>
  <c r="H27" i="505"/>
  <c r="I26" i="505"/>
  <c r="H26" i="505"/>
  <c r="F10" i="505"/>
  <c r="C10" i="505"/>
  <c r="F9" i="505"/>
  <c r="C9" i="505"/>
  <c r="I41" i="504"/>
  <c r="H41" i="504"/>
  <c r="I40" i="504"/>
  <c r="H40" i="504"/>
  <c r="I39" i="504"/>
  <c r="H39" i="504"/>
  <c r="I38" i="504"/>
  <c r="H38" i="504"/>
  <c r="I37" i="504"/>
  <c r="H37" i="504"/>
  <c r="I36" i="504"/>
  <c r="H36" i="504"/>
  <c r="I35" i="504"/>
  <c r="H35" i="504"/>
  <c r="I34" i="504"/>
  <c r="H34" i="504"/>
  <c r="I33" i="504"/>
  <c r="H33" i="504"/>
  <c r="I32" i="504"/>
  <c r="H32" i="504"/>
  <c r="I31" i="504"/>
  <c r="H31" i="504"/>
  <c r="I30" i="504"/>
  <c r="H30" i="504"/>
  <c r="I29" i="504"/>
  <c r="H29" i="504"/>
  <c r="I28" i="504"/>
  <c r="H28" i="504"/>
  <c r="I27" i="504"/>
  <c r="H27" i="504"/>
  <c r="I26" i="504"/>
  <c r="H26" i="504"/>
  <c r="F10" i="504"/>
  <c r="C10" i="504"/>
  <c r="F9" i="504"/>
  <c r="C9" i="504"/>
  <c r="I41" i="503"/>
  <c r="H41" i="503"/>
  <c r="I40" i="503"/>
  <c r="H40" i="503"/>
  <c r="I39" i="503"/>
  <c r="H39" i="503"/>
  <c r="I38" i="503"/>
  <c r="H38" i="503"/>
  <c r="I37" i="503"/>
  <c r="H37" i="503"/>
  <c r="I36" i="503"/>
  <c r="H36" i="503"/>
  <c r="I35" i="503"/>
  <c r="H35" i="503"/>
  <c r="I34" i="503"/>
  <c r="H34" i="503"/>
  <c r="I33" i="503"/>
  <c r="H33" i="503"/>
  <c r="I32" i="503"/>
  <c r="H32" i="503"/>
  <c r="I31" i="503"/>
  <c r="H31" i="503"/>
  <c r="I30" i="503"/>
  <c r="H30" i="503"/>
  <c r="I29" i="503"/>
  <c r="H29" i="503"/>
  <c r="I28" i="503"/>
  <c r="H28" i="503"/>
  <c r="I27" i="503"/>
  <c r="H27" i="503"/>
  <c r="I26" i="503"/>
  <c r="H26" i="503"/>
  <c r="F10" i="503"/>
  <c r="C10" i="503"/>
  <c r="F9" i="503"/>
  <c r="C9" i="503"/>
  <c r="I41" i="502"/>
  <c r="H41" i="502"/>
  <c r="I40" i="502"/>
  <c r="H40" i="502"/>
  <c r="I39" i="502"/>
  <c r="H39" i="502"/>
  <c r="I38" i="502"/>
  <c r="H38" i="502"/>
  <c r="I37" i="502"/>
  <c r="H37" i="502"/>
  <c r="I36" i="502"/>
  <c r="H36" i="502"/>
  <c r="I35" i="502"/>
  <c r="H35" i="502"/>
  <c r="I34" i="502"/>
  <c r="H34" i="502"/>
  <c r="I33" i="502"/>
  <c r="H33" i="502"/>
  <c r="I32" i="502"/>
  <c r="H32" i="502"/>
  <c r="I31" i="502"/>
  <c r="H31" i="502"/>
  <c r="I30" i="502"/>
  <c r="H30" i="502"/>
  <c r="I29" i="502"/>
  <c r="H29" i="502"/>
  <c r="I28" i="502"/>
  <c r="H28" i="502"/>
  <c r="I27" i="502"/>
  <c r="H27" i="502"/>
  <c r="I26" i="502"/>
  <c r="H26" i="502"/>
  <c r="F10" i="502"/>
  <c r="C10" i="502"/>
  <c r="F9" i="502"/>
  <c r="C9" i="502"/>
  <c r="I41" i="501"/>
  <c r="H41" i="501"/>
  <c r="I40" i="501"/>
  <c r="H40" i="501"/>
  <c r="I39" i="501"/>
  <c r="H39" i="501"/>
  <c r="I38" i="501"/>
  <c r="H38" i="501"/>
  <c r="I37" i="501"/>
  <c r="H37" i="501"/>
  <c r="I36" i="501"/>
  <c r="H36" i="501"/>
  <c r="I35" i="501"/>
  <c r="H35" i="501"/>
  <c r="I34" i="501"/>
  <c r="H34" i="501"/>
  <c r="I33" i="501"/>
  <c r="H33" i="501"/>
  <c r="I32" i="501"/>
  <c r="H32" i="501"/>
  <c r="I31" i="501"/>
  <c r="H31" i="501"/>
  <c r="I30" i="501"/>
  <c r="H30" i="501"/>
  <c r="I29" i="501"/>
  <c r="H29" i="501"/>
  <c r="I28" i="501"/>
  <c r="H28" i="501"/>
  <c r="I27" i="501"/>
  <c r="H27" i="501"/>
  <c r="I26" i="501"/>
  <c r="H26" i="501"/>
  <c r="F10" i="501"/>
  <c r="C10" i="501"/>
  <c r="F9" i="501"/>
  <c r="C9" i="501"/>
  <c r="I41" i="500"/>
  <c r="H41" i="500"/>
  <c r="I40" i="500"/>
  <c r="H40" i="500"/>
  <c r="I39" i="500"/>
  <c r="H39" i="500"/>
  <c r="I38" i="500"/>
  <c r="H38" i="500"/>
  <c r="I37" i="500"/>
  <c r="H37" i="500"/>
  <c r="I36" i="500"/>
  <c r="H36" i="500"/>
  <c r="I35" i="500"/>
  <c r="H35" i="500"/>
  <c r="I34" i="500"/>
  <c r="H34" i="500"/>
  <c r="I33" i="500"/>
  <c r="H33" i="500"/>
  <c r="I32" i="500"/>
  <c r="H32" i="500"/>
  <c r="I31" i="500"/>
  <c r="H31" i="500"/>
  <c r="I30" i="500"/>
  <c r="H30" i="500"/>
  <c r="I29" i="500"/>
  <c r="H29" i="500"/>
  <c r="I28" i="500"/>
  <c r="H28" i="500"/>
  <c r="I27" i="500"/>
  <c r="H27" i="500"/>
  <c r="I26" i="500"/>
  <c r="H26" i="500"/>
  <c r="F10" i="500"/>
  <c r="C10" i="500"/>
  <c r="F9" i="500"/>
  <c r="C9" i="500"/>
  <c r="I41" i="499"/>
  <c r="H41" i="499"/>
  <c r="I40" i="499"/>
  <c r="H40" i="499"/>
  <c r="I39" i="499"/>
  <c r="H39" i="499"/>
  <c r="I38" i="499"/>
  <c r="H38" i="499"/>
  <c r="I37" i="499"/>
  <c r="H37" i="499"/>
  <c r="I36" i="499"/>
  <c r="H36" i="499"/>
  <c r="I35" i="499"/>
  <c r="H35" i="499"/>
  <c r="I34" i="499"/>
  <c r="H34" i="499"/>
  <c r="I33" i="499"/>
  <c r="H33" i="499"/>
  <c r="I32" i="499"/>
  <c r="H32" i="499"/>
  <c r="I31" i="499"/>
  <c r="H31" i="499"/>
  <c r="I30" i="499"/>
  <c r="H30" i="499"/>
  <c r="I29" i="499"/>
  <c r="H29" i="499"/>
  <c r="I28" i="499"/>
  <c r="H28" i="499"/>
  <c r="I27" i="499"/>
  <c r="H27" i="499"/>
  <c r="I26" i="499"/>
  <c r="H26" i="499"/>
  <c r="F10" i="499"/>
  <c r="C10" i="499"/>
  <c r="F9" i="499"/>
  <c r="C9" i="499"/>
  <c r="I41" i="498"/>
  <c r="H41" i="498"/>
  <c r="I40" i="498"/>
  <c r="H40" i="498"/>
  <c r="I39" i="498"/>
  <c r="H39" i="498"/>
  <c r="I38" i="498"/>
  <c r="H38" i="498"/>
  <c r="I37" i="498"/>
  <c r="H37" i="498"/>
  <c r="I36" i="498"/>
  <c r="H36" i="498"/>
  <c r="I35" i="498"/>
  <c r="H35" i="498"/>
  <c r="I34" i="498"/>
  <c r="H34" i="498"/>
  <c r="I33" i="498"/>
  <c r="H33" i="498"/>
  <c r="I32" i="498"/>
  <c r="H32" i="498"/>
  <c r="I31" i="498"/>
  <c r="H31" i="498"/>
  <c r="I30" i="498"/>
  <c r="H30" i="498"/>
  <c r="I29" i="498"/>
  <c r="H29" i="498"/>
  <c r="I28" i="498"/>
  <c r="H28" i="498"/>
  <c r="I27" i="498"/>
  <c r="H27" i="498"/>
  <c r="I26" i="498"/>
  <c r="H26" i="498"/>
  <c r="F10" i="498"/>
  <c r="C10" i="498"/>
  <c r="F9" i="498"/>
  <c r="I41" i="497"/>
  <c r="H41" i="497"/>
  <c r="I40" i="497"/>
  <c r="H40" i="497"/>
  <c r="I39" i="497"/>
  <c r="H39" i="497"/>
  <c r="I38" i="497"/>
  <c r="H38" i="497"/>
  <c r="I37" i="497"/>
  <c r="H37" i="497"/>
  <c r="I36" i="497"/>
  <c r="H36" i="497"/>
  <c r="I35" i="497"/>
  <c r="H35" i="497"/>
  <c r="I34" i="497"/>
  <c r="H34" i="497"/>
  <c r="I33" i="497"/>
  <c r="H33" i="497"/>
  <c r="I32" i="497"/>
  <c r="H32" i="497"/>
  <c r="I31" i="497"/>
  <c r="H31" i="497"/>
  <c r="I30" i="497"/>
  <c r="H30" i="497"/>
  <c r="I29" i="497"/>
  <c r="H29" i="497"/>
  <c r="I28" i="497"/>
  <c r="H28" i="497"/>
  <c r="H27" i="497"/>
  <c r="I27" i="497" s="1"/>
  <c r="I26" i="497"/>
  <c r="H26" i="497"/>
  <c r="F10" i="497"/>
  <c r="C10" i="497"/>
  <c r="F9" i="497"/>
  <c r="I41" i="496"/>
  <c r="H41" i="496"/>
  <c r="I40" i="496"/>
  <c r="H40" i="496"/>
  <c r="I39" i="496"/>
  <c r="H39" i="496"/>
  <c r="I38" i="496"/>
  <c r="H38" i="496"/>
  <c r="I37" i="496"/>
  <c r="H37" i="496"/>
  <c r="I36" i="496"/>
  <c r="H36" i="496"/>
  <c r="I35" i="496"/>
  <c r="H35" i="496"/>
  <c r="I34" i="496"/>
  <c r="H34" i="496"/>
  <c r="I33" i="496"/>
  <c r="H33" i="496"/>
  <c r="I32" i="496"/>
  <c r="H32" i="496"/>
  <c r="I31" i="496"/>
  <c r="H31" i="496"/>
  <c r="I30" i="496"/>
  <c r="H30" i="496"/>
  <c r="I29" i="496"/>
  <c r="H29" i="496"/>
  <c r="I28" i="496"/>
  <c r="H28" i="496"/>
  <c r="I27" i="496"/>
  <c r="H27" i="496"/>
  <c r="I26" i="496"/>
  <c r="H26" i="496"/>
  <c r="F10" i="496"/>
  <c r="C10" i="496"/>
  <c r="F9" i="496"/>
  <c r="C9" i="496"/>
  <c r="I41" i="495"/>
  <c r="H41" i="495"/>
  <c r="I40" i="495"/>
  <c r="H40" i="495"/>
  <c r="I39" i="495"/>
  <c r="H39" i="495"/>
  <c r="I38" i="495"/>
  <c r="H38" i="495"/>
  <c r="I37" i="495"/>
  <c r="H37" i="495"/>
  <c r="I36" i="495"/>
  <c r="H36" i="495"/>
  <c r="I35" i="495"/>
  <c r="H35" i="495"/>
  <c r="I34" i="495"/>
  <c r="H34" i="495"/>
  <c r="I33" i="495"/>
  <c r="H33" i="495"/>
  <c r="I32" i="495"/>
  <c r="H32" i="495"/>
  <c r="I31" i="495"/>
  <c r="H31" i="495"/>
  <c r="I30" i="495"/>
  <c r="H30" i="495"/>
  <c r="I29" i="495"/>
  <c r="H29" i="495"/>
  <c r="I28" i="495"/>
  <c r="H28" i="495"/>
  <c r="I27" i="495"/>
  <c r="H27" i="495"/>
  <c r="I26" i="495"/>
  <c r="H26" i="495"/>
  <c r="F10" i="495"/>
  <c r="C10" i="495"/>
  <c r="F9" i="495"/>
  <c r="C9" i="495"/>
  <c r="I41" i="494"/>
  <c r="H41" i="494"/>
  <c r="I40" i="494"/>
  <c r="H40" i="494"/>
  <c r="I39" i="494"/>
  <c r="H39" i="494"/>
  <c r="I38" i="494"/>
  <c r="H38" i="494"/>
  <c r="I37" i="494"/>
  <c r="H37" i="494"/>
  <c r="I36" i="494"/>
  <c r="H36" i="494"/>
  <c r="I35" i="494"/>
  <c r="H35" i="494"/>
  <c r="I34" i="494"/>
  <c r="H34" i="494"/>
  <c r="I33" i="494"/>
  <c r="H33" i="494"/>
  <c r="I32" i="494"/>
  <c r="H32" i="494"/>
  <c r="I31" i="494"/>
  <c r="H31" i="494"/>
  <c r="I30" i="494"/>
  <c r="H30" i="494"/>
  <c r="I29" i="494"/>
  <c r="H29" i="494"/>
  <c r="I28" i="494"/>
  <c r="H28" i="494"/>
  <c r="I27" i="494"/>
  <c r="H27" i="494"/>
  <c r="I26" i="494"/>
  <c r="H26" i="494"/>
  <c r="F10" i="494"/>
  <c r="C10" i="494"/>
  <c r="F9" i="494"/>
  <c r="I41" i="493"/>
  <c r="H41" i="493"/>
  <c r="I40" i="493"/>
  <c r="H40" i="493"/>
  <c r="I39" i="493"/>
  <c r="H39" i="493"/>
  <c r="I38" i="493"/>
  <c r="H38" i="493"/>
  <c r="I37" i="493"/>
  <c r="H37" i="493"/>
  <c r="I36" i="493"/>
  <c r="H36" i="493"/>
  <c r="I35" i="493"/>
  <c r="H35" i="493"/>
  <c r="I34" i="493"/>
  <c r="H34" i="493"/>
  <c r="I33" i="493"/>
  <c r="H33" i="493"/>
  <c r="I32" i="493"/>
  <c r="H32" i="493"/>
  <c r="I31" i="493"/>
  <c r="H31" i="493"/>
  <c r="I30" i="493"/>
  <c r="H30" i="493"/>
  <c r="I29" i="493"/>
  <c r="H29" i="493"/>
  <c r="I28" i="493"/>
  <c r="H28" i="493"/>
  <c r="I27" i="493"/>
  <c r="H27" i="493"/>
  <c r="I26" i="493"/>
  <c r="H26" i="493"/>
  <c r="F10" i="493"/>
  <c r="C10" i="493"/>
  <c r="F9" i="493"/>
  <c r="I41" i="492"/>
  <c r="H41" i="492"/>
  <c r="I40" i="492"/>
  <c r="H40" i="492"/>
  <c r="I39" i="492"/>
  <c r="H39" i="492"/>
  <c r="I38" i="492"/>
  <c r="H38" i="492"/>
  <c r="I37" i="492"/>
  <c r="H37" i="492"/>
  <c r="I36" i="492"/>
  <c r="H36" i="492"/>
  <c r="I35" i="492"/>
  <c r="H35" i="492"/>
  <c r="I34" i="492"/>
  <c r="H34" i="492"/>
  <c r="I33" i="492"/>
  <c r="H33" i="492"/>
  <c r="I32" i="492"/>
  <c r="H32" i="492"/>
  <c r="I31" i="492"/>
  <c r="H31" i="492"/>
  <c r="I30" i="492"/>
  <c r="H30" i="492"/>
  <c r="I29" i="492"/>
  <c r="H29" i="492"/>
  <c r="I28" i="492"/>
  <c r="H28" i="492"/>
  <c r="I27" i="492"/>
  <c r="H27" i="492"/>
  <c r="I26" i="492"/>
  <c r="H26" i="492"/>
  <c r="F10" i="492"/>
  <c r="C10" i="492"/>
  <c r="F9" i="492"/>
  <c r="C9" i="492"/>
  <c r="I41" i="491"/>
  <c r="H41" i="491"/>
  <c r="I40" i="491"/>
  <c r="H40" i="491"/>
  <c r="I39" i="491"/>
  <c r="H39" i="491"/>
  <c r="I38" i="491"/>
  <c r="H38" i="491"/>
  <c r="I37" i="491"/>
  <c r="H37" i="491"/>
  <c r="I36" i="491"/>
  <c r="H36" i="491"/>
  <c r="I35" i="491"/>
  <c r="H35" i="491"/>
  <c r="I34" i="491"/>
  <c r="H34" i="491"/>
  <c r="I33" i="491"/>
  <c r="H33" i="491"/>
  <c r="I32" i="491"/>
  <c r="H32" i="491"/>
  <c r="I31" i="491"/>
  <c r="H31" i="491"/>
  <c r="I30" i="491"/>
  <c r="H30" i="491"/>
  <c r="I29" i="491"/>
  <c r="H29" i="491"/>
  <c r="I28" i="491"/>
  <c r="H28" i="491"/>
  <c r="I27" i="491"/>
  <c r="H27" i="491"/>
  <c r="I26" i="491"/>
  <c r="H26" i="491"/>
  <c r="F10" i="491"/>
  <c r="C10" i="491"/>
  <c r="F9" i="491"/>
  <c r="I41" i="490"/>
  <c r="H41" i="490"/>
  <c r="I40" i="490"/>
  <c r="H40" i="490"/>
  <c r="I39" i="490"/>
  <c r="H39" i="490"/>
  <c r="I38" i="490"/>
  <c r="H38" i="490"/>
  <c r="I37" i="490"/>
  <c r="H37" i="490"/>
  <c r="I36" i="490"/>
  <c r="H36" i="490"/>
  <c r="I35" i="490"/>
  <c r="H35" i="490"/>
  <c r="I34" i="490"/>
  <c r="H34" i="490"/>
  <c r="I33" i="490"/>
  <c r="H33" i="490"/>
  <c r="I32" i="490"/>
  <c r="H32" i="490"/>
  <c r="I31" i="490"/>
  <c r="H31" i="490"/>
  <c r="I30" i="490"/>
  <c r="H30" i="490"/>
  <c r="I29" i="490"/>
  <c r="H29" i="490"/>
  <c r="I28" i="490"/>
  <c r="H28" i="490"/>
  <c r="I27" i="490"/>
  <c r="H27" i="490"/>
  <c r="I26" i="490"/>
  <c r="H26" i="490"/>
  <c r="F10" i="490"/>
  <c r="C10" i="490"/>
  <c r="F9" i="490"/>
  <c r="C9" i="490"/>
  <c r="I41" i="489"/>
  <c r="H41" i="489"/>
  <c r="I40" i="489"/>
  <c r="H40" i="489"/>
  <c r="I39" i="489"/>
  <c r="H39" i="489"/>
  <c r="I38" i="489"/>
  <c r="H38" i="489"/>
  <c r="I37" i="489"/>
  <c r="H37" i="489"/>
  <c r="I36" i="489"/>
  <c r="H36" i="489"/>
  <c r="I35" i="489"/>
  <c r="H35" i="489"/>
  <c r="I34" i="489"/>
  <c r="H34" i="489"/>
  <c r="I33" i="489"/>
  <c r="H33" i="489"/>
  <c r="I32" i="489"/>
  <c r="H32" i="489"/>
  <c r="I31" i="489"/>
  <c r="H31" i="489"/>
  <c r="I30" i="489"/>
  <c r="H30" i="489"/>
  <c r="I29" i="489"/>
  <c r="H29" i="489"/>
  <c r="I28" i="489"/>
  <c r="H28" i="489"/>
  <c r="I27" i="489"/>
  <c r="H27" i="489"/>
  <c r="I26" i="489"/>
  <c r="H26" i="489"/>
  <c r="F10" i="489"/>
  <c r="C10" i="489"/>
  <c r="F9" i="489"/>
  <c r="I41" i="488"/>
  <c r="H41" i="488"/>
  <c r="I40" i="488"/>
  <c r="H40" i="488"/>
  <c r="I39" i="488"/>
  <c r="H39" i="488"/>
  <c r="I38" i="488"/>
  <c r="H38" i="488"/>
  <c r="I37" i="488"/>
  <c r="H37" i="488"/>
  <c r="I36" i="488"/>
  <c r="H36" i="488"/>
  <c r="I35" i="488"/>
  <c r="H35" i="488"/>
  <c r="I34" i="488"/>
  <c r="H34" i="488"/>
  <c r="I33" i="488"/>
  <c r="H33" i="488"/>
  <c r="I32" i="488"/>
  <c r="H32" i="488"/>
  <c r="I31" i="488"/>
  <c r="H31" i="488"/>
  <c r="I30" i="488"/>
  <c r="H30" i="488"/>
  <c r="I29" i="488"/>
  <c r="H29" i="488"/>
  <c r="I28" i="488"/>
  <c r="H28" i="488"/>
  <c r="I27" i="488"/>
  <c r="H27" i="488"/>
  <c r="I26" i="488"/>
  <c r="H26" i="488"/>
  <c r="F10" i="488"/>
  <c r="C10" i="488"/>
  <c r="F9" i="488"/>
  <c r="I41" i="487"/>
  <c r="H41" i="487"/>
  <c r="I40" i="487"/>
  <c r="H40" i="487"/>
  <c r="I39" i="487"/>
  <c r="H39" i="487"/>
  <c r="I38" i="487"/>
  <c r="H38" i="487"/>
  <c r="I37" i="487"/>
  <c r="H37" i="487"/>
  <c r="I36" i="487"/>
  <c r="H36" i="487"/>
  <c r="I35" i="487"/>
  <c r="H35" i="487"/>
  <c r="I34" i="487"/>
  <c r="H34" i="487"/>
  <c r="I33" i="487"/>
  <c r="H33" i="487"/>
  <c r="I32" i="487"/>
  <c r="H32" i="487"/>
  <c r="I31" i="487"/>
  <c r="H31" i="487"/>
  <c r="I30" i="487"/>
  <c r="H30" i="487"/>
  <c r="I29" i="487"/>
  <c r="H29" i="487"/>
  <c r="I28" i="487"/>
  <c r="H28" i="487"/>
  <c r="I27" i="487"/>
  <c r="H27" i="487"/>
  <c r="I26" i="487"/>
  <c r="H26" i="487"/>
  <c r="F10" i="487"/>
  <c r="C10" i="487"/>
  <c r="F9" i="487"/>
  <c r="C9" i="487"/>
  <c r="I41" i="486"/>
  <c r="H41" i="486"/>
  <c r="I40" i="486"/>
  <c r="H40" i="486"/>
  <c r="I39" i="486"/>
  <c r="H39" i="486"/>
  <c r="I38" i="486"/>
  <c r="H38" i="486"/>
  <c r="I37" i="486"/>
  <c r="H37" i="486"/>
  <c r="I36" i="486"/>
  <c r="H36" i="486"/>
  <c r="I35" i="486"/>
  <c r="H35" i="486"/>
  <c r="I34" i="486"/>
  <c r="H34" i="486"/>
  <c r="I33" i="486"/>
  <c r="H33" i="486"/>
  <c r="I32" i="486"/>
  <c r="H32" i="486"/>
  <c r="I31" i="486"/>
  <c r="H31" i="486"/>
  <c r="I30" i="486"/>
  <c r="H30" i="486"/>
  <c r="I29" i="486"/>
  <c r="H29" i="486"/>
  <c r="I28" i="486"/>
  <c r="H28" i="486"/>
  <c r="I27" i="486"/>
  <c r="H27" i="486"/>
  <c r="I26" i="486"/>
  <c r="H26" i="486"/>
  <c r="F10" i="486"/>
  <c r="C10" i="486"/>
  <c r="F9" i="486"/>
  <c r="C9" i="486"/>
  <c r="I41" i="485"/>
  <c r="H41" i="485"/>
  <c r="I40" i="485"/>
  <c r="H40" i="485"/>
  <c r="I39" i="485"/>
  <c r="H39" i="485"/>
  <c r="I38" i="485"/>
  <c r="H38" i="485"/>
  <c r="I37" i="485"/>
  <c r="H37" i="485"/>
  <c r="I36" i="485"/>
  <c r="H36" i="485"/>
  <c r="I35" i="485"/>
  <c r="H35" i="485"/>
  <c r="I34" i="485"/>
  <c r="H34" i="485"/>
  <c r="I33" i="485"/>
  <c r="H33" i="485"/>
  <c r="I32" i="485"/>
  <c r="H32" i="485"/>
  <c r="I31" i="485"/>
  <c r="H31" i="485"/>
  <c r="I30" i="485"/>
  <c r="H30" i="485"/>
  <c r="I29" i="485"/>
  <c r="H29" i="485"/>
  <c r="I28" i="485"/>
  <c r="H28" i="485"/>
  <c r="I27" i="485"/>
  <c r="H27" i="485"/>
  <c r="I26" i="485"/>
  <c r="H26" i="485"/>
  <c r="F10" i="485"/>
  <c r="C10" i="485"/>
  <c r="F9" i="485"/>
  <c r="I41" i="484"/>
  <c r="H41" i="484"/>
  <c r="I40" i="484"/>
  <c r="H40" i="484"/>
  <c r="I39" i="484"/>
  <c r="H39" i="484"/>
  <c r="I38" i="484"/>
  <c r="H38" i="484"/>
  <c r="I37" i="484"/>
  <c r="H37" i="484"/>
  <c r="I36" i="484"/>
  <c r="H36" i="484"/>
  <c r="I35" i="484"/>
  <c r="H35" i="484"/>
  <c r="I34" i="484"/>
  <c r="H34" i="484"/>
  <c r="I33" i="484"/>
  <c r="H33" i="484"/>
  <c r="I32" i="484"/>
  <c r="H32" i="484"/>
  <c r="I31" i="484"/>
  <c r="H31" i="484"/>
  <c r="I30" i="484"/>
  <c r="H30" i="484"/>
  <c r="I29" i="484"/>
  <c r="H29" i="484"/>
  <c r="I28" i="484"/>
  <c r="H28" i="484"/>
  <c r="I27" i="484"/>
  <c r="H27" i="484"/>
  <c r="I26" i="484"/>
  <c r="H26" i="484"/>
  <c r="F10" i="484"/>
  <c r="C10" i="484"/>
  <c r="F9" i="484"/>
  <c r="I41" i="483"/>
  <c r="H41" i="483"/>
  <c r="I40" i="483"/>
  <c r="H40" i="483"/>
  <c r="I39" i="483"/>
  <c r="H39" i="483"/>
  <c r="I38" i="483"/>
  <c r="H38" i="483"/>
  <c r="I37" i="483"/>
  <c r="H37" i="483"/>
  <c r="I36" i="483"/>
  <c r="H36" i="483"/>
  <c r="I35" i="483"/>
  <c r="H35" i="483"/>
  <c r="I34" i="483"/>
  <c r="H34" i="483"/>
  <c r="I33" i="483"/>
  <c r="H33" i="483"/>
  <c r="I32" i="483"/>
  <c r="H32" i="483"/>
  <c r="I31" i="483"/>
  <c r="H31" i="483"/>
  <c r="I30" i="483"/>
  <c r="H30" i="483"/>
  <c r="I29" i="483"/>
  <c r="H29" i="483"/>
  <c r="I28" i="483"/>
  <c r="H28" i="483"/>
  <c r="I27" i="483"/>
  <c r="H27" i="483"/>
  <c r="I26" i="483"/>
  <c r="H26" i="483"/>
  <c r="F10" i="483"/>
  <c r="C10" i="483"/>
  <c r="F9" i="483"/>
  <c r="C9" i="483"/>
  <c r="F10" i="482"/>
  <c r="C10" i="482"/>
  <c r="F9" i="482"/>
  <c r="F10" i="481"/>
  <c r="C10" i="481"/>
  <c r="F9" i="481"/>
  <c r="I41" i="480"/>
  <c r="H41" i="480"/>
  <c r="I40" i="480"/>
  <c r="H40" i="480"/>
  <c r="I39" i="480"/>
  <c r="H39" i="480"/>
  <c r="I38" i="480"/>
  <c r="H38" i="480"/>
  <c r="I37" i="480"/>
  <c r="H37" i="480"/>
  <c r="I36" i="480"/>
  <c r="H36" i="480"/>
  <c r="I35" i="480"/>
  <c r="H35" i="480"/>
  <c r="I34" i="480"/>
  <c r="H34" i="480"/>
  <c r="I33" i="480"/>
  <c r="H33" i="480"/>
  <c r="I32" i="480"/>
  <c r="H32" i="480"/>
  <c r="I31" i="480"/>
  <c r="H31" i="480"/>
  <c r="I30" i="480"/>
  <c r="H30" i="480"/>
  <c r="I29" i="480"/>
  <c r="H29" i="480"/>
  <c r="I28" i="480"/>
  <c r="H28" i="480"/>
  <c r="I27" i="480"/>
  <c r="H27" i="480"/>
  <c r="I26" i="480"/>
  <c r="H26" i="480"/>
  <c r="F10" i="480"/>
  <c r="C10" i="480"/>
  <c r="F9" i="480"/>
  <c r="I41" i="479"/>
  <c r="H41" i="479"/>
  <c r="I40" i="479"/>
  <c r="H40" i="479"/>
  <c r="I39" i="479"/>
  <c r="H39" i="479"/>
  <c r="I38" i="479"/>
  <c r="H38" i="479"/>
  <c r="I37" i="479"/>
  <c r="H37" i="479"/>
  <c r="I36" i="479"/>
  <c r="H36" i="479"/>
  <c r="I35" i="479"/>
  <c r="H35" i="479"/>
  <c r="I34" i="479"/>
  <c r="H34" i="479"/>
  <c r="I33" i="479"/>
  <c r="H33" i="479"/>
  <c r="I32" i="479"/>
  <c r="H32" i="479"/>
  <c r="I31" i="479"/>
  <c r="H31" i="479"/>
  <c r="I30" i="479"/>
  <c r="H30" i="479"/>
  <c r="I29" i="479"/>
  <c r="H29" i="479"/>
  <c r="H28" i="479"/>
  <c r="I28" i="479" s="1"/>
  <c r="I27" i="479"/>
  <c r="H27" i="479"/>
  <c r="I26" i="479"/>
  <c r="H26" i="479"/>
  <c r="F10" i="479"/>
  <c r="F9" i="479"/>
  <c r="I41" i="478"/>
  <c r="H41" i="478"/>
  <c r="I40" i="478"/>
  <c r="H40" i="478"/>
  <c r="I39" i="478"/>
  <c r="H39" i="478"/>
  <c r="I38" i="478"/>
  <c r="H38" i="478"/>
  <c r="I37" i="478"/>
  <c r="H37" i="478"/>
  <c r="I36" i="478"/>
  <c r="H36" i="478"/>
  <c r="I35" i="478"/>
  <c r="H35" i="478"/>
  <c r="I34" i="478"/>
  <c r="H34" i="478"/>
  <c r="I33" i="478"/>
  <c r="H33" i="478"/>
  <c r="I32" i="478"/>
  <c r="H32" i="478"/>
  <c r="I31" i="478"/>
  <c r="H31" i="478"/>
  <c r="I30" i="478"/>
  <c r="H30" i="478"/>
  <c r="I29" i="478"/>
  <c r="H29" i="478"/>
  <c r="I28" i="478"/>
  <c r="H28" i="478"/>
  <c r="H27" i="478"/>
  <c r="I26" i="478"/>
  <c r="H26" i="478"/>
  <c r="F10" i="478"/>
  <c r="C10" i="478"/>
  <c r="F9" i="478"/>
  <c r="C9" i="478"/>
  <c r="I41" i="477"/>
  <c r="H41" i="477"/>
  <c r="I40" i="477"/>
  <c r="H40" i="477"/>
  <c r="I39" i="477"/>
  <c r="H39" i="477"/>
  <c r="I38" i="477"/>
  <c r="H38" i="477"/>
  <c r="I37" i="477"/>
  <c r="H37" i="477"/>
  <c r="I36" i="477"/>
  <c r="H36" i="477"/>
  <c r="I35" i="477"/>
  <c r="H35" i="477"/>
  <c r="I34" i="477"/>
  <c r="H34" i="477"/>
  <c r="I33" i="477"/>
  <c r="H33" i="477"/>
  <c r="I32" i="477"/>
  <c r="H32" i="477"/>
  <c r="I31" i="477"/>
  <c r="H31" i="477"/>
  <c r="I30" i="477"/>
  <c r="H30" i="477"/>
  <c r="I29" i="477"/>
  <c r="H29" i="477"/>
  <c r="I28" i="477"/>
  <c r="H28" i="477"/>
  <c r="I27" i="477"/>
  <c r="H27" i="477"/>
  <c r="I26" i="477"/>
  <c r="H26" i="477"/>
  <c r="F10" i="477"/>
  <c r="C10" i="477"/>
  <c r="F9" i="477"/>
  <c r="C9" i="477"/>
  <c r="I41" i="476"/>
  <c r="I40" i="476"/>
  <c r="I39" i="476"/>
  <c r="I38" i="476"/>
  <c r="I37" i="476"/>
  <c r="I36" i="476"/>
  <c r="I35" i="476"/>
  <c r="I34" i="476"/>
  <c r="I33" i="476"/>
  <c r="I32" i="476"/>
  <c r="I31" i="476"/>
  <c r="I30" i="476"/>
  <c r="I29" i="476"/>
  <c r="I28" i="476"/>
  <c r="I27" i="476"/>
  <c r="I26" i="476"/>
  <c r="F10" i="476"/>
  <c r="C10" i="476"/>
  <c r="F9" i="476"/>
  <c r="C9" i="476"/>
  <c r="I41" i="475"/>
  <c r="H41" i="475"/>
  <c r="I40" i="475"/>
  <c r="H40" i="475"/>
  <c r="I39" i="475"/>
  <c r="H39" i="475"/>
  <c r="I38" i="475"/>
  <c r="H38" i="475"/>
  <c r="I37" i="475"/>
  <c r="H37" i="475"/>
  <c r="I36" i="475"/>
  <c r="H36" i="475"/>
  <c r="I35" i="475"/>
  <c r="H35" i="475"/>
  <c r="I34" i="475"/>
  <c r="H34" i="475"/>
  <c r="I33" i="475"/>
  <c r="H33" i="475"/>
  <c r="I32" i="475"/>
  <c r="H32" i="475"/>
  <c r="I31" i="475"/>
  <c r="H31" i="475"/>
  <c r="I30" i="475"/>
  <c r="H30" i="475"/>
  <c r="I29" i="475"/>
  <c r="H29" i="475"/>
  <c r="I28" i="475"/>
  <c r="H28" i="475"/>
  <c r="I27" i="475"/>
  <c r="H27" i="475"/>
  <c r="I26" i="475"/>
  <c r="H26" i="475"/>
  <c r="F10" i="475"/>
  <c r="C10" i="475"/>
  <c r="F9" i="475"/>
  <c r="C9" i="475"/>
  <c r="I41" i="474"/>
  <c r="H41" i="474"/>
  <c r="I40" i="474"/>
  <c r="H40" i="474"/>
  <c r="I39" i="474"/>
  <c r="H39" i="474"/>
  <c r="I38" i="474"/>
  <c r="H38" i="474"/>
  <c r="I37" i="474"/>
  <c r="H37" i="474"/>
  <c r="I36" i="474"/>
  <c r="H36" i="474"/>
  <c r="I35" i="474"/>
  <c r="H35" i="474"/>
  <c r="I34" i="474"/>
  <c r="H34" i="474"/>
  <c r="I33" i="474"/>
  <c r="H33" i="474"/>
  <c r="I32" i="474"/>
  <c r="H32" i="474"/>
  <c r="I31" i="474"/>
  <c r="H31" i="474"/>
  <c r="I30" i="474"/>
  <c r="H30" i="474"/>
  <c r="I29" i="474"/>
  <c r="H29" i="474"/>
  <c r="I28" i="474"/>
  <c r="H28" i="474"/>
  <c r="I27" i="474"/>
  <c r="H27" i="474"/>
  <c r="I26" i="474"/>
  <c r="H26" i="474"/>
  <c r="F10" i="474"/>
  <c r="C10" i="474"/>
  <c r="F9" i="474"/>
  <c r="C9" i="474"/>
  <c r="I41" i="473"/>
  <c r="H41" i="473"/>
  <c r="I40" i="473"/>
  <c r="H40" i="473"/>
  <c r="I39" i="473"/>
  <c r="H39" i="473"/>
  <c r="I38" i="473"/>
  <c r="H38" i="473"/>
  <c r="I37" i="473"/>
  <c r="H37" i="473"/>
  <c r="I36" i="473"/>
  <c r="H36" i="473"/>
  <c r="I35" i="473"/>
  <c r="H35" i="473"/>
  <c r="I34" i="473"/>
  <c r="H34" i="473"/>
  <c r="I33" i="473"/>
  <c r="H33" i="473"/>
  <c r="I32" i="473"/>
  <c r="H32" i="473"/>
  <c r="I31" i="473"/>
  <c r="H31" i="473"/>
  <c r="I30" i="473"/>
  <c r="H30" i="473"/>
  <c r="I29" i="473"/>
  <c r="H29" i="473"/>
  <c r="I28" i="473"/>
  <c r="H28" i="473"/>
  <c r="I27" i="473"/>
  <c r="H27" i="473"/>
  <c r="I26" i="473"/>
  <c r="H26" i="473"/>
  <c r="F10" i="473"/>
  <c r="C10" i="473"/>
  <c r="F9" i="473"/>
  <c r="I41" i="472"/>
  <c r="H41" i="472"/>
  <c r="I40" i="472"/>
  <c r="H40" i="472"/>
  <c r="I39" i="472"/>
  <c r="H39" i="472"/>
  <c r="I38" i="472"/>
  <c r="H38" i="472"/>
  <c r="I37" i="472"/>
  <c r="H37" i="472"/>
  <c r="I36" i="472"/>
  <c r="H36" i="472"/>
  <c r="I35" i="472"/>
  <c r="H35" i="472"/>
  <c r="I34" i="472"/>
  <c r="H34" i="472"/>
  <c r="I33" i="472"/>
  <c r="H33" i="472"/>
  <c r="I32" i="472"/>
  <c r="H32" i="472"/>
  <c r="I31" i="472"/>
  <c r="H31" i="472"/>
  <c r="I30" i="472"/>
  <c r="H30" i="472"/>
  <c r="I29" i="472"/>
  <c r="H29" i="472"/>
  <c r="I28" i="472"/>
  <c r="H28" i="472"/>
  <c r="I27" i="472"/>
  <c r="H27" i="472"/>
  <c r="I26" i="472"/>
  <c r="H26" i="472"/>
  <c r="F10" i="472"/>
  <c r="C10" i="472"/>
  <c r="F9" i="472"/>
  <c r="C9" i="472"/>
  <c r="I41" i="471"/>
  <c r="H41" i="471"/>
  <c r="I40" i="471"/>
  <c r="H40" i="471"/>
  <c r="I39" i="471"/>
  <c r="H39" i="471"/>
  <c r="I38" i="471"/>
  <c r="H38" i="471"/>
  <c r="I37" i="471"/>
  <c r="H37" i="471"/>
  <c r="I36" i="471"/>
  <c r="H36" i="471"/>
  <c r="I35" i="471"/>
  <c r="H35" i="471"/>
  <c r="I34" i="471"/>
  <c r="H34" i="471"/>
  <c r="I33" i="471"/>
  <c r="H33" i="471"/>
  <c r="I32" i="471"/>
  <c r="H32" i="471"/>
  <c r="I31" i="471"/>
  <c r="H31" i="471"/>
  <c r="I30" i="471"/>
  <c r="H30" i="471"/>
  <c r="I29" i="471"/>
  <c r="H29" i="471"/>
  <c r="I28" i="471"/>
  <c r="H28" i="471"/>
  <c r="I27" i="471"/>
  <c r="H27" i="471"/>
  <c r="I26" i="471"/>
  <c r="H26" i="471"/>
  <c r="F10" i="471"/>
  <c r="C10" i="471"/>
  <c r="F9" i="471"/>
  <c r="C9" i="471"/>
  <c r="J45" i="470"/>
  <c r="J42" i="470"/>
  <c r="J39" i="470"/>
  <c r="J38" i="470"/>
  <c r="J37" i="470"/>
  <c r="J36" i="470"/>
  <c r="J35" i="470"/>
  <c r="J34" i="470"/>
  <c r="J33" i="470"/>
  <c r="J32" i="470"/>
  <c r="J31" i="470"/>
  <c r="J30" i="470"/>
  <c r="J29" i="470"/>
  <c r="J28" i="470"/>
  <c r="J27" i="470"/>
  <c r="J26" i="470"/>
  <c r="G10" i="470"/>
  <c r="C10" i="470"/>
  <c r="G9" i="470"/>
  <c r="C9" i="470"/>
  <c r="I41" i="469"/>
  <c r="H41" i="469"/>
  <c r="I40" i="469"/>
  <c r="H40" i="469"/>
  <c r="I39" i="469"/>
  <c r="H39" i="469"/>
  <c r="I38" i="469"/>
  <c r="H38" i="469"/>
  <c r="I37" i="469"/>
  <c r="H37" i="469"/>
  <c r="I36" i="469"/>
  <c r="H36" i="469"/>
  <c r="I35" i="469"/>
  <c r="H35" i="469"/>
  <c r="I34" i="469"/>
  <c r="H34" i="469"/>
  <c r="I33" i="469"/>
  <c r="H33" i="469"/>
  <c r="I32" i="469"/>
  <c r="H32" i="469"/>
  <c r="I31" i="469"/>
  <c r="H31" i="469"/>
  <c r="I30" i="469"/>
  <c r="H30" i="469"/>
  <c r="I29" i="469"/>
  <c r="H29" i="469"/>
  <c r="I28" i="469"/>
  <c r="H28" i="469"/>
  <c r="I27" i="469"/>
  <c r="H27" i="469"/>
  <c r="I26" i="469"/>
  <c r="H26" i="469"/>
  <c r="F10" i="469"/>
  <c r="C10" i="469"/>
  <c r="F9" i="469"/>
  <c r="C9" i="469"/>
  <c r="I41" i="468"/>
  <c r="H41" i="468"/>
  <c r="I40" i="468"/>
  <c r="H40" i="468"/>
  <c r="I39" i="468"/>
  <c r="H39" i="468"/>
  <c r="I38" i="468"/>
  <c r="H38" i="468"/>
  <c r="I37" i="468"/>
  <c r="H37" i="468"/>
  <c r="I36" i="468"/>
  <c r="H36" i="468"/>
  <c r="I35" i="468"/>
  <c r="H35" i="468"/>
  <c r="I34" i="468"/>
  <c r="H34" i="468"/>
  <c r="I33" i="468"/>
  <c r="H33" i="468"/>
  <c r="I32" i="468"/>
  <c r="H32" i="468"/>
  <c r="I31" i="468"/>
  <c r="H31" i="468"/>
  <c r="I30" i="468"/>
  <c r="H30" i="468"/>
  <c r="I29" i="468"/>
  <c r="H29" i="468"/>
  <c r="I28" i="468"/>
  <c r="H28" i="468"/>
  <c r="I27" i="468"/>
  <c r="H27" i="468"/>
  <c r="I26" i="468"/>
  <c r="H26" i="468"/>
  <c r="F10" i="468"/>
  <c r="F9" i="468"/>
  <c r="I41" i="467"/>
  <c r="I40" i="467"/>
  <c r="I39" i="467"/>
  <c r="I38" i="467"/>
  <c r="I37" i="467"/>
  <c r="I36" i="467"/>
  <c r="I35" i="467"/>
  <c r="I34" i="467"/>
  <c r="I33" i="467"/>
  <c r="I32" i="467"/>
  <c r="I31" i="467"/>
  <c r="I30" i="467"/>
  <c r="I29" i="467"/>
  <c r="I28" i="467"/>
  <c r="I27" i="467"/>
  <c r="I26" i="467"/>
  <c r="F10" i="467"/>
  <c r="C10" i="467"/>
  <c r="F9" i="467"/>
  <c r="I41" i="466"/>
  <c r="H41" i="466"/>
  <c r="I40" i="466"/>
  <c r="H40" i="466"/>
  <c r="I39" i="466"/>
  <c r="H39" i="466"/>
  <c r="I38" i="466"/>
  <c r="H38" i="466"/>
  <c r="I37" i="466"/>
  <c r="H37" i="466"/>
  <c r="I36" i="466"/>
  <c r="H36" i="466"/>
  <c r="I35" i="466"/>
  <c r="H35" i="466"/>
  <c r="I34" i="466"/>
  <c r="H34" i="466"/>
  <c r="I33" i="466"/>
  <c r="H33" i="466"/>
  <c r="I32" i="466"/>
  <c r="H32" i="466"/>
  <c r="I31" i="466"/>
  <c r="H31" i="466"/>
  <c r="I30" i="466"/>
  <c r="H30" i="466"/>
  <c r="I29" i="466"/>
  <c r="H29" i="466"/>
  <c r="I28" i="466"/>
  <c r="H28" i="466"/>
  <c r="I27" i="466"/>
  <c r="H27" i="466"/>
  <c r="I26" i="466"/>
  <c r="H26" i="466"/>
  <c r="F10" i="466"/>
  <c r="F9" i="466"/>
  <c r="I41" i="465"/>
  <c r="H41" i="465"/>
  <c r="I40" i="465"/>
  <c r="H40" i="465"/>
  <c r="I39" i="465"/>
  <c r="H39" i="465"/>
  <c r="I38" i="465"/>
  <c r="H38" i="465"/>
  <c r="I37" i="465"/>
  <c r="H37" i="465"/>
  <c r="I36" i="465"/>
  <c r="H36" i="465"/>
  <c r="F10" i="465"/>
  <c r="C10" i="465"/>
  <c r="F9" i="465"/>
  <c r="I41" i="464"/>
  <c r="H41" i="464"/>
  <c r="I40" i="464"/>
  <c r="H40" i="464"/>
  <c r="I39" i="464"/>
  <c r="H39" i="464"/>
  <c r="I38" i="464"/>
  <c r="H38" i="464"/>
  <c r="I37" i="464"/>
  <c r="H37" i="464"/>
  <c r="I36" i="464"/>
  <c r="H36" i="464"/>
  <c r="I35" i="464"/>
  <c r="H35" i="464"/>
  <c r="I34" i="464"/>
  <c r="H34" i="464"/>
  <c r="I33" i="464"/>
  <c r="H33" i="464"/>
  <c r="I32" i="464"/>
  <c r="H32" i="464"/>
  <c r="I31" i="464"/>
  <c r="H31" i="464"/>
  <c r="I30" i="464"/>
  <c r="H30" i="464"/>
  <c r="I29" i="464"/>
  <c r="H29" i="464"/>
  <c r="I28" i="464"/>
  <c r="H28" i="464"/>
  <c r="I27" i="464"/>
  <c r="H27" i="464"/>
  <c r="I26" i="464"/>
  <c r="H26" i="464"/>
  <c r="F10" i="464"/>
  <c r="C10" i="464"/>
  <c r="F9" i="464"/>
  <c r="I41" i="463"/>
  <c r="H41" i="463"/>
  <c r="I40" i="463"/>
  <c r="H40" i="463"/>
  <c r="I39" i="463"/>
  <c r="H39" i="463"/>
  <c r="I38" i="463"/>
  <c r="H38" i="463"/>
  <c r="I37" i="463"/>
  <c r="H37" i="463"/>
  <c r="I36" i="463"/>
  <c r="H36" i="463"/>
  <c r="I35" i="463"/>
  <c r="H35" i="463"/>
  <c r="I34" i="463"/>
  <c r="H34" i="463"/>
  <c r="I33" i="463"/>
  <c r="H33" i="463"/>
  <c r="I32" i="463"/>
  <c r="H32" i="463"/>
  <c r="I31" i="463"/>
  <c r="H31" i="463"/>
  <c r="I30" i="463"/>
  <c r="H30" i="463"/>
  <c r="I29" i="463"/>
  <c r="H29" i="463"/>
  <c r="I28" i="463"/>
  <c r="H28" i="463"/>
  <c r="I27" i="463"/>
  <c r="H27" i="463"/>
  <c r="I26" i="463"/>
  <c r="H26" i="463"/>
  <c r="F10" i="463"/>
  <c r="C10" i="463"/>
  <c r="F9" i="463"/>
  <c r="I41" i="462"/>
  <c r="H41" i="462"/>
  <c r="I40" i="462"/>
  <c r="H40" i="462"/>
  <c r="I39" i="462"/>
  <c r="H39" i="462"/>
  <c r="I38" i="462"/>
  <c r="H38" i="462"/>
  <c r="I37" i="462"/>
  <c r="H37" i="462"/>
  <c r="I36" i="462"/>
  <c r="H36" i="462"/>
  <c r="I35" i="462"/>
  <c r="H35" i="462"/>
  <c r="I34" i="462"/>
  <c r="H34" i="462"/>
  <c r="I33" i="462"/>
  <c r="H33" i="462"/>
  <c r="I32" i="462"/>
  <c r="H32" i="462"/>
  <c r="I31" i="462"/>
  <c r="H31" i="462"/>
  <c r="I30" i="462"/>
  <c r="H30" i="462"/>
  <c r="I29" i="462"/>
  <c r="H29" i="462"/>
  <c r="I28" i="462"/>
  <c r="H28" i="462"/>
  <c r="I27" i="462"/>
  <c r="H27" i="462"/>
  <c r="I26" i="462"/>
  <c r="H26" i="462"/>
  <c r="F10" i="462"/>
  <c r="C10" i="462"/>
  <c r="F9" i="462"/>
  <c r="I41" i="461"/>
  <c r="H41" i="461"/>
  <c r="I40" i="461"/>
  <c r="H40" i="461"/>
  <c r="I39" i="461"/>
  <c r="H39" i="461"/>
  <c r="I38" i="461"/>
  <c r="H38" i="461"/>
  <c r="I37" i="461"/>
  <c r="H37" i="461"/>
  <c r="I36" i="461"/>
  <c r="H36" i="461"/>
  <c r="I35" i="461"/>
  <c r="H35" i="461"/>
  <c r="I34" i="461"/>
  <c r="H34" i="461"/>
  <c r="I33" i="461"/>
  <c r="H33" i="461"/>
  <c r="I32" i="461"/>
  <c r="H32" i="461"/>
  <c r="I31" i="461"/>
  <c r="H31" i="461"/>
  <c r="I30" i="461"/>
  <c r="H30" i="461"/>
  <c r="I29" i="461"/>
  <c r="H29" i="461"/>
  <c r="H28" i="461"/>
  <c r="I26" i="461"/>
  <c r="H26" i="461"/>
  <c r="F10" i="461"/>
  <c r="C10" i="461"/>
  <c r="F9" i="461"/>
  <c r="J41" i="460"/>
  <c r="I41" i="460"/>
  <c r="J40" i="460"/>
  <c r="I40" i="460"/>
  <c r="J39" i="460"/>
  <c r="I39" i="460"/>
  <c r="J38" i="460"/>
  <c r="I38" i="460"/>
  <c r="J37" i="460"/>
  <c r="I37" i="460"/>
  <c r="J36" i="460"/>
  <c r="I36" i="460"/>
  <c r="J35" i="460"/>
  <c r="I35" i="460"/>
  <c r="J34" i="460"/>
  <c r="I34" i="460"/>
  <c r="J33" i="460"/>
  <c r="I33" i="460"/>
  <c r="J32" i="460"/>
  <c r="I32" i="460"/>
  <c r="J31" i="460"/>
  <c r="I31" i="460"/>
  <c r="J30" i="460"/>
  <c r="I30" i="460"/>
  <c r="J29" i="460"/>
  <c r="I29" i="460"/>
  <c r="J28" i="460"/>
  <c r="I28" i="460"/>
  <c r="J27" i="460"/>
  <c r="I27" i="460"/>
  <c r="J26" i="460"/>
  <c r="I26" i="460"/>
  <c r="G10" i="460"/>
  <c r="C10" i="460"/>
  <c r="G9" i="460"/>
  <c r="C9" i="460"/>
  <c r="I41" i="459"/>
  <c r="H41" i="459"/>
  <c r="I40" i="459"/>
  <c r="H40" i="459"/>
  <c r="I39" i="459"/>
  <c r="H39" i="459"/>
  <c r="I38" i="459"/>
  <c r="H38" i="459"/>
  <c r="I37" i="459"/>
  <c r="H37" i="459"/>
  <c r="I36" i="459"/>
  <c r="H36" i="459"/>
  <c r="I35" i="459"/>
  <c r="H35" i="459"/>
  <c r="I34" i="459"/>
  <c r="H34" i="459"/>
  <c r="I33" i="459"/>
  <c r="H33" i="459"/>
  <c r="I32" i="459"/>
  <c r="H32" i="459"/>
  <c r="I31" i="459"/>
  <c r="H31" i="459"/>
  <c r="I30" i="459"/>
  <c r="H30" i="459"/>
  <c r="I29" i="459"/>
  <c r="H29" i="459"/>
  <c r="I28" i="459"/>
  <c r="H28" i="459"/>
  <c r="I27" i="459"/>
  <c r="H27" i="459"/>
  <c r="I26" i="459"/>
  <c r="H26" i="459"/>
  <c r="F10" i="459"/>
  <c r="C10" i="459"/>
  <c r="F9" i="459"/>
  <c r="C9" i="459"/>
  <c r="J41" i="458"/>
  <c r="I41" i="458"/>
  <c r="J40" i="458"/>
  <c r="I40" i="458"/>
  <c r="J39" i="458"/>
  <c r="I39" i="458"/>
  <c r="J38" i="458"/>
  <c r="I38" i="458"/>
  <c r="J37" i="458"/>
  <c r="I37" i="458"/>
  <c r="J36" i="458"/>
  <c r="I36" i="458"/>
  <c r="J35" i="458"/>
  <c r="I35" i="458"/>
  <c r="J34" i="458"/>
  <c r="I34" i="458"/>
  <c r="J33" i="458"/>
  <c r="I33" i="458"/>
  <c r="I32" i="458"/>
  <c r="J32" i="458" s="1"/>
  <c r="I31" i="458"/>
  <c r="J31" i="458" s="1"/>
  <c r="I30" i="458"/>
  <c r="J30" i="458" s="1"/>
  <c r="I29" i="458"/>
  <c r="J29" i="458" s="1"/>
  <c r="I28" i="458"/>
  <c r="J28" i="458" s="1"/>
  <c r="I27" i="458"/>
  <c r="J27" i="458" s="1"/>
  <c r="J26" i="458"/>
  <c r="I26" i="458"/>
  <c r="G10" i="458"/>
  <c r="C10" i="458"/>
  <c r="G9" i="458"/>
  <c r="C9" i="458"/>
  <c r="I41" i="457"/>
  <c r="H41" i="457"/>
  <c r="I40" i="457"/>
  <c r="H40" i="457"/>
  <c r="I39" i="457"/>
  <c r="H39" i="457"/>
  <c r="I38" i="457"/>
  <c r="H38" i="457"/>
  <c r="I37" i="457"/>
  <c r="H37" i="457"/>
  <c r="I36" i="457"/>
  <c r="H36" i="457"/>
  <c r="I35" i="457"/>
  <c r="H35" i="457"/>
  <c r="I34" i="457"/>
  <c r="H34" i="457"/>
  <c r="I33" i="457"/>
  <c r="H33" i="457"/>
  <c r="I32" i="457"/>
  <c r="H32" i="457"/>
  <c r="I31" i="457"/>
  <c r="H31" i="457"/>
  <c r="I30" i="457"/>
  <c r="H30" i="457"/>
  <c r="I29" i="457"/>
  <c r="H29" i="457"/>
  <c r="I28" i="457"/>
  <c r="H28" i="457"/>
  <c r="I27" i="457"/>
  <c r="H27" i="457"/>
  <c r="I26" i="457"/>
  <c r="H26" i="457"/>
  <c r="I21" i="457"/>
  <c r="F10" i="457"/>
  <c r="C10" i="457"/>
  <c r="F9" i="457"/>
  <c r="C9" i="457"/>
  <c r="G26" i="2"/>
  <c r="G30" i="2"/>
  <c r="G27" i="2"/>
  <c r="G174" i="2"/>
  <c r="G145" i="2"/>
  <c r="G144" i="2"/>
  <c r="G143" i="2"/>
  <c r="G142" i="2"/>
  <c r="G141" i="2"/>
  <c r="G140" i="2"/>
  <c r="G139" i="2"/>
  <c r="G138" i="2"/>
  <c r="G137" i="2"/>
  <c r="G182" i="2"/>
  <c r="G134" i="2"/>
  <c r="G133" i="2"/>
  <c r="G132" i="2"/>
  <c r="G131" i="2"/>
  <c r="G130" i="2"/>
  <c r="G84" i="2"/>
  <c r="G129" i="2"/>
  <c r="G128" i="2"/>
  <c r="G127" i="2"/>
  <c r="G126" i="2"/>
  <c r="G125" i="2"/>
  <c r="G167" i="2"/>
  <c r="G166" i="2"/>
  <c r="G181" i="2"/>
  <c r="G172" i="2"/>
  <c r="G119" i="2"/>
  <c r="G118" i="2"/>
  <c r="G117" i="2"/>
  <c r="G116" i="2"/>
  <c r="G115" i="2"/>
  <c r="G113" i="2"/>
  <c r="G112" i="2"/>
  <c r="G111" i="2"/>
  <c r="G110" i="2"/>
  <c r="G114" i="2"/>
  <c r="G171" i="2"/>
  <c r="G106" i="2"/>
  <c r="G105" i="2"/>
  <c r="G104" i="2"/>
  <c r="G109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65" i="2"/>
  <c r="G64" i="2"/>
  <c r="G62" i="2"/>
  <c r="G153" i="2"/>
  <c r="G59" i="2"/>
  <c r="G58" i="2"/>
  <c r="G57" i="2"/>
  <c r="G56" i="2"/>
  <c r="G151" i="2"/>
  <c r="G54" i="2"/>
  <c r="G210" i="2"/>
  <c r="G209" i="2"/>
  <c r="G74" i="2"/>
  <c r="G72" i="2"/>
  <c r="G71" i="2"/>
  <c r="G73" i="2"/>
  <c r="G46" i="2"/>
  <c r="G44" i="2"/>
  <c r="G45" i="2"/>
  <c r="G43" i="2"/>
  <c r="G70" i="2"/>
  <c r="G69" i="2"/>
  <c r="G42" i="2"/>
  <c r="G61" i="2"/>
  <c r="G41" i="2"/>
  <c r="G63" i="2"/>
  <c r="G40" i="2"/>
  <c r="G150" i="2"/>
  <c r="G149" i="2"/>
  <c r="G107" i="2"/>
  <c r="G39" i="2"/>
  <c r="G38" i="2"/>
  <c r="G68" i="2"/>
  <c r="G67" i="2"/>
  <c r="G152" i="2"/>
  <c r="G37" i="2"/>
  <c r="G48" i="2"/>
  <c r="G47" i="2"/>
  <c r="G86" i="2"/>
  <c r="G19" i="2"/>
  <c r="G35" i="2"/>
  <c r="G36" i="2"/>
  <c r="G66" i="2"/>
  <c r="G25" i="2"/>
  <c r="G32" i="2"/>
  <c r="G31" i="2"/>
  <c r="G29" i="2"/>
  <c r="G22" i="2"/>
  <c r="G24" i="2"/>
  <c r="G23" i="2"/>
  <c r="G21" i="2"/>
  <c r="G20" i="2"/>
  <c r="G55" i="2"/>
  <c r="G18" i="2"/>
  <c r="G16" i="2"/>
  <c r="G17" i="2"/>
  <c r="G14" i="2"/>
  <c r="G108" i="2"/>
  <c r="G10" i="2"/>
  <c r="G9" i="2"/>
  <c r="H9" i="2"/>
  <c r="I43" i="555" l="1"/>
  <c r="I48" i="555" s="1"/>
  <c r="K47" i="470"/>
  <c r="K52" i="470" s="1"/>
  <c r="I43" i="554"/>
  <c r="I48" i="554" s="1"/>
  <c r="I43" i="553"/>
  <c r="I48" i="553" s="1"/>
  <c r="I43" i="552"/>
  <c r="I48" i="552" s="1"/>
  <c r="I43" i="551"/>
  <c r="I48" i="551" s="1"/>
  <c r="I43" i="550"/>
  <c r="I48" i="550" s="1"/>
  <c r="I43" i="549"/>
  <c r="I48" i="549" s="1"/>
  <c r="I43" i="548"/>
  <c r="I48" i="548" s="1"/>
  <c r="I43" i="547"/>
  <c r="I48" i="547" s="1"/>
  <c r="I43" i="546"/>
  <c r="I48" i="546" s="1"/>
  <c r="I43" i="545"/>
  <c r="I48" i="545" s="1"/>
  <c r="I43" i="544"/>
  <c r="I48" i="544" s="1"/>
  <c r="I43" i="543"/>
  <c r="I48" i="543" s="1"/>
  <c r="I43" i="542"/>
  <c r="I48" i="542" s="1"/>
  <c r="I43" i="540"/>
  <c r="I48" i="540" s="1"/>
  <c r="I43" i="539"/>
  <c r="I48" i="539" s="1"/>
  <c r="I43" i="541"/>
  <c r="I48" i="541" s="1"/>
  <c r="I43" i="538"/>
  <c r="I48" i="538" s="1"/>
  <c r="I43" i="537"/>
  <c r="I48" i="537" s="1"/>
  <c r="I43" i="536"/>
  <c r="I48" i="536" s="1"/>
  <c r="I43" i="534"/>
  <c r="I48" i="534" s="1"/>
  <c r="I43" i="535"/>
  <c r="I48" i="535" s="1"/>
  <c r="I43" i="533"/>
  <c r="I48" i="533" s="1"/>
  <c r="I43" i="532"/>
  <c r="I48" i="532" s="1"/>
  <c r="I43" i="531"/>
  <c r="I48" i="531" s="1"/>
  <c r="I43" i="530"/>
  <c r="I48" i="530" s="1"/>
  <c r="I43" i="529"/>
  <c r="I48" i="529" s="1"/>
  <c r="I43" i="528"/>
  <c r="I48" i="528" s="1"/>
  <c r="I43" i="527"/>
  <c r="I48" i="527" s="1"/>
  <c r="I43" i="526"/>
  <c r="I48" i="526" s="1"/>
  <c r="I43" i="524"/>
  <c r="I48" i="524" s="1"/>
  <c r="I43" i="525"/>
  <c r="I48" i="525" s="1"/>
  <c r="I43" i="523"/>
  <c r="I48" i="523" s="1"/>
  <c r="I43" i="521"/>
  <c r="I48" i="521" s="1"/>
  <c r="I43" i="522"/>
  <c r="I48" i="522" s="1"/>
  <c r="I43" i="520"/>
  <c r="I48" i="520" s="1"/>
  <c r="I43" i="519"/>
  <c r="I48" i="519" s="1"/>
  <c r="I43" i="518"/>
  <c r="I48" i="518" s="1"/>
  <c r="I43" i="517"/>
  <c r="I48" i="517" s="1"/>
  <c r="I43" i="516"/>
  <c r="I48" i="516" s="1"/>
  <c r="I43" i="515"/>
  <c r="I48" i="515" s="1"/>
  <c r="I43" i="514"/>
  <c r="I48" i="514" s="1"/>
  <c r="I43" i="513"/>
  <c r="I48" i="513" s="1"/>
  <c r="I43" i="511"/>
  <c r="I48" i="511" s="1"/>
  <c r="I43" i="512"/>
  <c r="I48" i="512" s="1"/>
  <c r="I43" i="510"/>
  <c r="I48" i="510" s="1"/>
  <c r="I43" i="509"/>
  <c r="I48" i="509" s="1"/>
  <c r="I43" i="508"/>
  <c r="I48" i="508" s="1"/>
  <c r="I43" i="507"/>
  <c r="I48" i="507" s="1"/>
  <c r="I43" i="506"/>
  <c r="I48" i="506" s="1"/>
  <c r="I43" i="504"/>
  <c r="I48" i="504" s="1"/>
  <c r="I43" i="505"/>
  <c r="I48" i="505" s="1"/>
  <c r="I43" i="503"/>
  <c r="I48" i="503" s="1"/>
  <c r="I43" i="502"/>
  <c r="I48" i="502" s="1"/>
  <c r="I43" i="501"/>
  <c r="I48" i="501" s="1"/>
  <c r="I43" i="500"/>
  <c r="I48" i="500" s="1"/>
  <c r="I43" i="499"/>
  <c r="I48" i="499" s="1"/>
  <c r="I43" i="498"/>
  <c r="I48" i="498" s="1"/>
  <c r="I43" i="497"/>
  <c r="I48" i="497" s="1"/>
  <c r="I43" i="494"/>
  <c r="I48" i="494" s="1"/>
  <c r="I43" i="496"/>
  <c r="I48" i="496" s="1"/>
  <c r="I43" i="495"/>
  <c r="I48" i="495" s="1"/>
  <c r="I43" i="493"/>
  <c r="I48" i="493" s="1"/>
  <c r="I43" i="492"/>
  <c r="I48" i="492" s="1"/>
  <c r="I43" i="491"/>
  <c r="I48" i="491" s="1"/>
  <c r="I43" i="490"/>
  <c r="I48" i="490" s="1"/>
  <c r="I43" i="489"/>
  <c r="I48" i="489" s="1"/>
  <c r="I43" i="488"/>
  <c r="I48" i="488" s="1"/>
  <c r="I43" i="487"/>
  <c r="I48" i="487" s="1"/>
  <c r="I43" i="486"/>
  <c r="I48" i="486" s="1"/>
  <c r="I43" i="485"/>
  <c r="I48" i="485" s="1"/>
  <c r="I43" i="484"/>
  <c r="I48" i="484" s="1"/>
  <c r="I43" i="483"/>
  <c r="I48" i="483" s="1"/>
  <c r="J48" i="481"/>
  <c r="I43" i="480"/>
  <c r="I48" i="480" s="1"/>
  <c r="I43" i="478"/>
  <c r="I48" i="478" s="1"/>
  <c r="I43" i="479"/>
  <c r="I48" i="479" s="1"/>
  <c r="I43" i="477"/>
  <c r="I48" i="477" s="1"/>
  <c r="J43" i="476"/>
  <c r="J48" i="476" s="1"/>
  <c r="I43" i="475"/>
  <c r="I48" i="475" s="1"/>
  <c r="I43" i="474"/>
  <c r="I48" i="474" s="1"/>
  <c r="I43" i="473"/>
  <c r="I48" i="473" s="1"/>
  <c r="I43" i="472"/>
  <c r="I48" i="472" s="1"/>
  <c r="I43" i="471"/>
  <c r="I48" i="471" s="1"/>
  <c r="I43" i="469"/>
  <c r="I48" i="469" s="1"/>
  <c r="I43" i="468"/>
  <c r="I48" i="468" s="1"/>
  <c r="J43" i="467"/>
  <c r="J48" i="467" s="1"/>
  <c r="I43" i="466"/>
  <c r="I48" i="466" s="1"/>
  <c r="I43" i="465"/>
  <c r="I48" i="465" s="1"/>
  <c r="I43" i="464"/>
  <c r="I48" i="464" s="1"/>
  <c r="I43" i="463"/>
  <c r="I48" i="463" s="1"/>
  <c r="I43" i="462"/>
  <c r="I48" i="462" s="1"/>
  <c r="I43" i="461"/>
  <c r="I48" i="461" s="1"/>
  <c r="J43" i="460"/>
  <c r="J48" i="460" s="1"/>
  <c r="I43" i="459"/>
  <c r="I48" i="459" s="1"/>
  <c r="J43" i="458"/>
  <c r="J48" i="458" s="1"/>
  <c r="I43" i="457"/>
  <c r="I48" i="457" s="1"/>
  <c r="F15" i="6" l="1" a="1"/>
  <c r="F15" i="6" s="1"/>
  <c r="F10" i="4"/>
  <c r="F9" i="4"/>
  <c r="A5" i="2"/>
  <c r="A6" i="2"/>
  <c r="I26" i="4" l="1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3" i="4" l="1"/>
  <c r="I4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<sst xmlns="http://schemas.openxmlformats.org/spreadsheetml/2006/main" count="7711" uniqueCount="1038">
  <si>
    <r>
      <t xml:space="preserve">Submit your invoice as soon as possible. Invoices received later than 45 days after work has been completed will </t>
    </r>
    <r>
      <rPr>
        <b/>
        <sz val="10"/>
        <color theme="1" tint="0.249977111117893"/>
        <rFont val="Aptos Narrow"/>
        <family val="1"/>
        <scheme val="minor"/>
      </rPr>
      <t>not</t>
    </r>
    <r>
      <rPr>
        <sz val="10"/>
        <color theme="1" tint="0.249977111117893"/>
        <rFont val="Aptos Narrow"/>
        <family val="1"/>
        <scheme val="minor"/>
      </rPr>
      <t xml:space="preserve"> be paid. </t>
    </r>
  </si>
  <si>
    <t>HST</t>
  </si>
  <si>
    <t>CAD TOTAL</t>
  </si>
  <si>
    <t>AMOUNT</t>
  </si>
  <si>
    <r>
      <t>USD</t>
    </r>
    <r>
      <rPr>
        <b/>
        <sz val="11"/>
        <color theme="1" tint="0.249977111117893"/>
        <rFont val="Arial"/>
        <family val="2"/>
      </rPr>
      <t xml:space="preserve"> (</t>
    </r>
    <r>
      <rPr>
        <b/>
        <sz val="11"/>
        <color rgb="FFC00000"/>
        <rFont val="Arial"/>
        <family val="2"/>
      </rPr>
      <t>Exchange Rate 1.38</t>
    </r>
    <r>
      <rPr>
        <b/>
        <sz val="11"/>
        <color theme="1" tint="0.249977111117893"/>
        <rFont val="Arial"/>
        <family val="2"/>
      </rPr>
      <t>)</t>
    </r>
  </si>
  <si>
    <t>CURRENCY</t>
  </si>
  <si>
    <t>COST</t>
  </si>
  <si>
    <t>QUANTITY</t>
  </si>
  <si>
    <t>DESCRIPTION</t>
  </si>
  <si>
    <t>LINE</t>
  </si>
  <si>
    <t>ID</t>
  </si>
  <si>
    <t>BILL</t>
  </si>
  <si>
    <t>CARD</t>
  </si>
  <si>
    <t>CASH</t>
  </si>
  <si>
    <t>CHECK</t>
  </si>
  <si>
    <t>PAY</t>
  </si>
  <si>
    <t>WILL</t>
  </si>
  <si>
    <t>CREDIT</t>
  </si>
  <si>
    <t>PETTY</t>
  </si>
  <si>
    <t>PAYMENT</t>
  </si>
  <si>
    <t>DEPOSIT</t>
  </si>
  <si>
    <t>NOTES:</t>
  </si>
  <si>
    <t>HST#</t>
  </si>
  <si>
    <t>INVOICE #</t>
  </si>
  <si>
    <t>TERMS</t>
  </si>
  <si>
    <t>ADDRESS</t>
  </si>
  <si>
    <t>JOB NAME</t>
  </si>
  <si>
    <t>TO</t>
  </si>
  <si>
    <t>KS24-03</t>
  </si>
  <si>
    <t>JOB NO.</t>
  </si>
  <si>
    <t>DATE</t>
  </si>
  <si>
    <t>Pickering, ON L1V 2W4</t>
  </si>
  <si>
    <t xml:space="preserve">Enter USD or CAD in Currency column for for Amount conversion. </t>
  </si>
  <si>
    <t>1602 Jaywin Circle</t>
  </si>
  <si>
    <t>P.O. NO.</t>
  </si>
  <si>
    <t>PURCHASE ORDER / CHECK REQUEST</t>
  </si>
  <si>
    <t>KSI</t>
  </si>
  <si>
    <t>PURCHASE ORDER LOG</t>
  </si>
  <si>
    <t>PAYEE</t>
  </si>
  <si>
    <t>PO</t>
  </si>
  <si>
    <t>PAY ID</t>
  </si>
  <si>
    <t>LINE DESCRIPTION</t>
  </si>
  <si>
    <t>NOTES</t>
  </si>
  <si>
    <t>TOTAL</t>
  </si>
  <si>
    <t>A</t>
  </si>
  <si>
    <t>PRE-PRO &amp; WRAP CREW</t>
  </si>
  <si>
    <t>Line Producer</t>
  </si>
  <si>
    <t>Assistant Director</t>
  </si>
  <si>
    <t>Director of Photography</t>
  </si>
  <si>
    <t>2nd Unit DP</t>
  </si>
  <si>
    <t>1st AC</t>
  </si>
  <si>
    <t>2nd AC</t>
  </si>
  <si>
    <t>Phantom Tech</t>
  </si>
  <si>
    <t>DIT</t>
  </si>
  <si>
    <t>Crane Operator</t>
  </si>
  <si>
    <t>Crane Tech</t>
  </si>
  <si>
    <t>Gaffer</t>
  </si>
  <si>
    <t>BB Electric</t>
  </si>
  <si>
    <t>3rd Electric</t>
  </si>
  <si>
    <t>4th Electric/Driver</t>
  </si>
  <si>
    <t>Package Truck Driver</t>
  </si>
  <si>
    <t>Key Grip</t>
  </si>
  <si>
    <t>BB Grip</t>
  </si>
  <si>
    <t>3rd Grip</t>
  </si>
  <si>
    <t>4th Grip/Driver</t>
  </si>
  <si>
    <t>addt'l Grips</t>
  </si>
  <si>
    <t>Sound Mixer</t>
  </si>
  <si>
    <t>Boom Operator</t>
  </si>
  <si>
    <t>Key Makeup</t>
  </si>
  <si>
    <t>Key Hair</t>
  </si>
  <si>
    <t>2nd Makeup/2nd Hair</t>
  </si>
  <si>
    <t>Key Stylist</t>
  </si>
  <si>
    <t>Stylist Assistant</t>
  </si>
  <si>
    <t>Script Supervisor</t>
  </si>
  <si>
    <t>Manicurist</t>
  </si>
  <si>
    <t>Stills Digitech</t>
  </si>
  <si>
    <t>VTR Operator</t>
  </si>
  <si>
    <t>Bolt Tech</t>
  </si>
  <si>
    <t>Bolt Op</t>
  </si>
  <si>
    <t>Cam Car Arm Op + Tech</t>
  </si>
  <si>
    <t>Camera Car Driver</t>
  </si>
  <si>
    <t>ALM</t>
  </si>
  <si>
    <t>Location Manager</t>
  </si>
  <si>
    <t>Production Supervisor</t>
  </si>
  <si>
    <t>Commercial Coordinator</t>
  </si>
  <si>
    <t>Talent Coordinator</t>
  </si>
  <si>
    <t>Medic/First Aid</t>
  </si>
  <si>
    <t>Craft Service</t>
  </si>
  <si>
    <t>Lifeguard</t>
  </si>
  <si>
    <t>Choreographer</t>
  </si>
  <si>
    <t>Drivers</t>
  </si>
  <si>
    <t>Teamsters</t>
  </si>
  <si>
    <t>Production Assistants</t>
  </si>
  <si>
    <t>Steadicam Operator</t>
  </si>
  <si>
    <t>4th Electric</t>
  </si>
  <si>
    <t>4th Grip</t>
  </si>
  <si>
    <t>Generator Operator</t>
  </si>
  <si>
    <t>Key Hair/Makeup</t>
  </si>
  <si>
    <t>Asst Hair/Makeup</t>
  </si>
  <si>
    <t>Stills Asst</t>
  </si>
  <si>
    <t>VTR Asst</t>
  </si>
  <si>
    <t>2nd AD</t>
  </si>
  <si>
    <t>Craft Assistant</t>
  </si>
  <si>
    <t>Police</t>
  </si>
  <si>
    <t>C</t>
  </si>
  <si>
    <t>PRE-PRODUCTION &amp; WRAP EXPENSES</t>
  </si>
  <si>
    <t>Auto Rentals</t>
  </si>
  <si>
    <t>Rehearsal Space</t>
  </si>
  <si>
    <t>Pre Pro Expenses</t>
  </si>
  <si>
    <t>Messengers</t>
  </si>
  <si>
    <t>Trucking</t>
  </si>
  <si>
    <t>Deliveries &amp; Taxis</t>
  </si>
  <si>
    <t>Working Meals</t>
  </si>
  <si>
    <t>Background Casting</t>
  </si>
  <si>
    <t>Casting Director</t>
  </si>
  <si>
    <t>Casting Facilities</t>
  </si>
  <si>
    <t>Pre Pro Meals</t>
  </si>
  <si>
    <t>Location Scouting Expenses</t>
  </si>
  <si>
    <t>D</t>
  </si>
  <si>
    <t>LOCATION EXPENSES</t>
  </si>
  <si>
    <t>Location Fees - House/Grocery Store</t>
  </si>
  <si>
    <t>Permit Fees</t>
  </si>
  <si>
    <t>Basecamp</t>
  </si>
  <si>
    <t>Crew Shuttles</t>
  </si>
  <si>
    <t>Dressing Room Vehicles</t>
  </si>
  <si>
    <t>Honeywagon/Restrooms</t>
  </si>
  <si>
    <t>Parking, Tolls, &amp; Gas</t>
  </si>
  <si>
    <t>Grip &amp; Electric Trucks</t>
  </si>
  <si>
    <t>Camera Truck</t>
  </si>
  <si>
    <t>Production Truck</t>
  </si>
  <si>
    <t>Wardrobe Truck</t>
  </si>
  <si>
    <t>Location Prep</t>
  </si>
  <si>
    <t>Van Rentals</t>
  </si>
  <si>
    <t>Van Rentals - Client/Agency/Chauffers</t>
  </si>
  <si>
    <t>Security</t>
  </si>
  <si>
    <t>Breakfast</t>
  </si>
  <si>
    <t>Lunch</t>
  </si>
  <si>
    <t>Dinner</t>
  </si>
  <si>
    <t>BG Meals</t>
  </si>
  <si>
    <t>Kit Rental</t>
  </si>
  <si>
    <t>BG Holding</t>
  </si>
  <si>
    <t>Preight Craft</t>
  </si>
  <si>
    <t>Prelight Meals</t>
  </si>
  <si>
    <t>E</t>
  </si>
  <si>
    <t>PROPS, WARDROBE &amp; ANIMALS</t>
  </si>
  <si>
    <t>Food Truck Rental</t>
  </si>
  <si>
    <t>Home Ec Supplies</t>
  </si>
  <si>
    <t>Wardrobe Rentals</t>
  </si>
  <si>
    <t>Aniamls &amp; Trainers</t>
  </si>
  <si>
    <t>Humane Rep</t>
  </si>
  <si>
    <t>Transportation</t>
  </si>
  <si>
    <t>Wardrobe Misc. Costs</t>
  </si>
  <si>
    <t>F</t>
  </si>
  <si>
    <t>STUDIO RENTAL &amp; EXPENSES</t>
  </si>
  <si>
    <t xml:space="preserve">Rental For Build Days </t>
  </si>
  <si>
    <t>Build OT Hours</t>
  </si>
  <si>
    <t>Rental for Pre-Lite Days</t>
  </si>
  <si>
    <t>Pre-Lite OT Hours</t>
  </si>
  <si>
    <t>Rental for Shoot Days</t>
  </si>
  <si>
    <t>Shoot OT Hours</t>
  </si>
  <si>
    <t>Rental for Strike Days</t>
  </si>
  <si>
    <t>Strike OT Hours</t>
  </si>
  <si>
    <t>Generator and Operator</t>
  </si>
  <si>
    <t>Air Conditioning</t>
  </si>
  <si>
    <t>Power Charges</t>
  </si>
  <si>
    <t>Misc Studio Charges</t>
  </si>
  <si>
    <t>G</t>
  </si>
  <si>
    <t>SET CONSTRUCTION CREW</t>
  </si>
  <si>
    <t>Production Designer</t>
  </si>
  <si>
    <t>Buyer/Shopper</t>
  </si>
  <si>
    <t>Prop Master</t>
  </si>
  <si>
    <t>Leadman</t>
  </si>
  <si>
    <t>Driver/Set Dresser</t>
  </si>
  <si>
    <t>Set Dresser</t>
  </si>
  <si>
    <t>Prop Assistant</t>
  </si>
  <si>
    <t>Art Dept Coordinator</t>
  </si>
  <si>
    <t>Food Stylist Assistant Prep Day</t>
  </si>
  <si>
    <t>PA</t>
  </si>
  <si>
    <t>Food Stylist Assists</t>
  </si>
  <si>
    <t>SPFX Asst</t>
  </si>
  <si>
    <t>H</t>
  </si>
  <si>
    <t>SET CONSTRUCTION MATERIALS</t>
  </si>
  <si>
    <t>Prop Rentals &amp; Purchsses</t>
  </si>
  <si>
    <t>Set Dressing Rentals &amp; Purchases</t>
  </si>
  <si>
    <t>Custom Props</t>
  </si>
  <si>
    <t>Construction</t>
  </si>
  <si>
    <t>Backdrops</t>
  </si>
  <si>
    <t>Food Truck</t>
  </si>
  <si>
    <t>Food Props</t>
  </si>
  <si>
    <t>Practical Sand and Clean up</t>
  </si>
  <si>
    <t>Food Stylist Ground Transport</t>
  </si>
  <si>
    <t>Art Dept Trucking</t>
  </si>
  <si>
    <t>Parking and fuel</t>
  </si>
  <si>
    <t>Kits and Meals</t>
  </si>
  <si>
    <t>I</t>
  </si>
  <si>
    <t>EQUIPMENT RENTAL</t>
  </si>
  <si>
    <t>Camera Rental</t>
  </si>
  <si>
    <t>Sound Rental</t>
  </si>
  <si>
    <t>Lighting Rental</t>
  </si>
  <si>
    <t>Grip Rental</t>
  </si>
  <si>
    <t>Generator Rental</t>
  </si>
  <si>
    <t>Crane + Remote Head Rental</t>
  </si>
  <si>
    <t>VTR Rental</t>
  </si>
  <si>
    <t>Walkie Talkie Rental</t>
  </si>
  <si>
    <t>Dolly Rental</t>
  </si>
  <si>
    <t>Slider</t>
  </si>
  <si>
    <t>Steadicam</t>
  </si>
  <si>
    <t>Production Supplies</t>
  </si>
  <si>
    <t>Location Supplies</t>
  </si>
  <si>
    <t>Expendables</t>
  </si>
  <si>
    <t>DIT Equipment</t>
  </si>
  <si>
    <t>Stills Equipment</t>
  </si>
  <si>
    <t>Package Truck</t>
  </si>
  <si>
    <t>Phantom Camera Kit</t>
  </si>
  <si>
    <t>J</t>
  </si>
  <si>
    <t>FILMSTOCK, DEVELOP &amp; PRINT</t>
  </si>
  <si>
    <t>Hard Drives</t>
  </si>
  <si>
    <t>Transcodes</t>
  </si>
  <si>
    <t>Slingshot Dailies</t>
  </si>
  <si>
    <t>Film Stock</t>
  </si>
  <si>
    <t>Processing</t>
  </si>
  <si>
    <t>Drives</t>
  </si>
  <si>
    <t>K</t>
  </si>
  <si>
    <t>MISCELLANEOUS COSTS</t>
  </si>
  <si>
    <t>Storage Space</t>
  </si>
  <si>
    <t>Shipping</t>
  </si>
  <si>
    <t>Tax Waivers</t>
  </si>
  <si>
    <t>DGA AD Letter</t>
  </si>
  <si>
    <t>Work Permits / LMIA</t>
  </si>
  <si>
    <t>Portable Wifi</t>
  </si>
  <si>
    <t>Wire Rigging Equipment</t>
  </si>
  <si>
    <t>Photographer Fees</t>
  </si>
  <si>
    <t>Photographer Assist</t>
  </si>
  <si>
    <t>L</t>
  </si>
  <si>
    <t>DIRECTOR/CREATIVE FEES</t>
  </si>
  <si>
    <t>Director Prep</t>
  </si>
  <si>
    <t>Director Shoot</t>
  </si>
  <si>
    <t>Director Follow-up Shoots</t>
  </si>
  <si>
    <t>Creative Director</t>
  </si>
  <si>
    <t>Writers</t>
  </si>
  <si>
    <t>M</t>
  </si>
  <si>
    <t xml:space="preserve">TALENT                                                                                           </t>
  </si>
  <si>
    <t>O/C Principals</t>
  </si>
  <si>
    <t>General Extras</t>
  </si>
  <si>
    <t>Extras Wardrobe Allowance</t>
  </si>
  <si>
    <t>Extras Casting fee</t>
  </si>
  <si>
    <t>Extras Payroll Service</t>
  </si>
  <si>
    <t>Extras Covid Testing</t>
  </si>
  <si>
    <t>Hand Models</t>
  </si>
  <si>
    <t>Voice Over</t>
  </si>
  <si>
    <t>Fitting Fees</t>
  </si>
  <si>
    <t>Audition Fees</t>
  </si>
  <si>
    <t>Talent</t>
  </si>
  <si>
    <t>Talent Payroll Service</t>
  </si>
  <si>
    <t>Talent Wardrobe Allowance</t>
  </si>
  <si>
    <t>N</t>
  </si>
  <si>
    <t>Other</t>
  </si>
  <si>
    <t>Director Flights</t>
  </si>
  <si>
    <t>Per Diems</t>
  </si>
  <si>
    <t>Director Hotels</t>
  </si>
  <si>
    <t>O</t>
  </si>
  <si>
    <t>P</t>
  </si>
  <si>
    <t>Covid Expenses</t>
  </si>
  <si>
    <t>Covid Testing Stipend</t>
  </si>
  <si>
    <t>ACTUAL</t>
  </si>
  <si>
    <t>{{PO_NUMBER}}</t>
  </si>
  <si>
    <t>*Enter Job Name + Number*</t>
  </si>
  <si>
    <t>Job Name:</t>
  </si>
  <si>
    <t>Job Number:</t>
  </si>
  <si>
    <t>Goya</t>
  </si>
  <si>
    <t>*At Start of job define a PO Range*</t>
  </si>
  <si>
    <t>PO Table</t>
  </si>
  <si>
    <t>*Start by defining PO Prefix (typically job #)</t>
  </si>
  <si>
    <t>For Example</t>
  </si>
  <si>
    <t>*Then define, range of POs needed. *For example*</t>
  </si>
  <si>
    <t>*Sheet will generate PO Range</t>
  </si>
  <si>
    <t>2403-001</t>
  </si>
  <si>
    <t>2403-050</t>
  </si>
  <si>
    <t>Enter PO Prefix Here</t>
  </si>
  <si>
    <t>Enter PO Range Here</t>
  </si>
  <si>
    <t>2403-002</t>
  </si>
  <si>
    <t>Emergency Button Only</t>
  </si>
  <si>
    <t>2403-003</t>
  </si>
  <si>
    <t>2403-004</t>
  </si>
  <si>
    <t>2403-005</t>
  </si>
  <si>
    <t>2403-006</t>
  </si>
  <si>
    <t>2403-007</t>
  </si>
  <si>
    <t>2403-008</t>
  </si>
  <si>
    <t>2403-009</t>
  </si>
  <si>
    <t>2403-010</t>
  </si>
  <si>
    <t>2403-011</t>
  </si>
  <si>
    <t>2403-012</t>
  </si>
  <si>
    <t>2403-013</t>
  </si>
  <si>
    <t>2403-014</t>
  </si>
  <si>
    <t>2403-015</t>
  </si>
  <si>
    <t>2403-016</t>
  </si>
  <si>
    <t>2403-017</t>
  </si>
  <si>
    <t>2403-018</t>
  </si>
  <si>
    <t>2403-019</t>
  </si>
  <si>
    <t>2403-020</t>
  </si>
  <si>
    <t>2403-021</t>
  </si>
  <si>
    <t>2403-022</t>
  </si>
  <si>
    <t>2403-023</t>
  </si>
  <si>
    <t>2403-024</t>
  </si>
  <si>
    <t>2403-025</t>
  </si>
  <si>
    <t>2403-026</t>
  </si>
  <si>
    <t>2403-027</t>
  </si>
  <si>
    <t>2403-028</t>
  </si>
  <si>
    <t>2403-029</t>
  </si>
  <si>
    <t>2403-030</t>
  </si>
  <si>
    <t>2403-031</t>
  </si>
  <si>
    <t>2403-032</t>
  </si>
  <si>
    <t>2403-033</t>
  </si>
  <si>
    <t>2403-034</t>
  </si>
  <si>
    <t>2403-035</t>
  </si>
  <si>
    <t>2403-036</t>
  </si>
  <si>
    <t>2403-037</t>
  </si>
  <si>
    <t>2403-038</t>
  </si>
  <si>
    <t>2403-039</t>
  </si>
  <si>
    <t>2403-040</t>
  </si>
  <si>
    <t>2403-041</t>
  </si>
  <si>
    <t>2403-042</t>
  </si>
  <si>
    <t>2403-043</t>
  </si>
  <si>
    <t>2403-044</t>
  </si>
  <si>
    <t>2403-045</t>
  </si>
  <si>
    <t>2403-046</t>
  </si>
  <si>
    <t>2403-047</t>
  </si>
  <si>
    <t>2403-048</t>
  </si>
  <si>
    <t>2403-049</t>
  </si>
  <si>
    <t>2403-051</t>
  </si>
  <si>
    <t>2403-052</t>
  </si>
  <si>
    <t>2403-053</t>
  </si>
  <si>
    <t>2403-054</t>
  </si>
  <si>
    <t>2403-055</t>
  </si>
  <si>
    <t>2403-056</t>
  </si>
  <si>
    <t>2403-057</t>
  </si>
  <si>
    <t>2403-058</t>
  </si>
  <si>
    <t>2403-059</t>
  </si>
  <si>
    <t>2403-060</t>
  </si>
  <si>
    <t>2403-061</t>
  </si>
  <si>
    <t>2403-062</t>
  </si>
  <si>
    <t>2403-063</t>
  </si>
  <si>
    <t>2403-064</t>
  </si>
  <si>
    <t>2403-065</t>
  </si>
  <si>
    <t>2403-066</t>
  </si>
  <si>
    <t>2403-067</t>
  </si>
  <si>
    <t>2403-068</t>
  </si>
  <si>
    <t>2403-069</t>
  </si>
  <si>
    <t>2403-070</t>
  </si>
  <si>
    <t>2403-071</t>
  </si>
  <si>
    <t>2403-072</t>
  </si>
  <si>
    <t>2403-073</t>
  </si>
  <si>
    <t>2403-074</t>
  </si>
  <si>
    <t>2403-075</t>
  </si>
  <si>
    <t>2403-076</t>
  </si>
  <si>
    <t>2403-077</t>
  </si>
  <si>
    <t>2403-078</t>
  </si>
  <si>
    <t>2403-079</t>
  </si>
  <si>
    <t>2403-080</t>
  </si>
  <si>
    <t>2403-081</t>
  </si>
  <si>
    <t>2403-082</t>
  </si>
  <si>
    <t>2403-083</t>
  </si>
  <si>
    <t>2403-084</t>
  </si>
  <si>
    <t>2403-085</t>
  </si>
  <si>
    <t>2403-086</t>
  </si>
  <si>
    <t>2403-087</t>
  </si>
  <si>
    <t>2403-088</t>
  </si>
  <si>
    <t>2403-089</t>
  </si>
  <si>
    <t>2403-090</t>
  </si>
  <si>
    <t>2403-091</t>
  </si>
  <si>
    <t>2403-092</t>
  </si>
  <si>
    <t>2403-093</t>
  </si>
  <si>
    <t>2403-094</t>
  </si>
  <si>
    <t>2403-095</t>
  </si>
  <si>
    <t>2403-096</t>
  </si>
  <si>
    <t>2403-097</t>
  </si>
  <si>
    <t>2403-098</t>
  </si>
  <si>
    <t>2403-099</t>
  </si>
  <si>
    <t>Keslow Camera</t>
  </si>
  <si>
    <t>AMEX 2009</t>
  </si>
  <si>
    <t>PC</t>
  </si>
  <si>
    <t>Budget</t>
  </si>
  <si>
    <t>SOHO Metropoloitan</t>
  </si>
  <si>
    <t>Eco Trailers</t>
  </si>
  <si>
    <t>Total Two-Way</t>
  </si>
  <si>
    <t>Aristo Catering</t>
  </si>
  <si>
    <t>Affiliated Equipment</t>
  </si>
  <si>
    <t>Artisto Catering</t>
  </si>
  <si>
    <t>Distinct</t>
  </si>
  <si>
    <t>Main Dish</t>
  </si>
  <si>
    <t>Global Alliance</t>
  </si>
  <si>
    <t>Wilston Productions Inc</t>
  </si>
  <si>
    <t>Jigsaw Casting</t>
  </si>
  <si>
    <t>The Brunch Store</t>
  </si>
  <si>
    <t>CS1</t>
  </si>
  <si>
    <t>Orbit Brokers and Forwarders Inc</t>
  </si>
  <si>
    <t>W4R</t>
  </si>
  <si>
    <t>Film &amp; Event Rentals</t>
  </si>
  <si>
    <t>DV Shop</t>
  </si>
  <si>
    <t>Nerd Station</t>
  </si>
  <si>
    <t>Sunbelt Studio City</t>
  </si>
  <si>
    <t>Pictus Goods</t>
  </si>
  <si>
    <t>Streamwater</t>
  </si>
  <si>
    <t>Rachel Coyle</t>
  </si>
  <si>
    <t>Paul Lampa</t>
  </si>
  <si>
    <t>Edmond Kpopp</t>
  </si>
  <si>
    <t>Sis D'souza</t>
  </si>
  <si>
    <t>Tyson Erb</t>
  </si>
  <si>
    <t>Austin Marshall</t>
  </si>
  <si>
    <t>Brian Johnston</t>
  </si>
  <si>
    <t>Lisa Mandel</t>
  </si>
  <si>
    <t>Jack Langenhahn</t>
  </si>
  <si>
    <t>Nicola Samuels</t>
  </si>
  <si>
    <t>Justin Martel</t>
  </si>
  <si>
    <t>Jon Chema</t>
  </si>
  <si>
    <t>David Stuart</t>
  </si>
  <si>
    <t>Denis Scouten</t>
  </si>
  <si>
    <t>Stephen Connor</t>
  </si>
  <si>
    <t>Benjamin Dzikowicz</t>
  </si>
  <si>
    <t>Trevor Sean Lawley</t>
  </si>
  <si>
    <t>Hans Leon</t>
  </si>
  <si>
    <t>Josh Blurton</t>
  </si>
  <si>
    <t>Ammar Yunas (key craft)</t>
  </si>
  <si>
    <t>Gustavo Franco</t>
  </si>
  <si>
    <t>Food and Music Arts LLC (reimbursements)</t>
  </si>
  <si>
    <t>Big Rock Candy Mountain Inc</t>
  </si>
  <si>
    <t>Katie Yealland</t>
  </si>
  <si>
    <t>Karianne Taklo</t>
  </si>
  <si>
    <t>Natali Trivuncic</t>
  </si>
  <si>
    <t>Omar Hirji</t>
  </si>
  <si>
    <t>Maxwell Sims</t>
  </si>
  <si>
    <t>Corey Stewart</t>
  </si>
  <si>
    <t>Client/Agency - Supplies</t>
  </si>
  <si>
    <t>Client/Agency - Craft Service</t>
  </si>
  <si>
    <t>Client Agency - Giftbags, Dinner, Gifts</t>
  </si>
  <si>
    <t>EST</t>
  </si>
  <si>
    <t>Craft Service Asst (Prep)</t>
  </si>
  <si>
    <t>Craft Service Asst (Shoot)</t>
  </si>
  <si>
    <t>Craft Service Key (Shoot)</t>
  </si>
  <si>
    <t>CAD</t>
  </si>
  <si>
    <t xml:space="preserve">Craft Service Food 165ppx $22 </t>
  </si>
  <si>
    <t>CraftKit</t>
  </si>
  <si>
    <t>Delivery, Bio, Paper, Fuel</t>
  </si>
  <si>
    <t>Ice</t>
  </si>
  <si>
    <t>Ice Cream Truck</t>
  </si>
  <si>
    <t>876422148 RT0001</t>
  </si>
  <si>
    <t>3600 Highway 7, Suite PH08,</t>
  </si>
  <si>
    <t xml:space="preserve"> Woodbridge, Ont. L4L 0G7</t>
  </si>
  <si>
    <t>TOTAL W/ HST</t>
  </si>
  <si>
    <t>401 Logan Ave. Unit 121,</t>
  </si>
  <si>
    <t xml:space="preserve"> Toronto, Ontario, M4M 2P2</t>
  </si>
  <si>
    <t>Additional Walkie Rental</t>
  </si>
  <si>
    <t>Initial Order of Walkies</t>
  </si>
  <si>
    <t>858633498RT0001</t>
  </si>
  <si>
    <t xml:space="preserve">1 - 645 Bathurst St. </t>
  </si>
  <si>
    <t>Toronto ON M5S 2R2</t>
  </si>
  <si>
    <t>Eco Trailer Costs 2 Days</t>
  </si>
  <si>
    <t>Advanced Deposit (7/20)</t>
  </si>
  <si>
    <t>R838627206</t>
  </si>
  <si>
    <t>Camera Rental (50% paid full including HST)</t>
  </si>
  <si>
    <t>HST Math Removed (ESTIMATED)</t>
  </si>
  <si>
    <t>14 Vansco Rd., Suite 100</t>
  </si>
  <si>
    <t>Etobicoke, ON M8Z 5J4</t>
  </si>
  <si>
    <t>#6393</t>
  </si>
  <si>
    <t>832321418RT0001</t>
  </si>
  <si>
    <t>ON M4C 5H7</t>
  </si>
  <si>
    <t>8 Carruthers Lane. Toronto,</t>
  </si>
  <si>
    <t>DUE</t>
  </si>
  <si>
    <t>14 Plastics Ave</t>
  </si>
  <si>
    <t>Etobicoke, Ontario M8Z 4B7</t>
  </si>
  <si>
    <t>87436-6800-RT0001</t>
  </si>
  <si>
    <t>Lighting</t>
  </si>
  <si>
    <t>Grip</t>
  </si>
  <si>
    <t>Pending Reduction</t>
  </si>
  <si>
    <t>Other (chrystie lighting)</t>
  </si>
  <si>
    <t>Other (Production Supplies)</t>
  </si>
  <si>
    <t>Generator</t>
  </si>
  <si>
    <t>(Generator Costs Removed from Trucking Line)</t>
  </si>
  <si>
    <t>L&amp;D (Grip)</t>
  </si>
  <si>
    <t>SUV (Agreement No. 955232563)</t>
  </si>
  <si>
    <t>Truck (Agreement No. 954734421)</t>
  </si>
  <si>
    <t>Truck (Agreement No. 954734432)</t>
  </si>
  <si>
    <t>SUV (Agreement No.955232574 )</t>
  </si>
  <si>
    <t xml:space="preserve">HST SUV (Agreement No. 955232563)	</t>
  </si>
  <si>
    <t xml:space="preserve">HST SUV (Agreement No.955232574 )	</t>
  </si>
  <si>
    <t xml:space="preserve">HST Truck (Agreement No. 954734421) </t>
  </si>
  <si>
    <t xml:space="preserve">HST Truck (Agreement No. 954734432) </t>
  </si>
  <si>
    <t>307 LAKESHORE BLVD EAST</t>
  </si>
  <si>
    <t>TORONTO,ON,M5A 1C1,CA</t>
  </si>
  <si>
    <t>880643820 RT0001</t>
  </si>
  <si>
    <t>Written in Descriptions</t>
  </si>
  <si>
    <t>(HST Reference Math)</t>
  </si>
  <si>
    <t xml:space="preserve"> </t>
  </si>
  <si>
    <t>Due</t>
  </si>
  <si>
    <t>Budget (Truck)</t>
  </si>
  <si>
    <t>VISA 2059</t>
  </si>
  <si>
    <t>Budget (SUVs)</t>
  </si>
  <si>
    <t>VISA 2617</t>
  </si>
  <si>
    <t>Ace Hotel (PM Hotel)</t>
  </si>
  <si>
    <t>USD</t>
  </si>
  <si>
    <t>Hotel Guy Fee(PM Hotel)</t>
  </si>
  <si>
    <t>Remove Stylist Travel later. Don’t forget</t>
  </si>
  <si>
    <t>Hotel Guy eTicket (PM Travel)</t>
  </si>
  <si>
    <t>Hotel Guy eTicket (PM Travel) (Refund)</t>
  </si>
  <si>
    <t xml:space="preserve">Hotel Guy air-cost (PM Travel) </t>
  </si>
  <si>
    <t>void</t>
  </si>
  <si>
    <t>EMT</t>
  </si>
  <si>
    <t>Camera Rental (8/2/2024 Payment)</t>
  </si>
  <si>
    <t xml:space="preserve">Camera Rental (8/1/2024 Payment)	</t>
  </si>
  <si>
    <t>*confirm 3% credit card cost</t>
  </si>
  <si>
    <t>87067-8141-RT0001 </t>
  </si>
  <si>
    <t>WIRE+AMEX</t>
  </si>
  <si>
    <t>Hotel Guy eTicket (PM Travel) (Refund Unclear)</t>
  </si>
  <si>
    <t>16' Cube (Product) (Extras)</t>
  </si>
  <si>
    <t>20' Truck (Art)</t>
  </si>
  <si>
    <t xml:space="preserve">Isuzu Art Cube </t>
  </si>
  <si>
    <t>480 Coxwell Ave</t>
  </si>
  <si>
    <t>Toronto ON M4L 3B7</t>
  </si>
  <si>
    <t>PAID w/ VISA 2059</t>
  </si>
  <si>
    <t>Distinct Rent-A-Car</t>
  </si>
  <si>
    <t>Agency Airport Pickup (7/30)</t>
  </si>
  <si>
    <t>Client Airport Pickup (7/19/24)</t>
  </si>
  <si>
    <t>Client Daytrip (Niagara Falls)</t>
  </si>
  <si>
    <t>Agency Daytrip (Niagara Falls)</t>
  </si>
  <si>
    <t>Client Airport Pickup (7/22/24)(Joe Perez)</t>
  </si>
  <si>
    <t>Agency Pickup (Shoot Day 1)</t>
  </si>
  <si>
    <t>Client Airport DO (7/23/24)</t>
  </si>
  <si>
    <t>Client Pickup (Shoot Day 1)</t>
  </si>
  <si>
    <t>Amex 2009</t>
  </si>
  <si>
    <t>Client Dropoff (Shoot Day 1)</t>
  </si>
  <si>
    <t>Agency Dropoff (Shoot Day 1)</t>
  </si>
  <si>
    <t>Client Pickup (Shoot Day 2)</t>
  </si>
  <si>
    <t>Agency Pickup (Shoot Day 2)</t>
  </si>
  <si>
    <t>Agency Dropoff (Shoot Day 2)</t>
  </si>
  <si>
    <t>Client Dropoff (Shoot Day 2)</t>
  </si>
  <si>
    <t>Agency Airport Dropoff</t>
  </si>
  <si>
    <t>Client Airport Dropoff</t>
  </si>
  <si>
    <t>82968 4943 RT0001</t>
  </si>
  <si>
    <t>VISA 2059 // AMEX 2009</t>
  </si>
  <si>
    <t>Distinct (Art Cubes)</t>
  </si>
  <si>
    <t>PRODUCT TRANSPORT</t>
  </si>
  <si>
    <t>BRISTOL RENTALS LTD</t>
  </si>
  <si>
    <t>77 Nassau St W</t>
  </si>
  <si>
    <t>Toronto ON</t>
  </si>
  <si>
    <t>SUV (Production Runner)</t>
  </si>
  <si>
    <t>Cargo (Production Pickup Runner)</t>
  </si>
  <si>
    <t>Art Mini</t>
  </si>
  <si>
    <t>Production Mini + Food Stylist  Mini</t>
  </si>
  <si>
    <t>VISA</t>
  </si>
  <si>
    <t>R130738</t>
  </si>
  <si>
    <t>Border Shipping</t>
  </si>
  <si>
    <t>Casting</t>
  </si>
  <si>
    <t>79132 7505 RT0001</t>
  </si>
  <si>
    <t>1215-800 Richmond Street West</t>
  </si>
  <si>
    <t>Toronto, Ontario M6J 3N8</t>
  </si>
  <si>
    <t>Jigsaw Casting LTD</t>
  </si>
  <si>
    <t>866963473RT0001</t>
  </si>
  <si>
    <t>60 Sumach Street</t>
  </si>
  <si>
    <t>Toronto ON M5A 3J7</t>
  </si>
  <si>
    <t>Lansa Parker</t>
  </si>
  <si>
    <t>Bruno's</t>
  </si>
  <si>
    <t>Target Park</t>
  </si>
  <si>
    <t>Lansa Parker (Hotel Cost)</t>
  </si>
  <si>
    <t>Hot Bricks</t>
  </si>
  <si>
    <t>Lanny Bolger</t>
  </si>
  <si>
    <t>N/A</t>
  </si>
  <si>
    <t>Grocery Store Rental</t>
  </si>
  <si>
    <t>Paid w/ CHK 177</t>
  </si>
  <si>
    <t>CHK 177</t>
  </si>
  <si>
    <t>Film &amp; Event Rentals (Art)</t>
  </si>
  <si>
    <t>Location Supplies (L&amp;D)</t>
  </si>
  <si>
    <t>84524 2825 RC0001</t>
  </si>
  <si>
    <t>Location Supplies (Invoice 10475)</t>
  </si>
  <si>
    <t>Location Supplies (L&amp;D) (Invoice 10475)</t>
  </si>
  <si>
    <t>Location Supplies (Invoice 10476)</t>
  </si>
  <si>
    <t>Location Supplies (L&amp;D) (Invoice 10476)</t>
  </si>
  <si>
    <t>Location Prep breakdown ambigous</t>
  </si>
  <si>
    <t>Film Event (Location Prep)</t>
  </si>
  <si>
    <t>Harddrives</t>
  </si>
  <si>
    <t>Grip Rentals</t>
  </si>
  <si>
    <t>Hotel Reimburse</t>
  </si>
  <si>
    <t>E Transfer</t>
  </si>
  <si>
    <t>*Receipt &amp; Invoice Don’t match*</t>
  </si>
  <si>
    <t>VTR (2 Units x 2 Days)</t>
  </si>
  <si>
    <t>86401 7322</t>
  </si>
  <si>
    <t>PREP DAY</t>
  </si>
  <si>
    <t>Fuel</t>
  </si>
  <si>
    <t>Day 2</t>
  </si>
  <si>
    <t>Day 1</t>
  </si>
  <si>
    <t>852103761RT0001</t>
  </si>
  <si>
    <t>Total Two Way (L&amp;D)</t>
  </si>
  <si>
    <t>(76753 7863 RT0001)</t>
  </si>
  <si>
    <t>Mixer</t>
  </si>
  <si>
    <t>Giftbag Items (approx 15 people)</t>
  </si>
  <si>
    <t>(Amanda Campbell Hot Budget)</t>
  </si>
  <si>
    <t>Mifi's</t>
  </si>
  <si>
    <t>Walkies (L&amp;D)</t>
  </si>
  <si>
    <t>Littile Immigrant Inc</t>
  </si>
  <si>
    <t>Jackson Adams</t>
  </si>
  <si>
    <t>Ali Gilliani</t>
  </si>
  <si>
    <t>2403-108</t>
  </si>
  <si>
    <t>(BLANK)</t>
  </si>
  <si>
    <t>Christina D'Almeida (Prep Week)</t>
  </si>
  <si>
    <t>Carter Roul</t>
  </si>
  <si>
    <t>Amanda Campbell</t>
  </si>
  <si>
    <t>Korneila Lauren</t>
  </si>
  <si>
    <t>Thought Pro LLC</t>
  </si>
  <si>
    <t>Kendall Mccoll</t>
  </si>
  <si>
    <t>Olya Sovtus</t>
  </si>
  <si>
    <t>Tim Chiavarini</t>
  </si>
  <si>
    <t>Kathy Osadchin</t>
  </si>
  <si>
    <t>Nicholas Akindolire</t>
  </si>
  <si>
    <t>Riley Marini</t>
  </si>
  <si>
    <t>Jamie Rocha</t>
  </si>
  <si>
    <t>Christina D'Almeida (Shoot Week)</t>
  </si>
  <si>
    <t>2403-100</t>
  </si>
  <si>
    <t>2403-101</t>
  </si>
  <si>
    <t>2403-102</t>
  </si>
  <si>
    <t>2403-103</t>
  </si>
  <si>
    <t>2403-104</t>
  </si>
  <si>
    <t>2403-105</t>
  </si>
  <si>
    <t>2403-106</t>
  </si>
  <si>
    <t>2403-107</t>
  </si>
  <si>
    <t>2403-109</t>
  </si>
  <si>
    <t>2403-110</t>
  </si>
  <si>
    <t>2403-111</t>
  </si>
  <si>
    <t>2403-112</t>
  </si>
  <si>
    <t>2403-113</t>
  </si>
  <si>
    <t>2403-114</t>
  </si>
  <si>
    <t>2403-115</t>
  </si>
  <si>
    <t>2403-116</t>
  </si>
  <si>
    <t>2403-117</t>
  </si>
  <si>
    <t>2403-118</t>
  </si>
  <si>
    <t>2403-119</t>
  </si>
  <si>
    <t>2403-120</t>
  </si>
  <si>
    <t>benjamindzikowicz6@gmail.com</t>
  </si>
  <si>
    <t>Prep / Wrap</t>
  </si>
  <si>
    <t>Shoot</t>
  </si>
  <si>
    <t>Shoot Day</t>
  </si>
  <si>
    <t>Pickups/Returns Days</t>
  </si>
  <si>
    <t>See invoice</t>
  </si>
  <si>
    <t>EMT:</t>
  </si>
  <si>
    <t>josh.torontowarehouse@gmail.com</t>
  </si>
  <si>
    <t>See Invoice</t>
  </si>
  <si>
    <t>See Invoice Card</t>
  </si>
  <si>
    <t>Set PA Day 1</t>
  </si>
  <si>
    <t>etransfer:</t>
  </si>
  <si>
    <t>hasangillani1326@gmail.com</t>
  </si>
  <si>
    <t>See invoice card</t>
  </si>
  <si>
    <t>e transfer:</t>
  </si>
  <si>
    <t>maxlcameron@icloud.com</t>
  </si>
  <si>
    <t>Shoot Days (Shoot Wk  Invoice)</t>
  </si>
  <si>
    <t>Pickups / Returns (Shoot Wk Invoice)</t>
  </si>
  <si>
    <t>Runs (Wrap Wk Invoice)</t>
  </si>
  <si>
    <t>Christina has 2 POs. This PO is for Shoot Week labor</t>
  </si>
  <si>
    <t>EMT: Christina.Dalmeida@gmail.com</t>
  </si>
  <si>
    <t>Prep/Wrap Days</t>
  </si>
  <si>
    <t>Shoot Days</t>
  </si>
  <si>
    <t>EMT: rileymarini@protonmail.com</t>
  </si>
  <si>
    <t>Set PA Labor</t>
  </si>
  <si>
    <t>EMT: akindolire.nicholas@gmail.com</t>
  </si>
  <si>
    <t>Set Driver Shoot Days</t>
  </si>
  <si>
    <t>Pre Pro Support Day</t>
  </si>
  <si>
    <t>Pickup Day</t>
  </si>
  <si>
    <t>EMT: k.osadchin@hotmail.com</t>
  </si>
  <si>
    <t>EMT: kornelialauren@gmail.com</t>
  </si>
  <si>
    <t>Set PA Days</t>
  </si>
  <si>
    <t>EMT: carterc1901@gmail.com</t>
  </si>
  <si>
    <t>Prep Days</t>
  </si>
  <si>
    <t>EMT: Christina.dalmeida@gmail.com</t>
  </si>
  <si>
    <t>PO 1 of 2</t>
  </si>
  <si>
    <t>Max Cameron</t>
  </si>
  <si>
    <t>BATCH 2</t>
  </si>
  <si>
    <t>21 MGMT LIMITED</t>
  </si>
  <si>
    <t>Wardrobe Asst</t>
  </si>
  <si>
    <t>E Payment: accounting@21mgmt.ca</t>
  </si>
  <si>
    <t>BATCH 3</t>
  </si>
  <si>
    <t>Phantom Tech day rater + OT</t>
  </si>
  <si>
    <t>EMT: lannybolger@gmail.com</t>
  </si>
  <si>
    <t>Prep Day</t>
  </si>
  <si>
    <t>Comms</t>
  </si>
  <si>
    <t>13 Euclid Ave</t>
  </si>
  <si>
    <t>Toronto ON M6J2J5</t>
  </si>
  <si>
    <t>Jessica Jennings</t>
  </si>
  <si>
    <t>e-transfer jessica@momentummedia.ca</t>
  </si>
  <si>
    <t xml:space="preserve">e transfer </t>
  </si>
  <si>
    <t>rachelashleycoyle@gmail.com</t>
  </si>
  <si>
    <t>Food Stylist Asst Shoot Days</t>
  </si>
  <si>
    <t>E transfer: SIDSDSOUZA@gmail.com</t>
  </si>
  <si>
    <t>Moho Driver Day 1 + OT</t>
  </si>
  <si>
    <t>Hair &amp; MU Both Shoot Days</t>
  </si>
  <si>
    <t>e transfer info@lisamandelmakeup.com</t>
  </si>
  <si>
    <t>BB Electric x2 Days + OT</t>
  </si>
  <si>
    <t>David Maccaullum</t>
  </si>
  <si>
    <t xml:space="preserve">905 622 3283			</t>
  </si>
  <si>
    <t>816050132 rt 0001</t>
  </si>
  <si>
    <t>2431579 Ontario LTD (AE Driver)</t>
  </si>
  <si>
    <t>Deyla Antonin</t>
  </si>
  <si>
    <t>Steven Clark</t>
  </si>
  <si>
    <t>EMT: jack.langenhahn@outlook.com</t>
  </si>
  <si>
    <t>836741983rt0001</t>
  </si>
  <si>
    <t>e transfer: snowdog67@hotmail.com</t>
  </si>
  <si>
    <t>AE driver 16 hrs</t>
  </si>
  <si>
    <t>Food Stylist Asst</t>
  </si>
  <si>
    <t>Pay by Plooto</t>
  </si>
  <si>
    <t>Invoice</t>
  </si>
  <si>
    <t>2ndAD</t>
  </si>
  <si>
    <t>e transfer: chavinmartel@gmail.com</t>
  </si>
  <si>
    <t xml:space="preserve"> e transfer nagoyaclark@yahoo.com</t>
  </si>
  <si>
    <t>Asst Buyer</t>
  </si>
  <si>
    <t>1460 Dundas St</t>
  </si>
  <si>
    <t>e transfer deyla.anto@gmail.com</t>
  </si>
  <si>
    <t>Return PA</t>
  </si>
  <si>
    <t>e transfer: olya.sovtus@yahoo.com</t>
  </si>
  <si>
    <t>Package Truck Pickup Driver</t>
  </si>
  <si>
    <t>Set PA Both Days</t>
  </si>
  <si>
    <t>e transfer: jacksonmichaeladams@gmail.com</t>
  </si>
  <si>
    <t>Hotel Guys</t>
  </si>
  <si>
    <t>BATCH 4</t>
  </si>
  <si>
    <t>14434692 Canada Inc</t>
  </si>
  <si>
    <t>E transfer: scarlett.stinn@gmail.com</t>
  </si>
  <si>
    <t>electrician day 1</t>
  </si>
  <si>
    <t>grip day 2</t>
  </si>
  <si>
    <t>Light Board Op (labor + gear)</t>
  </si>
  <si>
    <t>Pay by cheque</t>
  </si>
  <si>
    <t>Gouri Misra</t>
  </si>
  <si>
    <t>e-transfer: gourimisra31@gmail.com</t>
  </si>
  <si>
    <t>Set Dresser Singe Day</t>
  </si>
  <si>
    <t>2nd AC (2 Days + OT)</t>
  </si>
  <si>
    <t>Send Cheque</t>
  </si>
  <si>
    <t>864703160RT0001</t>
  </si>
  <si>
    <t>True North Enterprises Inc</t>
  </si>
  <si>
    <t>Scout</t>
  </si>
  <si>
    <t>LM Days</t>
  </si>
  <si>
    <t>Pathfinder Productions Inc</t>
  </si>
  <si>
    <t>Cheque</t>
  </si>
  <si>
    <t>75700 9337 RC0001</t>
  </si>
  <si>
    <t>e transfer: stephen@stephenconnor.co</t>
  </si>
  <si>
    <t>Set Dresser x 5 Days + Expenses</t>
  </si>
  <si>
    <t>Alexandra Douglas</t>
  </si>
  <si>
    <t>1187 Dovercourt Rd</t>
  </si>
  <si>
    <t>Toronto ON M6H2Y1</t>
  </si>
  <si>
    <t>Cheque Due</t>
  </si>
  <si>
    <t>VTR Shoot Days + OT</t>
  </si>
  <si>
    <t>B Unit Prop Shoot Days + Kit + Car</t>
  </si>
  <si>
    <t>Grip x2 shoot days + OT</t>
  </si>
  <si>
    <t>Prop Food Receipts</t>
  </si>
  <si>
    <t>8 Wisteria Ct</t>
  </si>
  <si>
    <t>Madison NJ 07940</t>
  </si>
  <si>
    <t>Mail Cheque</t>
  </si>
  <si>
    <t>35 Mariner Terrace Unit #2108</t>
  </si>
  <si>
    <t>Toronto ON M5V 3V9</t>
  </si>
  <si>
    <t>Dresser Day + Car</t>
  </si>
  <si>
    <t>E Transfer: K.taklo@outlook.com</t>
  </si>
  <si>
    <t>Dresser</t>
  </si>
  <si>
    <t>BATCH 5</t>
  </si>
  <si>
    <t>1424214 Ontario Inc. (Maciej)</t>
  </si>
  <si>
    <t>Aegis Film Company Inc</t>
  </si>
  <si>
    <t>Bilal Mirza</t>
  </si>
  <si>
    <t>Nook Productions Inc</t>
  </si>
  <si>
    <t>Capture Management &amp; Production</t>
  </si>
  <si>
    <t>DIT Rental</t>
  </si>
  <si>
    <t>Dailies</t>
  </si>
  <si>
    <t>DIT Labor</t>
  </si>
  <si>
    <t>86348 7104</t>
  </si>
  <si>
    <t>74619 7730 RT0001</t>
  </si>
  <si>
    <t>pay by cheque</t>
  </si>
  <si>
    <t>BB Grip B Unit</t>
  </si>
  <si>
    <t>Rental</t>
  </si>
  <si>
    <t>Key Props</t>
  </si>
  <si>
    <t>Key Grip Scout</t>
  </si>
  <si>
    <t>Key Grip Shoot</t>
  </si>
  <si>
    <t>Lightin Rental</t>
  </si>
  <si>
    <t>BB Electric Days</t>
  </si>
  <si>
    <t xml:space="preserve">885 97 6613	</t>
  </si>
  <si>
    <t>270 Adelaide St west #305</t>
  </si>
  <si>
    <t>E-Transfer: aegisfilmcompany@yahoo.com</t>
  </si>
  <si>
    <t>1st AC Checkout (B unit)</t>
  </si>
  <si>
    <t>1st AC Shoot Days (B Unit)</t>
  </si>
  <si>
    <t>1st AC Rental</t>
  </si>
  <si>
    <t>Electric Shoot Days + OT</t>
  </si>
  <si>
    <t>78886 9691</t>
  </si>
  <si>
    <t>196 mullen drive</t>
  </si>
  <si>
    <t>77 Lynd Ave</t>
  </si>
  <si>
    <t>886 475 920 RT0001</t>
  </si>
  <si>
    <t>Gaffer Shoot Days</t>
  </si>
  <si>
    <t>Gaffer Scout</t>
  </si>
  <si>
    <t>Third Grip</t>
  </si>
  <si>
    <t>15 Chiswick Ave</t>
  </si>
  <si>
    <t>Sonny Days Production Inc</t>
  </si>
  <si>
    <t>799751680 RT 0001</t>
  </si>
  <si>
    <t>1st AC Checkout</t>
  </si>
  <si>
    <t>1st AC Shoot Days</t>
  </si>
  <si>
    <t>Prod. Coord</t>
  </si>
  <si>
    <t>85439 4293 TR0001</t>
  </si>
  <si>
    <t>(MELISSA SHOULDICE PLACEHOLDER)</t>
  </si>
  <si>
    <t>(LP  PLACEHOLDER)</t>
  </si>
  <si>
    <t>( LP PLACEHOLDER)</t>
  </si>
  <si>
    <t>LP</t>
  </si>
  <si>
    <t>2403-121</t>
  </si>
  <si>
    <t>2403-122</t>
  </si>
  <si>
    <t>2403-123</t>
  </si>
  <si>
    <t>2403-124</t>
  </si>
  <si>
    <t>2403-125</t>
  </si>
  <si>
    <t>2403-126</t>
  </si>
  <si>
    <t>2403-127</t>
  </si>
  <si>
    <t>2403-128</t>
  </si>
  <si>
    <t>2403-129</t>
  </si>
  <si>
    <t>2403-130</t>
  </si>
  <si>
    <t>2403-131</t>
  </si>
  <si>
    <t>2403-132</t>
  </si>
  <si>
    <t>2403-133</t>
  </si>
  <si>
    <t>2403-134</t>
  </si>
  <si>
    <t>2403-135</t>
  </si>
  <si>
    <t>2403-136</t>
  </si>
  <si>
    <t>2403-137</t>
  </si>
  <si>
    <t>2403-138</t>
  </si>
  <si>
    <t>2403-139</t>
  </si>
  <si>
    <t>2403-140</t>
  </si>
  <si>
    <t>2403-141</t>
  </si>
  <si>
    <t>(WARDROBE PLACEHOLDER)</t>
  </si>
  <si>
    <t>KSI to Landia Overage</t>
  </si>
  <si>
    <r>
      <t xml:space="preserve"> (USD </t>
    </r>
    <r>
      <rPr>
        <b/>
        <sz val="8"/>
        <color rgb="FFC00000"/>
        <rFont val="Arial"/>
        <family val="2"/>
      </rPr>
      <t>Exchange Rate 1.38</t>
    </r>
    <r>
      <rPr>
        <b/>
        <sz val="8"/>
        <color theme="1" tint="0.249977111117893"/>
        <rFont val="Arial"/>
        <family val="2"/>
      </rPr>
      <t>)</t>
    </r>
  </si>
  <si>
    <t>86744 7489 RT00001</t>
  </si>
  <si>
    <t>E Transfer: bobsora@sympatico. Ca</t>
  </si>
  <si>
    <t>1st AD Shoot</t>
  </si>
  <si>
    <t>1st AD Prep</t>
  </si>
  <si>
    <t>Spoiled Dog INC</t>
  </si>
  <si>
    <t>KS2404-O1</t>
  </si>
  <si>
    <t>INV-068598</t>
  </si>
  <si>
    <t>834085680 RT</t>
  </si>
  <si>
    <t xml:space="preserve">21 Isabella Street, </t>
  </si>
  <si>
    <t>Toronto, Ontario M4Y 1M7</t>
  </si>
  <si>
    <t>170 SUDBURY ST. UNIT 504,</t>
  </si>
  <si>
    <t>TORONTO ON</t>
  </si>
  <si>
    <t>EMT Not Specified</t>
  </si>
  <si>
    <t>Prod Coord Prep</t>
  </si>
  <si>
    <t>Prod Coord Shoot</t>
  </si>
  <si>
    <t>83803 0120 RT0001</t>
  </si>
  <si>
    <t>47 GenerationBLVD 9-112</t>
  </si>
  <si>
    <t>Scarborough ONT m1b 2k6</t>
  </si>
  <si>
    <t>#2</t>
  </si>
  <si>
    <t>No E transfer pay by cheque</t>
  </si>
  <si>
    <t>416 Elisabeth St</t>
  </si>
  <si>
    <t>Oshawa ON LIJSTI</t>
  </si>
  <si>
    <t>905-622-3283</t>
  </si>
  <si>
    <t>282 sheffield ct</t>
  </si>
  <si>
    <t>OSHANA ON</t>
  </si>
  <si>
    <t>Forwarded PLOOTO link</t>
  </si>
  <si>
    <t>396 Crawford St.</t>
  </si>
  <si>
    <t>Toronto, ON</t>
  </si>
  <si>
    <t>#6</t>
  </si>
  <si>
    <t>Tornto ON</t>
  </si>
  <si>
    <t>18 Callender St.</t>
  </si>
  <si>
    <t>Toronto, ON, M6R 2H3</t>
  </si>
  <si>
    <t># 886</t>
  </si>
  <si>
    <t>111 Garnet Ave</t>
  </si>
  <si>
    <t>Shoot Day Prod. Sup</t>
  </si>
  <si>
    <t>Prep Days Prod. Sup</t>
  </si>
  <si>
    <t>109 Hooker Ave</t>
  </si>
  <si>
    <t>Poughkeepsie NY 12601</t>
  </si>
  <si>
    <t>See Invoice for Wire Information &amp; Conversion Math</t>
  </si>
  <si>
    <t>Joshua Parkhill</t>
  </si>
  <si>
    <t>BATCH 6</t>
  </si>
  <si>
    <t>Jesse Marcildon</t>
  </si>
  <si>
    <t>Hilary Jenset</t>
  </si>
  <si>
    <t>Wilston Productions Inc (L&amp;D)</t>
  </si>
  <si>
    <t>Monogrip Limited</t>
  </si>
  <si>
    <t>Kevin Edwards</t>
  </si>
  <si>
    <t>Kwaku Acheampong-Kufor</t>
  </si>
  <si>
    <t>Sound Grab Inc</t>
  </si>
  <si>
    <t>69 Holborne Ave</t>
  </si>
  <si>
    <t>East York ON</t>
  </si>
  <si>
    <t>cheque payable to Wilston Productions Inc</t>
  </si>
  <si>
    <t>Monitor L&amp;D</t>
  </si>
  <si>
    <t>411-1200 Kingston Road</t>
  </si>
  <si>
    <t>Toronto Ontario M1N 1P1</t>
  </si>
  <si>
    <t>e transfer jmagat@sound-grab.com</t>
  </si>
  <si>
    <t>2nd AC 2 shoot days</t>
  </si>
  <si>
    <t>3339 Southwick St</t>
  </si>
  <si>
    <t>Missisauga ON L5M 7K9</t>
  </si>
  <si>
    <t>kwaku.kufour@gmail.com</t>
  </si>
  <si>
    <t>Payment Method not listed</t>
  </si>
  <si>
    <t>Propane FX</t>
  </si>
  <si>
    <t>NA</t>
  </si>
  <si>
    <t>345 the east mall #12</t>
  </si>
  <si>
    <t>Etobicoke ON M9B 3Z8</t>
  </si>
  <si>
    <t>no payment method listed</t>
  </si>
  <si>
    <t>269 Edgemont St</t>
  </si>
  <si>
    <t>Hamilton ON L8K 2J3</t>
  </si>
  <si>
    <t>E TRANSFER dramatic.disclosure@gmail.com</t>
  </si>
  <si>
    <t>Script Sup.</t>
  </si>
  <si>
    <t>76463 4267 RT0001</t>
  </si>
  <si>
    <t>790478747 RT001</t>
  </si>
  <si>
    <t>Slider Rental B Unit</t>
  </si>
  <si>
    <t>709-675 Windermere Rd</t>
  </si>
  <si>
    <t>London ON N5X 4G2</t>
  </si>
  <si>
    <t>Eco Driver</t>
  </si>
  <si>
    <t>E Transfer rochaejamie@gmail.com</t>
  </si>
  <si>
    <t>225 Scarborough golf club rd #8</t>
  </si>
  <si>
    <t>Toronto ON M1J 3G7</t>
  </si>
  <si>
    <t>Set Dec</t>
  </si>
  <si>
    <t>23 Sammon Ave</t>
  </si>
  <si>
    <t>Toronto ON M4J 1Y7</t>
  </si>
  <si>
    <t>E transfer hilary.jenset@gmail.com</t>
  </si>
  <si>
    <t>13 Sorauren Ave #4</t>
  </si>
  <si>
    <t>Toronto ON M6R2C6</t>
  </si>
  <si>
    <t>TD Canada Trust Wire Info. Transit# 05432 Institution# 004 Account# 6482313</t>
  </si>
  <si>
    <t>v</t>
  </si>
  <si>
    <t>1655 Pickering Pkwy Suite 611</t>
  </si>
  <si>
    <t>Pickering ON L1V 6L3</t>
  </si>
  <si>
    <t>39 Kings Park Blvd.</t>
  </si>
  <si>
    <t>R140579434</t>
  </si>
  <si>
    <t>672 Castleguard Crescent</t>
  </si>
  <si>
    <t>Burlington, Ontario L7N 2W6</t>
  </si>
  <si>
    <t>tslawley@icloud.com</t>
  </si>
  <si>
    <t>Presumed Cheque</t>
  </si>
  <si>
    <t>2077 Dufferin St</t>
  </si>
  <si>
    <t>Toronto ON, M6E 3R3</t>
  </si>
  <si>
    <t>hleon11@icloud.com</t>
  </si>
  <si>
    <t>Presumed cheque</t>
  </si>
  <si>
    <t xml:space="preserve">140 Bathurst St. Unit 906	</t>
  </si>
  <si>
    <t xml:space="preserve">Toronto, Ontario M5V 3N8		 </t>
  </si>
  <si>
    <t xml:space="preserve">HST 75585 5707 RT0001	</t>
  </si>
  <si>
    <t>1429 lyncroft cr
Oshawa ON L1K 2P4</t>
  </si>
  <si>
    <t>Jessie_vandalen@hotmail.com</t>
  </si>
  <si>
    <t>35 Mariner Terr
2108
Toronto, Ontario M5V 3V9</t>
  </si>
  <si>
    <t>121 South Woodrow Blvd.
M1N 3L8</t>
  </si>
  <si>
    <t># Pak-Trk 1</t>
  </si>
  <si>
    <t>Mylese Cartier</t>
  </si>
  <si>
    <t>41 Macdonell Avenue
M6R 2A3
Toronto, ON</t>
  </si>
  <si>
    <t>56-8-13</t>
  </si>
  <si>
    <t>91 Gair Dr
Etobicoke, ON, M8W 4P9</t>
  </si>
  <si>
    <t>Kroegertm@gmail.com</t>
  </si>
  <si>
    <t>155 sellers ave</t>
  </si>
  <si>
    <t xml:space="preserve">Toronto ON </t>
  </si>
  <si>
    <t>5 Bulls Lane Hamilton
Ontario L9a1c7</t>
  </si>
  <si>
    <t>35 Huntley Street, Toronto, ON - M4Y 2K9</t>
  </si>
  <si>
    <t>Account# 5746531 Institution#: 010 Transit#: 00172</t>
  </si>
  <si>
    <t>Pay by cheque or wire</t>
  </si>
  <si>
    <t>307 Laird Drive</t>
  </si>
  <si>
    <t>74810 3884 RT0001</t>
  </si>
  <si>
    <t>Toronto ON M4G 3X7</t>
  </si>
  <si>
    <t>Not Specified Presumed Cheque</t>
  </si>
  <si>
    <t>Jackson Yeung</t>
  </si>
  <si>
    <t>edmondkopp@gmail.com</t>
  </si>
  <si>
    <t>2024-034</t>
  </si>
  <si>
    <t>C155563</t>
  </si>
  <si>
    <t>Thornhill, ON L4J 2V4</t>
  </si>
  <si>
    <t>tysonerb@icloud.com</t>
  </si>
  <si>
    <t>6 Grandview Rd, Port McNicoll
ON, Canada, L0K 1R0</t>
  </si>
  <si>
    <t>815350780RT0001</t>
  </si>
  <si>
    <t>e transfer: dclof@protonmail.com</t>
  </si>
  <si>
    <t>AE-2425 - 8</t>
  </si>
  <si>
    <t>Maciej Kulpa</t>
  </si>
  <si>
    <t>481 Jane St. Toronto, ON
M6S 4A1</t>
  </si>
  <si>
    <t>1650 Middleton Street</t>
  </si>
  <si>
    <t>Pickering ON L1X 2K1</t>
  </si>
  <si>
    <t># 54</t>
  </si>
  <si>
    <t># AB 1666</t>
  </si>
  <si>
    <t>88 Bernard Ave
Unit 808
Toronto On</t>
  </si>
  <si>
    <t>1320 Pape Ave
Toronto, Ontario
M4K 3X2</t>
  </si>
  <si>
    <t>katie.yealland@gmail.com</t>
  </si>
  <si>
    <t>presumed pay by cheque</t>
  </si>
  <si>
    <t>63 Lankin Blvd
Toronto ON M4J 4W9</t>
  </si>
  <si>
    <t>2040320 Ontario Inc</t>
  </si>
  <si>
    <t>CMP_3674</t>
  </si>
  <si>
    <t>andrew@cmandp.com</t>
  </si>
  <si>
    <t>Presumed pay by cheque</t>
  </si>
  <si>
    <t>CMP_3673</t>
  </si>
  <si>
    <t>Markham</t>
  </si>
  <si>
    <t>PAID</t>
  </si>
  <si>
    <t>212 Norseman Street
Etobicoke ON M8Z 2R4</t>
  </si>
  <si>
    <t>685 LAKE SHORE BLVD E
TORONTO, ON M4M 3J9</t>
  </si>
  <si>
    <t>Reimburse method per Stephen</t>
  </si>
  <si>
    <t>Invoice 1008</t>
  </si>
  <si>
    <t>Invoice 1007</t>
  </si>
  <si>
    <t>Invoice 1006</t>
  </si>
  <si>
    <t>Pickering ON L1V 2W4</t>
  </si>
  <si>
    <t xml:space="preserve">1000836501 Ontario Inc			</t>
  </si>
  <si>
    <t>787689025RC0001</t>
  </si>
  <si>
    <t>1008 HST</t>
  </si>
  <si>
    <t>1007 HST</t>
  </si>
  <si>
    <t>1006 HST</t>
  </si>
  <si>
    <t>1006+1007+1008</t>
  </si>
  <si>
    <t xml:space="preserve">84524 2825 RC0001			</t>
  </si>
  <si>
    <t>54035 + 54018</t>
  </si>
  <si>
    <t>Jessica Jennings (rehearsal reimbursement)</t>
  </si>
  <si>
    <t>Rehearsal Space paid for via Jessica CC. Reimbursed by E transfer</t>
  </si>
  <si>
    <t>BATCH 1 PAID</t>
  </si>
  <si>
    <t>TECH SCOUT MEETING SPACE</t>
  </si>
  <si>
    <t>12270 2319 RT0001</t>
  </si>
  <si>
    <t>City of Vaughan</t>
  </si>
  <si>
    <t>404952
Fee</t>
  </si>
  <si>
    <t>Permit Fee</t>
  </si>
  <si>
    <t xml:space="preserve"> Refund</t>
  </si>
  <si>
    <t>BATCH 0 PAID</t>
  </si>
  <si>
    <t>(void)</t>
  </si>
  <si>
    <t>(Adrian PM Placeholder x 2 Days)</t>
  </si>
  <si>
    <t>BATCH 7 Vendors</t>
  </si>
  <si>
    <t>14 Hour Day Craft</t>
  </si>
  <si>
    <t>7AM start NOT 6AM</t>
  </si>
  <si>
    <t>13 Stonebridge Dr</t>
  </si>
  <si>
    <t>Martham ON L6C 2C3</t>
  </si>
  <si>
    <t>email for emt omarhirji34@gmail.com</t>
  </si>
  <si>
    <t>Grace Guerra</t>
  </si>
  <si>
    <t>438 Main St</t>
  </si>
  <si>
    <t>Shelburne ON L9V 2V3</t>
  </si>
  <si>
    <t>Craft Asst. Day 1</t>
  </si>
  <si>
    <t>emt gguerra164@yahoo.com</t>
  </si>
  <si>
    <t>519.288.4656</t>
  </si>
  <si>
    <t>Void</t>
  </si>
  <si>
    <t>FEIN</t>
  </si>
  <si>
    <t>83-1026294</t>
  </si>
  <si>
    <t>CAD Production Expenses</t>
  </si>
  <si>
    <t>Vehicle (300 US a Day * 2 Days)</t>
  </si>
  <si>
    <t>USD Total 2146.25</t>
  </si>
  <si>
    <t>Prod. Supplies</t>
  </si>
  <si>
    <t>Travel</t>
  </si>
  <si>
    <t>PTG (156.64)</t>
  </si>
  <si>
    <t>Working Meals (539.26 USD)</t>
  </si>
  <si>
    <t>USD Total Due 1108.56</t>
  </si>
  <si>
    <t>Thought Pro LLC (USD Expenses)</t>
  </si>
  <si>
    <t>Thought Pro LLC (CAD Expenses)</t>
  </si>
  <si>
    <t>Production Parking</t>
  </si>
  <si>
    <t>Patrimonio LLC</t>
  </si>
  <si>
    <t>2024/36</t>
  </si>
  <si>
    <t>LA Wardrobe Shopping Expenses + Fees</t>
  </si>
  <si>
    <t>Wire</t>
  </si>
  <si>
    <t>BATCH 8</t>
  </si>
  <si>
    <t>CHK 176</t>
  </si>
  <si>
    <t>DIANA ABBATANGELO</t>
  </si>
  <si>
    <t>221 O’Connor Dr.</t>
  </si>
  <si>
    <t>Toronto ON M4J 2T3</t>
  </si>
  <si>
    <t>82236 6894 RT0001</t>
  </si>
  <si>
    <t>Art2Atlantis</t>
  </si>
  <si>
    <t>WIRE</t>
  </si>
  <si>
    <t>Storyboard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</si>
</sst>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m/d/yy;@"/>
    <numFmt numFmtId="165" formatCode="[&lt;=9999999]###\-####;\(###\)\ ###\-####"/>
    <numFmt numFmtId="166" formatCode="_(#,##0.00_);[Red]\(#,##0.00\)"/>
    <numFmt numFmtId="167" formatCode="0;\(0\);&quot;&quot;"/>
    <numFmt numFmtId="168" formatCode="000"/>
    <numFmt numFmtId="169" formatCode="m/d/yyyy;@"/>
  </numFmts>
  <fonts count="75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name val="Arial"/>
      <family val="2"/>
    </font>
    <font>
      <sz val="10"/>
      <color theme="1" tint="0.249977111117893"/>
      <name val="Aptos Narrow"/>
      <family val="1"/>
      <scheme val="minor"/>
    </font>
    <font>
      <b/>
      <sz val="10"/>
      <color theme="1" tint="0.249977111117893"/>
      <name val="Aptos Narrow"/>
      <family val="1"/>
      <scheme val="minor"/>
    </font>
    <font>
      <i/>
      <sz val="6"/>
      <color theme="1" tint="0.249977111117893"/>
      <name val="Aptos Narrow"/>
      <family val="1"/>
      <scheme val="minor"/>
    </font>
    <font>
      <sz val="10"/>
      <name val="Aptos Narrow"/>
      <family val="1"/>
      <scheme val="minor"/>
    </font>
    <font>
      <b/>
      <sz val="8"/>
      <color theme="1" tint="0.249977111117893"/>
      <name val="Aptos Narrow"/>
      <family val="1"/>
      <scheme val="minor"/>
    </font>
    <font>
      <b/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ptos Display"/>
      <family val="1"/>
      <scheme val="major"/>
    </font>
    <font>
      <b/>
      <sz val="8"/>
      <color theme="1" tint="0.249977111117893"/>
      <name val="Aptos Display"/>
      <family val="1"/>
      <scheme val="major"/>
    </font>
    <font>
      <sz val="8"/>
      <color theme="1" tint="0.249977111117893"/>
      <name val="Aptos Narrow"/>
      <family val="1"/>
      <scheme val="minor"/>
    </font>
    <font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rial"/>
      <family val="2"/>
    </font>
    <font>
      <b/>
      <sz val="11"/>
      <color theme="1" tint="0.249977111117893"/>
      <name val="Arial"/>
      <family val="2"/>
    </font>
    <font>
      <b/>
      <sz val="11"/>
      <color rgb="FFC00000"/>
      <name val="Arial"/>
      <family val="2"/>
    </font>
    <font>
      <b/>
      <sz val="10"/>
      <name val="Aptos Display"/>
      <family val="1"/>
      <scheme val="major"/>
    </font>
    <font>
      <sz val="11"/>
      <name val="Calibri"/>
      <family val="2"/>
    </font>
    <font>
      <b/>
      <sz val="11"/>
      <color theme="1"/>
      <name val="Calibri"/>
      <family val="2"/>
    </font>
    <font>
      <sz val="12"/>
      <color rgb="FF0000FF"/>
      <name val="Aptos Narrow"/>
      <family val="1"/>
      <scheme val="minor"/>
    </font>
    <font>
      <sz val="12"/>
      <name val="Aptos Narrow"/>
      <family val="1"/>
      <scheme val="minor"/>
    </font>
    <font>
      <b/>
      <sz val="11"/>
      <name val="Aptos Display"/>
      <family val="1"/>
      <scheme val="major"/>
    </font>
    <font>
      <sz val="11"/>
      <name val="Garamond"/>
      <family val="1"/>
    </font>
    <font>
      <b/>
      <sz val="11"/>
      <name val="Garamond"/>
      <family val="1"/>
    </font>
    <font>
      <sz val="11"/>
      <color theme="1" tint="0.249977111117893"/>
      <name val="Garamond"/>
      <family val="1"/>
    </font>
    <font>
      <sz val="11"/>
      <name val="Aptos Display"/>
      <family val="1"/>
      <scheme val="major"/>
    </font>
    <font>
      <sz val="12"/>
      <name val="Aptos Display"/>
      <family val="1"/>
      <scheme val="major"/>
    </font>
    <font>
      <sz val="8"/>
      <name val="Aptos Narrow"/>
      <family val="1"/>
      <scheme val="minor"/>
    </font>
    <font>
      <b/>
      <sz val="15"/>
      <name val="Aptos Display"/>
      <family val="1"/>
      <scheme val="major"/>
    </font>
    <font>
      <b/>
      <sz val="15"/>
      <color theme="1" tint="0.249977111117893"/>
      <name val="Aptos Narrow"/>
      <family val="1"/>
      <scheme val="minor"/>
    </font>
    <font>
      <b/>
      <sz val="16"/>
      <color theme="1" tint="0.249977111117893"/>
      <name val="Aptos Narrow"/>
      <family val="1"/>
      <scheme val="minor"/>
    </font>
    <font>
      <sz val="11"/>
      <color theme="1" tint="0.249977111117893"/>
      <name val="Aptos Narrow"/>
      <family val="1"/>
      <scheme val="minor"/>
    </font>
    <font>
      <b/>
      <sz val="11"/>
      <color theme="1" tint="0.249977111117893"/>
      <name val="Aptos Narrow"/>
      <family val="1"/>
      <scheme val="minor"/>
    </font>
    <font>
      <b/>
      <sz val="23"/>
      <name val="Aptos Display"/>
      <family val="1"/>
      <scheme val="major"/>
    </font>
    <font>
      <b/>
      <sz val="30"/>
      <color theme="1" tint="0.249977111117893"/>
      <name val="Aptos Display"/>
      <family val="1"/>
      <scheme val="maj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sz val="10"/>
      <name val="Geneva"/>
      <family val="2"/>
    </font>
    <font>
      <b/>
      <sz val="9"/>
      <color indexed="12"/>
      <name val="Helv"/>
    </font>
    <font>
      <sz val="9"/>
      <name val="Helv"/>
      <family val="2"/>
    </font>
    <font>
      <b/>
      <sz val="9"/>
      <color indexed="17"/>
      <name val="Helv"/>
    </font>
    <font>
      <sz val="9"/>
      <color indexed="8"/>
      <name val="Helv"/>
    </font>
    <font>
      <sz val="9"/>
      <color indexed="10"/>
      <name val="Helv"/>
      <family val="2"/>
    </font>
    <font>
      <sz val="9"/>
      <color indexed="12"/>
      <name val="Helv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sz val="12"/>
      <name val="Arial"/>
      <family val="2"/>
    </font>
    <font>
      <sz val="12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sz val="12"/>
      <color rgb="FFFF0000"/>
      <name val="Aptos Narrow"/>
      <family val="1"/>
      <scheme val="minor"/>
    </font>
    <font>
      <sz val="10"/>
      <color rgb="FFFF0000"/>
      <name val="Aptos Narrow"/>
      <family val="1"/>
      <scheme val="minor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2"/>
      <color rgb="FFC00000"/>
      <name val="Arial"/>
      <family val="2"/>
    </font>
    <font>
      <b/>
      <sz val="12"/>
      <name val="Arial"/>
      <family val="2"/>
    </font>
    <font>
      <sz val="12"/>
      <color rgb="FF404040"/>
      <name val="Aptos Narrow"/>
      <family val="1"/>
      <scheme val="minor"/>
    </font>
    <font>
      <b/>
      <sz val="12"/>
      <color rgb="FF404040"/>
      <name val="Arial"/>
      <family val="2"/>
    </font>
    <font>
      <sz val="10"/>
      <color rgb="FF404040"/>
      <name val="Aptos Narrow"/>
      <family val="1"/>
      <scheme val="minor"/>
    </font>
    <font>
      <b/>
      <sz val="12"/>
      <color rgb="FF404040"/>
      <name val="Aptos Display"/>
      <family val="1"/>
      <charset val="1"/>
    </font>
    <font>
      <b/>
      <sz val="12"/>
      <color theme="1" tint="0.249977111117893"/>
      <name val="Aptos Narrow"/>
      <scheme val="minor"/>
    </font>
    <font>
      <u/>
      <sz val="12"/>
      <color theme="1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FFFFFF"/>
      <name val="Arial"/>
      <family val="2"/>
    </font>
    <font>
      <b/>
      <sz val="12"/>
      <color rgb="FF000000"/>
      <name val="Arial"/>
      <family val="2"/>
    </font>
    <font>
      <b/>
      <sz val="8"/>
      <color theme="1" tint="0.249977111117893"/>
      <name val="Arial"/>
      <family val="2"/>
    </font>
    <font>
      <b/>
      <sz val="8"/>
      <color rgb="FFC00000"/>
      <name val="Arial"/>
      <family val="2"/>
    </font>
    <font>
      <sz val="12"/>
      <color rgb="FF000000"/>
      <name val="Aptos Narrow"/>
    </font>
    <font>
      <sz val="14.3"/>
      <color rgb="FF000000"/>
      <name val="Aptos Narrow"/>
    </font>
    <font>
      <b/>
      <sz val="12"/>
      <color rgb="FFFF0000"/>
      <name val="Aptos Narrow"/>
      <scheme val="minor"/>
    </font>
    <font>
      <b/>
      <i/>
      <sz val="10"/>
      <color theme="1" tint="0.249977111117893"/>
      <name val="Aptos Narrow"/>
      <scheme val="minor"/>
    </font>
    <font>
      <sz val="12"/>
      <color theme="6" tint="-0.499984740745262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3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1F1DB"/>
        <bgColor indexed="64"/>
      </patternFill>
    </fill>
    <fill>
      <patternFill patternType="solid">
        <fgColor rgb="FFD2B188"/>
        <bgColor indexed="64"/>
      </patternFill>
    </fill>
    <fill>
      <patternFill patternType="solid">
        <fgColor rgb="FFD2B188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3" tint="0.89999084444715716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rgb="FF000000"/>
      </bottom>
      <diagonal/>
    </border>
    <border>
      <left style="thin">
        <color rgb="FF000000"/>
      </left>
      <right style="double">
        <color indexed="64"/>
      </right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double">
        <color indexed="64"/>
      </left>
      <right style="double">
        <color indexed="64"/>
      </right>
      <top style="double">
        <color rgb="FF000000"/>
      </top>
      <bottom/>
      <diagonal/>
    </border>
    <border>
      <left style="thin">
        <color rgb="FF000000"/>
      </left>
      <right style="double">
        <color indexed="64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dotted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dashed">
        <color theme="1"/>
      </left>
      <right/>
      <top/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/>
      <diagonal/>
    </border>
    <border>
      <left style="medium">
        <color theme="1"/>
      </left>
      <right style="medium">
        <color theme="6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6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4" tint="0.39997558519241921"/>
      </top>
      <bottom/>
      <diagonal/>
    </border>
    <border>
      <left style="medium">
        <color theme="1"/>
      </left>
      <right style="medium">
        <color theme="1"/>
      </right>
      <top style="dashed">
        <color theme="1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theme="0" tint="-0.14996795556505021"/>
      </top>
      <bottom style="thin">
        <color rgb="FFD9D9D9"/>
      </bottom>
      <diagonal/>
    </border>
    <border>
      <left/>
      <right style="thin">
        <color rgb="FFD9D9D9"/>
      </right>
      <top style="thin">
        <color theme="0" tint="-0.14996795556505021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rgb="FFD9D9D9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44B3E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3" fillId="0" borderId="0"/>
    <xf numFmtId="0" fontId="39" fillId="0" borderId="0"/>
    <xf numFmtId="0" fontId="64" fillId="0" borderId="0" applyNumberFormat="0" applyFill="0" applyBorder="0" applyAlignment="0" applyProtection="0"/>
  </cellStyleXfs>
  <cellXfs count="408">
    <xf numFmtId="0" fontId="0" fillId="0" borderId="0" xfId="0"/>
    <xf numFmtId="0" fontId="4" fillId="0" borderId="0" xfId="1" applyFont="1"/>
    <xf numFmtId="44" fontId="6" fillId="2" borderId="0" xfId="1" applyNumberFormat="1" applyFont="1" applyFill="1" applyAlignment="1">
      <alignment horizontal="left" vertical="center"/>
    </xf>
    <xf numFmtId="44" fontId="6" fillId="2" borderId="0" xfId="1" applyNumberFormat="1" applyFont="1" applyFill="1" applyAlignment="1">
      <alignment vertical="center"/>
    </xf>
    <xf numFmtId="44" fontId="8" fillId="2" borderId="0" xfId="1" applyNumberFormat="1" applyFont="1" applyFill="1"/>
    <xf numFmtId="44" fontId="8" fillId="2" borderId="1" xfId="1" applyNumberFormat="1" applyFont="1" applyFill="1" applyBorder="1" applyProtection="1">
      <protection locked="0"/>
    </xf>
    <xf numFmtId="44" fontId="9" fillId="3" borderId="0" xfId="1" applyNumberFormat="1" applyFont="1" applyFill="1" applyAlignment="1" applyProtection="1">
      <alignment horizontal="center"/>
      <protection locked="0"/>
    </xf>
    <xf numFmtId="0" fontId="10" fillId="0" borderId="0" xfId="1" applyFont="1" applyAlignment="1" applyProtection="1">
      <alignment horizontal="right"/>
      <protection locked="0"/>
    </xf>
    <xf numFmtId="44" fontId="8" fillId="2" borderId="0" xfId="1" applyNumberFormat="1" applyFont="1" applyFill="1" applyProtection="1">
      <protection locked="0"/>
    </xf>
    <xf numFmtId="44" fontId="8" fillId="2" borderId="0" xfId="1" applyNumberFormat="1" applyFont="1" applyFill="1" applyAlignment="1" applyProtection="1">
      <alignment horizontal="center"/>
      <protection locked="0"/>
    </xf>
    <xf numFmtId="44" fontId="8" fillId="2" borderId="1" xfId="1" applyNumberFormat="1" applyFont="1" applyFill="1" applyBorder="1" applyAlignment="1" applyProtection="1">
      <alignment horizontal="center"/>
      <protection locked="0"/>
    </xf>
    <xf numFmtId="0" fontId="11" fillId="0" borderId="0" xfId="1" applyFont="1" applyAlignment="1">
      <alignment horizontal="right"/>
    </xf>
    <xf numFmtId="0" fontId="12" fillId="0" borderId="0" xfId="1" applyFont="1"/>
    <xf numFmtId="0" fontId="13" fillId="0" borderId="0" xfId="1" applyFont="1"/>
    <xf numFmtId="44" fontId="13" fillId="0" borderId="0" xfId="1" applyNumberFormat="1" applyFont="1" applyAlignment="1" applyProtection="1">
      <alignment horizontal="center"/>
      <protection locked="0"/>
    </xf>
    <xf numFmtId="0" fontId="13" fillId="0" borderId="0" xfId="1" applyFont="1" applyProtection="1">
      <protection locked="0"/>
    </xf>
    <xf numFmtId="0" fontId="10" fillId="0" borderId="0" xfId="1" applyFont="1" applyAlignment="1" applyProtection="1">
      <alignment horizontal="center"/>
      <protection locked="0"/>
    </xf>
    <xf numFmtId="44" fontId="13" fillId="3" borderId="2" xfId="1" applyNumberFormat="1" applyFont="1" applyFill="1" applyBorder="1" applyAlignment="1" applyProtection="1">
      <alignment horizontal="center"/>
      <protection locked="0"/>
    </xf>
    <xf numFmtId="44" fontId="13" fillId="0" borderId="2" xfId="1" applyNumberFormat="1" applyFont="1" applyBorder="1" applyAlignment="1" applyProtection="1">
      <alignment horizontal="center"/>
      <protection locked="0"/>
    </xf>
    <xf numFmtId="44" fontId="13" fillId="4" borderId="3" xfId="1" applyNumberFormat="1" applyFont="1" applyFill="1" applyBorder="1" applyAlignment="1" applyProtection="1">
      <alignment horizontal="center"/>
      <protection locked="0"/>
    </xf>
    <xf numFmtId="0" fontId="13" fillId="4" borderId="3" xfId="1" applyFont="1" applyFill="1" applyBorder="1" applyAlignment="1" applyProtection="1">
      <alignment horizontal="center"/>
      <protection locked="0"/>
    </xf>
    <xf numFmtId="0" fontId="13" fillId="4" borderId="4" xfId="1" applyFont="1" applyFill="1" applyBorder="1" applyAlignment="1" applyProtection="1">
      <alignment horizontal="center"/>
      <protection locked="0"/>
    </xf>
    <xf numFmtId="4" fontId="13" fillId="4" borderId="4" xfId="1" applyNumberFormat="1" applyFont="1" applyFill="1" applyBorder="1" applyAlignment="1" applyProtection="1">
      <alignment horizontal="center"/>
      <protection locked="0"/>
    </xf>
    <xf numFmtId="0" fontId="14" fillId="5" borderId="3" xfId="1" applyFont="1" applyFill="1" applyBorder="1" applyAlignment="1">
      <alignment horizontal="center" vertical="center"/>
    </xf>
    <xf numFmtId="0" fontId="14" fillId="5" borderId="4" xfId="1" applyFont="1" applyFill="1" applyBorder="1" applyAlignment="1">
      <alignment horizontal="center" vertical="center"/>
    </xf>
    <xf numFmtId="164" fontId="14" fillId="5" borderId="4" xfId="1" applyNumberFormat="1" applyFont="1" applyFill="1" applyBorder="1" applyAlignment="1">
      <alignment horizontal="center" vertical="center"/>
    </xf>
    <xf numFmtId="0" fontId="2" fillId="0" borderId="0" xfId="1" applyFont="1" applyAlignment="1" applyProtection="1">
      <alignment horizontal="center"/>
      <protection locked="0"/>
    </xf>
    <xf numFmtId="0" fontId="17" fillId="0" borderId="0" xfId="1" applyFont="1" applyAlignment="1">
      <alignment horizontal="right" wrapText="1" indent="1"/>
    </xf>
    <xf numFmtId="0" fontId="18" fillId="0" borderId="0" xfId="1" applyFont="1"/>
    <xf numFmtId="0" fontId="19" fillId="0" borderId="0" xfId="1" applyFont="1" applyAlignment="1">
      <alignment vertical="center"/>
    </xf>
    <xf numFmtId="0" fontId="19" fillId="6" borderId="10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9" fillId="6" borderId="11" xfId="1" applyFont="1" applyFill="1" applyBorder="1" applyAlignment="1">
      <alignment horizontal="center" vertical="center"/>
    </xf>
    <xf numFmtId="0" fontId="19" fillId="6" borderId="12" xfId="1" applyFont="1" applyFill="1" applyBorder="1" applyAlignment="1">
      <alignment horizontal="center" vertical="center"/>
    </xf>
    <xf numFmtId="14" fontId="19" fillId="6" borderId="12" xfId="1" applyNumberFormat="1" applyFont="1" applyFill="1" applyBorder="1" applyAlignment="1">
      <alignment horizontal="center" vertical="center"/>
    </xf>
    <xf numFmtId="14" fontId="19" fillId="6" borderId="13" xfId="1" applyNumberFormat="1" applyFont="1" applyFill="1" applyBorder="1" applyAlignment="1">
      <alignment horizontal="center" vertical="center"/>
    </xf>
    <xf numFmtId="0" fontId="19" fillId="6" borderId="14" xfId="1" applyFont="1" applyFill="1" applyBorder="1" applyAlignment="1">
      <alignment horizontal="center" vertical="center"/>
    </xf>
    <xf numFmtId="0" fontId="19" fillId="6" borderId="15" xfId="1" applyFont="1" applyFill="1" applyBorder="1" applyAlignment="1">
      <alignment horizontal="center" vertical="center"/>
    </xf>
    <xf numFmtId="0" fontId="19" fillId="6" borderId="16" xfId="1" applyFont="1" applyFill="1" applyBorder="1" applyAlignment="1">
      <alignment horizontal="center" vertical="center"/>
    </xf>
    <xf numFmtId="0" fontId="19" fillId="6" borderId="17" xfId="1" applyFont="1" applyFill="1" applyBorder="1" applyAlignment="1">
      <alignment horizontal="center" vertical="center"/>
    </xf>
    <xf numFmtId="0" fontId="21" fillId="3" borderId="0" xfId="1" applyFont="1" applyFill="1" applyAlignment="1">
      <alignment horizontal="left"/>
    </xf>
    <xf numFmtId="0" fontId="21" fillId="4" borderId="0" xfId="1" applyFont="1" applyFill="1" applyAlignment="1">
      <alignment horizontal="left"/>
    </xf>
    <xf numFmtId="0" fontId="21" fillId="4" borderId="0" xfId="1" applyFont="1" applyFill="1"/>
    <xf numFmtId="0" fontId="22" fillId="0" borderId="0" xfId="1" applyFont="1" applyAlignment="1">
      <alignment horizontal="right" wrapText="1"/>
    </xf>
    <xf numFmtId="0" fontId="23" fillId="0" borderId="0" xfId="1" applyFont="1"/>
    <xf numFmtId="0" fontId="24" fillId="0" borderId="0" xfId="1" applyFont="1" applyAlignment="1">
      <alignment horizontal="right" wrapText="1"/>
    </xf>
    <xf numFmtId="0" fontId="21" fillId="3" borderId="23" xfId="1" applyFont="1" applyFill="1" applyBorder="1" applyProtection="1">
      <protection locked="0"/>
    </xf>
    <xf numFmtId="0" fontId="25" fillId="0" borderId="0" xfId="1" applyFont="1"/>
    <xf numFmtId="0" fontId="24" fillId="0" borderId="0" xfId="1" applyFont="1" applyAlignment="1">
      <alignment horizontal="right"/>
    </xf>
    <xf numFmtId="0" fontId="21" fillId="0" borderId="0" xfId="1" applyFont="1" applyAlignment="1">
      <alignment horizontal="right"/>
    </xf>
    <xf numFmtId="0" fontId="21" fillId="0" borderId="0" xfId="1" applyFont="1"/>
    <xf numFmtId="0" fontId="21" fillId="0" borderId="0" xfId="1" applyFont="1" applyAlignment="1">
      <alignment horizontal="left" indent="1"/>
    </xf>
    <xf numFmtId="0" fontId="26" fillId="0" borderId="0" xfId="1" applyFont="1" applyAlignment="1">
      <alignment horizontal="center"/>
    </xf>
    <xf numFmtId="0" fontId="27" fillId="0" borderId="0" xfId="1" applyFont="1"/>
    <xf numFmtId="0" fontId="27" fillId="0" borderId="0" xfId="1" applyFont="1" applyAlignment="1">
      <alignment horizontal="center"/>
    </xf>
    <xf numFmtId="0" fontId="12" fillId="0" borderId="0" xfId="1" applyFont="1" applyAlignment="1">
      <alignment horizontal="left"/>
    </xf>
    <xf numFmtId="0" fontId="7" fillId="0" borderId="0" xfId="1" applyFont="1" applyAlignment="1">
      <alignment horizontal="right"/>
    </xf>
    <xf numFmtId="0" fontId="4" fillId="0" borderId="0" xfId="1" applyFont="1" applyAlignment="1">
      <alignment horizontal="left"/>
    </xf>
    <xf numFmtId="0" fontId="30" fillId="0" borderId="0" xfId="1" applyFont="1" applyAlignment="1">
      <alignment horizontal="left"/>
    </xf>
    <xf numFmtId="0" fontId="31" fillId="0" borderId="0" xfId="1" applyFont="1" applyAlignment="1">
      <alignment horizontal="left"/>
    </xf>
    <xf numFmtId="0" fontId="34" fillId="0" borderId="24" xfId="1" applyFont="1" applyBorder="1"/>
    <xf numFmtId="0" fontId="0" fillId="7" borderId="0" xfId="0" applyFill="1" applyProtection="1">
      <protection hidden="1"/>
    </xf>
    <xf numFmtId="0" fontId="0" fillId="0" borderId="0" xfId="0" applyProtection="1">
      <protection hidden="1"/>
    </xf>
    <xf numFmtId="0" fontId="36" fillId="0" borderId="0" xfId="0" applyFont="1" applyProtection="1">
      <protection hidden="1"/>
    </xf>
    <xf numFmtId="0" fontId="36" fillId="0" borderId="0" xfId="0" applyFont="1" applyAlignment="1" applyProtection="1">
      <alignment horizontal="right"/>
      <protection hidden="1"/>
    </xf>
    <xf numFmtId="164" fontId="36" fillId="0" borderId="0" xfId="0" applyNumberFormat="1" applyFont="1" applyProtection="1">
      <protection hidden="1"/>
    </xf>
    <xf numFmtId="40" fontId="36" fillId="0" borderId="0" xfId="0" applyNumberFormat="1" applyFont="1" applyProtection="1">
      <protection hidden="1"/>
    </xf>
    <xf numFmtId="0" fontId="38" fillId="0" borderId="0" xfId="0" applyFont="1" applyProtection="1">
      <protection hidden="1"/>
    </xf>
    <xf numFmtId="164" fontId="36" fillId="0" borderId="0" xfId="0" applyNumberFormat="1" applyFont="1" applyAlignment="1" applyProtection="1">
      <alignment horizontal="center"/>
      <protection hidden="1"/>
    </xf>
    <xf numFmtId="0" fontId="36" fillId="0" borderId="19" xfId="0" applyFont="1" applyBorder="1" applyProtection="1">
      <protection hidden="1"/>
    </xf>
    <xf numFmtId="0" fontId="36" fillId="0" borderId="19" xfId="0" applyFont="1" applyBorder="1" applyAlignment="1" applyProtection="1">
      <alignment horizontal="right"/>
      <protection hidden="1"/>
    </xf>
    <xf numFmtId="164" fontId="36" fillId="0" borderId="19" xfId="0" applyNumberFormat="1" applyFont="1" applyBorder="1" applyProtection="1">
      <protection hidden="1"/>
    </xf>
    <xf numFmtId="40" fontId="36" fillId="0" borderId="19" xfId="0" applyNumberFormat="1" applyFont="1" applyBorder="1" applyProtection="1">
      <protection hidden="1"/>
    </xf>
    <xf numFmtId="0" fontId="40" fillId="0" borderId="26" xfId="2" applyFont="1" applyBorder="1" applyAlignment="1" applyProtection="1">
      <alignment horizontal="center"/>
      <protection hidden="1"/>
    </xf>
    <xf numFmtId="0" fontId="40" fillId="0" borderId="18" xfId="2" applyFont="1" applyBorder="1" applyProtection="1">
      <protection locked="0" hidden="1"/>
    </xf>
    <xf numFmtId="0" fontId="41" fillId="0" borderId="18" xfId="2" applyFont="1" applyBorder="1" applyProtection="1">
      <protection locked="0"/>
    </xf>
    <xf numFmtId="0" fontId="42" fillId="0" borderId="26" xfId="2" applyFont="1" applyBorder="1" applyAlignment="1" applyProtection="1">
      <alignment horizontal="center"/>
      <protection hidden="1"/>
    </xf>
    <xf numFmtId="0" fontId="41" fillId="0" borderId="25" xfId="2" applyFont="1" applyBorder="1" applyProtection="1">
      <protection locked="0"/>
    </xf>
    <xf numFmtId="0" fontId="41" fillId="0" borderId="18" xfId="0" applyFont="1" applyBorder="1"/>
    <xf numFmtId="0" fontId="41" fillId="0" borderId="18" xfId="0" applyFont="1" applyBorder="1" applyProtection="1">
      <protection locked="0"/>
    </xf>
    <xf numFmtId="0" fontId="42" fillId="0" borderId="27" xfId="2" applyFont="1" applyBorder="1" applyAlignment="1" applyProtection="1">
      <alignment horizontal="center"/>
      <protection hidden="1"/>
    </xf>
    <xf numFmtId="0" fontId="41" fillId="0" borderId="28" xfId="0" applyFont="1" applyBorder="1" applyProtection="1">
      <protection locked="0"/>
    </xf>
    <xf numFmtId="0" fontId="41" fillId="0" borderId="29" xfId="2" applyFont="1" applyBorder="1" applyProtection="1">
      <protection locked="0"/>
    </xf>
    <xf numFmtId="0" fontId="41" fillId="0" borderId="19" xfId="0" applyFont="1" applyBorder="1" applyProtection="1">
      <protection locked="0"/>
    </xf>
    <xf numFmtId="0" fontId="40" fillId="0" borderId="18" xfId="2" applyFont="1" applyBorder="1" applyProtection="1">
      <protection locked="0"/>
    </xf>
    <xf numFmtId="167" fontId="41" fillId="0" borderId="18" xfId="0" applyNumberFormat="1" applyFont="1" applyBorder="1" applyProtection="1">
      <protection locked="0"/>
    </xf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43" fillId="0" borderId="31" xfId="2" applyFont="1" applyBorder="1" applyProtection="1">
      <protection locked="0"/>
    </xf>
    <xf numFmtId="167" fontId="41" fillId="0" borderId="33" xfId="0" applyNumberFormat="1" applyFont="1" applyBorder="1"/>
    <xf numFmtId="167" fontId="41" fillId="0" borderId="33" xfId="0" applyNumberFormat="1" applyFont="1" applyBorder="1" applyProtection="1">
      <protection locked="0"/>
    </xf>
    <xf numFmtId="167" fontId="41" fillId="0" borderId="19" xfId="0" applyNumberFormat="1" applyFont="1" applyBorder="1" applyProtection="1">
      <protection locked="0"/>
    </xf>
    <xf numFmtId="0" fontId="40" fillId="0" borderId="34" xfId="2" applyFont="1" applyBorder="1" applyAlignment="1" applyProtection="1">
      <alignment horizontal="center"/>
      <protection hidden="1"/>
    </xf>
    <xf numFmtId="0" fontId="40" fillId="0" borderId="35" xfId="2" applyFont="1" applyBorder="1" applyProtection="1">
      <protection locked="0" hidden="1"/>
    </xf>
    <xf numFmtId="167" fontId="41" fillId="0" borderId="18" xfId="0" applyNumberFormat="1" applyFont="1" applyBorder="1"/>
    <xf numFmtId="0" fontId="41" fillId="0" borderId="25" xfId="0" applyFont="1" applyBorder="1" applyProtection="1">
      <protection locked="0"/>
    </xf>
    <xf numFmtId="0" fontId="44" fillId="0" borderId="18" xfId="0" applyFont="1" applyBorder="1" applyAlignment="1">
      <alignment horizontal="right"/>
    </xf>
    <xf numFmtId="0" fontId="42" fillId="0" borderId="25" xfId="2" applyFont="1" applyBorder="1" applyAlignment="1" applyProtection="1">
      <alignment horizontal="center"/>
      <protection hidden="1"/>
    </xf>
    <xf numFmtId="2" fontId="40" fillId="0" borderId="26" xfId="2" applyNumberFormat="1" applyFont="1" applyBorder="1" applyAlignment="1" applyProtection="1">
      <alignment horizontal="center"/>
      <protection hidden="1"/>
    </xf>
    <xf numFmtId="1" fontId="42" fillId="0" borderId="27" xfId="2" applyNumberFormat="1" applyFont="1" applyBorder="1" applyAlignment="1" applyProtection="1">
      <alignment horizontal="center"/>
      <protection hidden="1"/>
    </xf>
    <xf numFmtId="4" fontId="40" fillId="0" borderId="26" xfId="2" applyNumberFormat="1" applyFont="1" applyBorder="1" applyAlignment="1" applyProtection="1">
      <alignment horizontal="center"/>
      <protection hidden="1"/>
    </xf>
    <xf numFmtId="1" fontId="42" fillId="0" borderId="29" xfId="2" applyNumberFormat="1" applyFont="1" applyBorder="1" applyAlignment="1" applyProtection="1">
      <alignment horizontal="center"/>
      <protection hidden="1"/>
    </xf>
    <xf numFmtId="1" fontId="42" fillId="0" borderId="25" xfId="2" applyNumberFormat="1" applyFont="1" applyBorder="1" applyAlignment="1" applyProtection="1">
      <alignment horizontal="center"/>
      <protection hidden="1"/>
    </xf>
    <xf numFmtId="38" fontId="41" fillId="0" borderId="36" xfId="0" applyNumberFormat="1" applyFont="1" applyBorder="1" applyProtection="1">
      <protection hidden="1"/>
    </xf>
    <xf numFmtId="38" fontId="41" fillId="0" borderId="36" xfId="2" applyNumberFormat="1" applyFont="1" applyBorder="1" applyProtection="1">
      <protection hidden="1"/>
    </xf>
    <xf numFmtId="0" fontId="41" fillId="0" borderId="25" xfId="2" applyFont="1" applyBorder="1" applyProtection="1">
      <protection locked="0" hidden="1"/>
    </xf>
    <xf numFmtId="0" fontId="45" fillId="0" borderId="18" xfId="2" applyFont="1" applyBorder="1" applyProtection="1">
      <protection hidden="1"/>
    </xf>
    <xf numFmtId="0" fontId="41" fillId="0" borderId="19" xfId="2" applyFont="1" applyBorder="1" applyProtection="1">
      <protection locked="0"/>
    </xf>
    <xf numFmtId="0" fontId="41" fillId="0" borderId="18" xfId="2" applyFont="1" applyBorder="1" applyProtection="1">
      <protection hidden="1"/>
    </xf>
    <xf numFmtId="0" fontId="41" fillId="0" borderId="29" xfId="0" applyFont="1" applyBorder="1" applyProtection="1">
      <protection locked="0"/>
    </xf>
    <xf numFmtId="0" fontId="46" fillId="0" borderId="0" xfId="0" applyFont="1"/>
    <xf numFmtId="0" fontId="0" fillId="0" borderId="39" xfId="0" applyBorder="1"/>
    <xf numFmtId="0" fontId="46" fillId="11" borderId="0" xfId="0" applyFont="1" applyFill="1"/>
    <xf numFmtId="0" fontId="0" fillId="11" borderId="0" xfId="0" applyFill="1"/>
    <xf numFmtId="0" fontId="46" fillId="11" borderId="38" xfId="0" applyFont="1" applyFill="1" applyBorder="1"/>
    <xf numFmtId="0" fontId="47" fillId="11" borderId="0" xfId="0" applyFont="1" applyFill="1"/>
    <xf numFmtId="0" fontId="46" fillId="0" borderId="40" xfId="0" applyFont="1" applyBorder="1"/>
    <xf numFmtId="0" fontId="46" fillId="11" borderId="43" xfId="0" applyFont="1" applyFill="1" applyBorder="1"/>
    <xf numFmtId="0" fontId="47" fillId="0" borderId="0" xfId="0" applyFont="1"/>
    <xf numFmtId="168" fontId="46" fillId="0" borderId="40" xfId="0" applyNumberFormat="1" applyFont="1" applyBorder="1"/>
    <xf numFmtId="168" fontId="46" fillId="11" borderId="0" xfId="0" applyNumberFormat="1" applyFont="1" applyFill="1"/>
    <xf numFmtId="0" fontId="0" fillId="0" borderId="41" xfId="0" applyBorder="1"/>
    <xf numFmtId="168" fontId="0" fillId="0" borderId="50" xfId="0" applyNumberFormat="1" applyBorder="1"/>
    <xf numFmtId="168" fontId="0" fillId="0" borderId="51" xfId="0" applyNumberFormat="1" applyBorder="1"/>
    <xf numFmtId="168" fontId="48" fillId="0" borderId="52" xfId="0" applyNumberFormat="1" applyFont="1" applyBorder="1"/>
    <xf numFmtId="0" fontId="1" fillId="10" borderId="52" xfId="0" applyFont="1" applyFill="1" applyBorder="1"/>
    <xf numFmtId="0" fontId="0" fillId="0" borderId="53" xfId="0" applyBorder="1"/>
    <xf numFmtId="0" fontId="0" fillId="0" borderId="54" xfId="0" applyBorder="1"/>
    <xf numFmtId="0" fontId="0" fillId="0" borderId="42" xfId="0" applyBorder="1"/>
    <xf numFmtId="0" fontId="7" fillId="0" borderId="0" xfId="1" applyFont="1" applyAlignment="1">
      <alignment horizontal="left" indent="1"/>
    </xf>
    <xf numFmtId="0" fontId="4" fillId="4" borderId="5" xfId="1" applyFont="1" applyFill="1" applyBorder="1" applyAlignment="1" applyProtection="1">
      <alignment horizontal="left"/>
      <protection locked="0"/>
    </xf>
    <xf numFmtId="0" fontId="13" fillId="4" borderId="5" xfId="1" applyFont="1" applyFill="1" applyBorder="1" applyAlignment="1" applyProtection="1">
      <alignment horizontal="left"/>
      <protection locked="0"/>
    </xf>
    <xf numFmtId="164" fontId="14" fillId="5" borderId="5" xfId="1" applyNumberFormat="1" applyFont="1" applyFill="1" applyBorder="1" applyAlignment="1">
      <alignment horizontal="center" vertical="center"/>
    </xf>
    <xf numFmtId="0" fontId="19" fillId="6" borderId="9" xfId="1" applyFont="1" applyFill="1" applyBorder="1" applyAlignment="1">
      <alignment horizontal="center" vertical="center"/>
    </xf>
    <xf numFmtId="0" fontId="18" fillId="0" borderId="7" xfId="1" applyFont="1" applyBorder="1"/>
    <xf numFmtId="0" fontId="49" fillId="0" borderId="56" xfId="0" applyFont="1" applyBorder="1" applyAlignment="1">
      <alignment horizontal="left" vertical="center" shrinkToFit="1"/>
    </xf>
    <xf numFmtId="0" fontId="50" fillId="0" borderId="56" xfId="0" applyFont="1" applyBorder="1" applyAlignment="1">
      <alignment horizontal="left" vertical="center" shrinkToFit="1"/>
    </xf>
    <xf numFmtId="40" fontId="0" fillId="0" borderId="26" xfId="0" applyNumberFormat="1" applyBorder="1" applyAlignment="1" applyProtection="1">
      <alignment shrinkToFit="1"/>
      <protection hidden="1"/>
    </xf>
    <xf numFmtId="0" fontId="51" fillId="8" borderId="57" xfId="0" applyFont="1" applyFill="1" applyBorder="1" applyAlignment="1">
      <alignment horizontal="center"/>
    </xf>
    <xf numFmtId="0" fontId="51" fillId="8" borderId="55" xfId="0" applyFont="1" applyFill="1" applyBorder="1" applyAlignment="1">
      <alignment horizontal="center"/>
    </xf>
    <xf numFmtId="164" fontId="51" fillId="8" borderId="55" xfId="0" applyNumberFormat="1" applyFont="1" applyFill="1" applyBorder="1" applyAlignment="1">
      <alignment horizontal="center"/>
    </xf>
    <xf numFmtId="40" fontId="51" fillId="8" borderId="55" xfId="0" applyNumberFormat="1" applyFont="1" applyFill="1" applyBorder="1" applyAlignment="1">
      <alignment horizontal="center"/>
    </xf>
    <xf numFmtId="0" fontId="51" fillId="9" borderId="55" xfId="0" applyFont="1" applyFill="1" applyBorder="1" applyAlignment="1">
      <alignment horizontal="center"/>
    </xf>
    <xf numFmtId="0" fontId="52" fillId="9" borderId="29" xfId="0" applyFont="1" applyFill="1" applyBorder="1" applyAlignment="1" applyProtection="1">
      <alignment horizontal="left"/>
      <protection hidden="1"/>
    </xf>
    <xf numFmtId="0" fontId="49" fillId="0" borderId="37" xfId="0" applyFont="1" applyBorder="1" applyAlignment="1">
      <alignment horizontal="left" vertical="center" shrinkToFit="1"/>
    </xf>
    <xf numFmtId="14" fontId="49" fillId="0" borderId="37" xfId="0" applyNumberFormat="1" applyFont="1" applyBorder="1" applyAlignment="1">
      <alignment horizontal="left" vertical="center" shrinkToFit="1"/>
    </xf>
    <xf numFmtId="166" fontId="49" fillId="0" borderId="37" xfId="0" applyNumberFormat="1" applyFont="1" applyBorder="1" applyAlignment="1">
      <alignment horizontal="left" vertical="center" shrinkToFit="1"/>
    </xf>
    <xf numFmtId="0" fontId="49" fillId="0" borderId="25" xfId="0" applyFont="1" applyBorder="1" applyAlignment="1" applyProtection="1">
      <alignment horizontal="left" vertical="center" shrinkToFit="1"/>
      <protection locked="0"/>
    </xf>
    <xf numFmtId="0" fontId="50" fillId="0" borderId="37" xfId="0" applyFont="1" applyBorder="1" applyAlignment="1">
      <alignment horizontal="left" vertical="center" shrinkToFit="1"/>
    </xf>
    <xf numFmtId="166" fontId="50" fillId="0" borderId="37" xfId="0" applyNumberFormat="1" applyFont="1" applyBorder="1" applyAlignment="1">
      <alignment horizontal="left" vertical="center" shrinkToFit="1"/>
    </xf>
    <xf numFmtId="0" fontId="50" fillId="0" borderId="25" xfId="0" applyFont="1" applyBorder="1" applyAlignment="1" applyProtection="1">
      <alignment horizontal="left" vertical="center" shrinkToFit="1"/>
      <protection locked="0"/>
    </xf>
    <xf numFmtId="14" fontId="50" fillId="0" borderId="37" xfId="0" applyNumberFormat="1" applyFont="1" applyBorder="1" applyAlignment="1">
      <alignment horizontal="left" vertical="center" shrinkToFit="1"/>
    </xf>
    <xf numFmtId="0" fontId="52" fillId="0" borderId="26" xfId="0" applyFont="1" applyBorder="1" applyAlignment="1" applyProtection="1">
      <alignment horizontal="center" shrinkToFit="1"/>
      <protection hidden="1"/>
    </xf>
    <xf numFmtId="0" fontId="50" fillId="12" borderId="56" xfId="0" applyFont="1" applyFill="1" applyBorder="1" applyAlignment="1">
      <alignment horizontal="left" vertical="center" shrinkToFit="1"/>
    </xf>
    <xf numFmtId="0" fontId="50" fillId="12" borderId="37" xfId="0" applyFont="1" applyFill="1" applyBorder="1" applyAlignment="1">
      <alignment horizontal="left" vertical="center" shrinkToFit="1"/>
    </xf>
    <xf numFmtId="0" fontId="49" fillId="12" borderId="37" xfId="0" applyFont="1" applyFill="1" applyBorder="1" applyAlignment="1">
      <alignment horizontal="left" vertical="center" shrinkToFit="1"/>
    </xf>
    <xf numFmtId="0" fontId="50" fillId="12" borderId="25" xfId="0" applyFont="1" applyFill="1" applyBorder="1" applyAlignment="1" applyProtection="1">
      <alignment horizontal="left" vertical="center" shrinkToFit="1"/>
      <protection locked="0"/>
    </xf>
    <xf numFmtId="14" fontId="49" fillId="12" borderId="37" xfId="0" applyNumberFormat="1" applyFont="1" applyFill="1" applyBorder="1" applyAlignment="1">
      <alignment horizontal="left" vertical="center" shrinkToFit="1"/>
    </xf>
    <xf numFmtId="0" fontId="49" fillId="12" borderId="25" xfId="0" applyFont="1" applyFill="1" applyBorder="1" applyAlignment="1" applyProtection="1">
      <alignment horizontal="left" vertical="center" shrinkToFit="1"/>
      <protection locked="0"/>
    </xf>
    <xf numFmtId="0" fontId="53" fillId="12" borderId="4" xfId="1" applyFont="1" applyFill="1" applyBorder="1" applyAlignment="1" applyProtection="1">
      <alignment horizontal="center"/>
      <protection locked="0"/>
    </xf>
    <xf numFmtId="0" fontId="21" fillId="0" borderId="4" xfId="1" applyFont="1" applyBorder="1" applyAlignment="1" applyProtection="1">
      <alignment horizontal="center"/>
      <protection locked="0"/>
    </xf>
    <xf numFmtId="44" fontId="5" fillId="2" borderId="0" xfId="1" applyNumberFormat="1" applyFont="1" applyFill="1"/>
    <xf numFmtId="0" fontId="55" fillId="12" borderId="37" xfId="0" applyFont="1" applyFill="1" applyBorder="1" applyAlignment="1">
      <alignment horizontal="left" vertical="center" shrinkToFit="1"/>
    </xf>
    <xf numFmtId="14" fontId="55" fillId="12" borderId="37" xfId="0" applyNumberFormat="1" applyFont="1" applyFill="1" applyBorder="1" applyAlignment="1">
      <alignment horizontal="left" vertical="center" shrinkToFit="1"/>
    </xf>
    <xf numFmtId="0" fontId="13" fillId="12" borderId="4" xfId="1" applyFont="1" applyFill="1" applyBorder="1" applyAlignment="1" applyProtection="1">
      <alignment horizontal="center"/>
      <protection locked="0"/>
    </xf>
    <xf numFmtId="0" fontId="56" fillId="12" borderId="37" xfId="0" applyFont="1" applyFill="1" applyBorder="1" applyAlignment="1">
      <alignment horizontal="left" vertical="center" shrinkToFit="1"/>
    </xf>
    <xf numFmtId="14" fontId="56" fillId="12" borderId="37" xfId="0" applyNumberFormat="1" applyFont="1" applyFill="1" applyBorder="1" applyAlignment="1">
      <alignment horizontal="left" vertical="center" shrinkToFit="1"/>
    </xf>
    <xf numFmtId="0" fontId="13" fillId="12" borderId="5" xfId="1" applyFont="1" applyFill="1" applyBorder="1" applyAlignment="1" applyProtection="1">
      <alignment horizontal="left"/>
      <protection locked="0"/>
    </xf>
    <xf numFmtId="0" fontId="13" fillId="12" borderId="3" xfId="1" applyFont="1" applyFill="1" applyBorder="1" applyAlignment="1" applyProtection="1">
      <alignment horizontal="center"/>
      <protection locked="0"/>
    </xf>
    <xf numFmtId="44" fontId="13" fillId="12" borderId="3" xfId="1" applyNumberFormat="1" applyFont="1" applyFill="1" applyBorder="1" applyAlignment="1" applyProtection="1">
      <alignment horizontal="center"/>
      <protection locked="0"/>
    </xf>
    <xf numFmtId="0" fontId="4" fillId="12" borderId="5" xfId="1" applyFont="1" applyFill="1" applyBorder="1" applyAlignment="1" applyProtection="1">
      <alignment horizontal="left"/>
      <protection locked="0"/>
    </xf>
    <xf numFmtId="0" fontId="57" fillId="12" borderId="37" xfId="0" applyFont="1" applyFill="1" applyBorder="1" applyAlignment="1">
      <alignment horizontal="left" vertical="center" shrinkToFit="1"/>
    </xf>
    <xf numFmtId="8" fontId="13" fillId="4" borderId="4" xfId="1" applyNumberFormat="1" applyFont="1" applyFill="1" applyBorder="1" applyAlignment="1" applyProtection="1">
      <alignment horizontal="center"/>
      <protection locked="0"/>
    </xf>
    <xf numFmtId="164" fontId="21" fillId="3" borderId="0" xfId="1" applyNumberFormat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165" fontId="21" fillId="3" borderId="0" xfId="1" applyNumberFormat="1" applyFont="1" applyFill="1" applyAlignment="1" applyProtection="1">
      <alignment horizontal="center"/>
      <protection locked="0"/>
    </xf>
    <xf numFmtId="0" fontId="13" fillId="13" borderId="4" xfId="1" applyFont="1" applyFill="1" applyBorder="1" applyAlignment="1" applyProtection="1">
      <alignment horizontal="center"/>
      <protection locked="0"/>
    </xf>
    <xf numFmtId="0" fontId="13" fillId="13" borderId="5" xfId="1" applyFont="1" applyFill="1" applyBorder="1" applyAlignment="1" applyProtection="1">
      <alignment horizontal="left"/>
      <protection locked="0"/>
    </xf>
    <xf numFmtId="0" fontId="13" fillId="13" borderId="3" xfId="1" applyFont="1" applyFill="1" applyBorder="1" applyAlignment="1" applyProtection="1">
      <alignment horizontal="center"/>
      <protection locked="0"/>
    </xf>
    <xf numFmtId="44" fontId="13" fillId="13" borderId="3" xfId="1" applyNumberFormat="1" applyFont="1" applyFill="1" applyBorder="1" applyAlignment="1" applyProtection="1">
      <alignment horizontal="center"/>
      <protection locked="0"/>
    </xf>
    <xf numFmtId="0" fontId="19" fillId="6" borderId="0" xfId="1" applyFont="1" applyFill="1" applyAlignment="1">
      <alignment horizontal="center" vertical="center"/>
    </xf>
    <xf numFmtId="0" fontId="59" fillId="14" borderId="58" xfId="0" applyFont="1" applyFill="1" applyBorder="1" applyAlignment="1" applyProtection="1">
      <alignment horizontal="left"/>
      <protection locked="0"/>
    </xf>
    <xf numFmtId="0" fontId="59" fillId="14" borderId="58" xfId="0" applyFont="1" applyFill="1" applyBorder="1" applyAlignment="1" applyProtection="1">
      <alignment horizontal="center"/>
      <protection locked="0"/>
    </xf>
    <xf numFmtId="0" fontId="59" fillId="14" borderId="61" xfId="0" applyFont="1" applyFill="1" applyBorder="1" applyAlignment="1" applyProtection="1">
      <alignment horizontal="center"/>
      <protection locked="0"/>
    </xf>
    <xf numFmtId="8" fontId="9" fillId="3" borderId="0" xfId="1" applyNumberFormat="1" applyFont="1" applyFill="1" applyAlignment="1" applyProtection="1">
      <alignment horizontal="center"/>
      <protection locked="0"/>
    </xf>
    <xf numFmtId="0" fontId="13" fillId="12" borderId="0" xfId="1" applyFont="1" applyFill="1"/>
    <xf numFmtId="0" fontId="59" fillId="14" borderId="62" xfId="0" applyFont="1" applyFill="1" applyBorder="1" applyAlignment="1" applyProtection="1">
      <alignment horizontal="center"/>
      <protection locked="0"/>
    </xf>
    <xf numFmtId="0" fontId="49" fillId="13" borderId="25" xfId="0" applyFont="1" applyFill="1" applyBorder="1" applyAlignment="1" applyProtection="1">
      <alignment horizontal="left" vertical="center" shrinkToFit="1"/>
      <protection locked="0"/>
    </xf>
    <xf numFmtId="4" fontId="13" fillId="13" borderId="4" xfId="1" applyNumberFormat="1" applyFont="1" applyFill="1" applyBorder="1" applyAlignment="1" applyProtection="1">
      <alignment horizontal="center"/>
      <protection locked="0"/>
    </xf>
    <xf numFmtId="0" fontId="64" fillId="3" borderId="0" xfId="3" applyFill="1" applyAlignment="1">
      <alignment horizontal="left"/>
    </xf>
    <xf numFmtId="0" fontId="64" fillId="3" borderId="23" xfId="3" applyFill="1" applyBorder="1" applyProtection="1">
      <protection locked="0"/>
    </xf>
    <xf numFmtId="14" fontId="49" fillId="15" borderId="37" xfId="0" applyNumberFormat="1" applyFont="1" applyFill="1" applyBorder="1" applyAlignment="1">
      <alignment horizontal="left" vertical="center" shrinkToFit="1"/>
    </xf>
    <xf numFmtId="0" fontId="49" fillId="15" borderId="37" xfId="0" applyFont="1" applyFill="1" applyBorder="1" applyAlignment="1">
      <alignment horizontal="left" vertical="center" shrinkToFit="1"/>
    </xf>
    <xf numFmtId="14" fontId="50" fillId="15" borderId="37" xfId="0" applyNumberFormat="1" applyFont="1" applyFill="1" applyBorder="1" applyAlignment="1">
      <alignment horizontal="left" vertical="center" shrinkToFit="1"/>
    </xf>
    <xf numFmtId="14" fontId="49" fillId="16" borderId="37" xfId="0" applyNumberFormat="1" applyFont="1" applyFill="1" applyBorder="1" applyAlignment="1">
      <alignment horizontal="left" vertical="center" shrinkToFit="1"/>
    </xf>
    <xf numFmtId="0" fontId="49" fillId="16" borderId="37" xfId="0" applyFont="1" applyFill="1" applyBorder="1" applyAlignment="1">
      <alignment horizontal="left" vertical="center" shrinkToFit="1"/>
    </xf>
    <xf numFmtId="14" fontId="49" fillId="17" borderId="66" xfId="0" applyNumberFormat="1" applyFont="1" applyFill="1" applyBorder="1" applyAlignment="1" applyProtection="1">
      <alignment horizontal="left" vertical="center" shrinkToFit="1"/>
      <protection locked="0"/>
    </xf>
    <xf numFmtId="0" fontId="49" fillId="17" borderId="66" xfId="0" applyFont="1" applyFill="1" applyBorder="1" applyAlignment="1" applyProtection="1">
      <alignment horizontal="left" vertical="center" shrinkToFit="1"/>
      <protection locked="0"/>
    </xf>
    <xf numFmtId="14" fontId="49" fillId="11" borderId="37" xfId="0" applyNumberFormat="1" applyFont="1" applyFill="1" applyBorder="1" applyAlignment="1">
      <alignment horizontal="left" vertical="center" shrinkToFit="1"/>
    </xf>
    <xf numFmtId="0" fontId="49" fillId="11" borderId="37" xfId="0" applyFont="1" applyFill="1" applyBorder="1" applyAlignment="1">
      <alignment horizontal="left" vertical="center" shrinkToFit="1"/>
    </xf>
    <xf numFmtId="14" fontId="49" fillId="17" borderId="37" xfId="0" applyNumberFormat="1" applyFont="1" applyFill="1" applyBorder="1" applyAlignment="1" applyProtection="1">
      <alignment horizontal="left" vertical="center" shrinkToFit="1"/>
      <protection locked="0"/>
    </xf>
    <xf numFmtId="14" fontId="49" fillId="0" borderId="66" xfId="0" applyNumberFormat="1" applyFont="1" applyBorder="1" applyAlignment="1">
      <alignment horizontal="left" vertical="center" shrinkToFit="1"/>
    </xf>
    <xf numFmtId="0" fontId="49" fillId="17" borderId="37" xfId="0" applyFont="1" applyFill="1" applyBorder="1" applyAlignment="1" applyProtection="1">
      <alignment horizontal="left" vertical="center" shrinkToFit="1"/>
      <protection locked="0"/>
    </xf>
    <xf numFmtId="0" fontId="49" fillId="0" borderId="66" xfId="0" applyFont="1" applyBorder="1" applyAlignment="1">
      <alignment horizontal="left" vertical="center" shrinkToFit="1"/>
    </xf>
    <xf numFmtId="166" fontId="49" fillId="0" borderId="66" xfId="0" applyNumberFormat="1" applyFont="1" applyBorder="1" applyAlignment="1">
      <alignment horizontal="left" vertical="center" shrinkToFit="1"/>
    </xf>
    <xf numFmtId="0" fontId="49" fillId="18" borderId="37" xfId="0" applyFont="1" applyFill="1" applyBorder="1" applyAlignment="1">
      <alignment horizontal="left" vertical="center" shrinkToFit="1"/>
    </xf>
    <xf numFmtId="14" fontId="49" fillId="18" borderId="37" xfId="0" applyNumberFormat="1" applyFont="1" applyFill="1" applyBorder="1" applyAlignment="1">
      <alignment horizontal="left" vertical="center" shrinkToFit="1"/>
    </xf>
    <xf numFmtId="14" fontId="49" fillId="19" borderId="67" xfId="0" applyNumberFormat="1" applyFont="1" applyFill="1" applyBorder="1" applyAlignment="1">
      <alignment horizontal="left" vertical="center" shrinkToFit="1"/>
    </xf>
    <xf numFmtId="0" fontId="49" fillId="19" borderId="67" xfId="0" applyFont="1" applyFill="1" applyBorder="1" applyAlignment="1">
      <alignment horizontal="left" vertical="center" shrinkToFit="1"/>
    </xf>
    <xf numFmtId="14" fontId="49" fillId="19" borderId="37" xfId="0" applyNumberFormat="1" applyFont="1" applyFill="1" applyBorder="1" applyAlignment="1">
      <alignment horizontal="left" vertical="center" shrinkToFit="1"/>
    </xf>
    <xf numFmtId="14" fontId="49" fillId="17" borderId="67" xfId="0" applyNumberFormat="1" applyFont="1" applyFill="1" applyBorder="1" applyAlignment="1" applyProtection="1">
      <alignment horizontal="left" vertical="center" shrinkToFit="1"/>
      <protection locked="0"/>
    </xf>
    <xf numFmtId="14" fontId="49" fillId="0" borderId="67" xfId="0" applyNumberFormat="1" applyFont="1" applyBorder="1" applyAlignment="1">
      <alignment horizontal="left" vertical="center" shrinkToFit="1"/>
    </xf>
    <xf numFmtId="0" fontId="49" fillId="19" borderId="37" xfId="0" applyFont="1" applyFill="1" applyBorder="1" applyAlignment="1">
      <alignment horizontal="left" vertical="center" shrinkToFit="1"/>
    </xf>
    <xf numFmtId="0" fontId="49" fillId="17" borderId="67" xfId="0" applyFont="1" applyFill="1" applyBorder="1" applyAlignment="1" applyProtection="1">
      <alignment horizontal="left" vertical="center" shrinkToFit="1"/>
      <protection locked="0"/>
    </xf>
    <xf numFmtId="0" fontId="65" fillId="0" borderId="0" xfId="0" applyFont="1"/>
    <xf numFmtId="14" fontId="49" fillId="19" borderId="66" xfId="0" applyNumberFormat="1" applyFont="1" applyFill="1" applyBorder="1" applyAlignment="1">
      <alignment horizontal="left" vertical="center" shrinkToFit="1"/>
    </xf>
    <xf numFmtId="0" fontId="49" fillId="0" borderId="67" xfId="0" applyFont="1" applyBorder="1" applyAlignment="1">
      <alignment horizontal="left" vertical="center" shrinkToFit="1"/>
    </xf>
    <xf numFmtId="0" fontId="49" fillId="4" borderId="37" xfId="0" applyFont="1" applyFill="1" applyBorder="1" applyAlignment="1">
      <alignment horizontal="left" vertical="center" shrinkToFit="1"/>
    </xf>
    <xf numFmtId="0" fontId="49" fillId="0" borderId="69" xfId="0" applyFont="1" applyBorder="1" applyAlignment="1">
      <alignment horizontal="left" vertical="center" shrinkToFit="1"/>
    </xf>
    <xf numFmtId="0" fontId="50" fillId="0" borderId="69" xfId="0" applyFont="1" applyBorder="1" applyAlignment="1">
      <alignment horizontal="left" vertical="center" shrinkToFit="1"/>
    </xf>
    <xf numFmtId="166" fontId="49" fillId="0" borderId="69" xfId="0" applyNumberFormat="1" applyFont="1" applyBorder="1" applyAlignment="1">
      <alignment horizontal="left" vertical="center" shrinkToFit="1"/>
    </xf>
    <xf numFmtId="14" fontId="49" fillId="0" borderId="69" xfId="0" applyNumberFormat="1" applyFont="1" applyBorder="1" applyAlignment="1">
      <alignment horizontal="left" vertical="center" shrinkToFit="1"/>
    </xf>
    <xf numFmtId="0" fontId="58" fillId="0" borderId="69" xfId="0" applyFont="1" applyBorder="1" applyAlignment="1">
      <alignment horizontal="left" vertical="center" shrinkToFit="1"/>
    </xf>
    <xf numFmtId="0" fontId="68" fillId="5" borderId="3" xfId="1" applyFont="1" applyFill="1" applyBorder="1" applyAlignment="1">
      <alignment horizontal="center" vertical="center"/>
    </xf>
    <xf numFmtId="0" fontId="68" fillId="5" borderId="4" xfId="1" applyFont="1" applyFill="1" applyBorder="1" applyAlignment="1">
      <alignment horizontal="center" vertical="center"/>
    </xf>
    <xf numFmtId="0" fontId="49" fillId="18" borderId="67" xfId="0" applyFont="1" applyFill="1" applyBorder="1" applyAlignment="1">
      <alignment horizontal="left" vertical="center" shrinkToFit="1"/>
    </xf>
    <xf numFmtId="166" fontId="49" fillId="0" borderId="37" xfId="0" applyNumberFormat="1" applyFont="1" applyBorder="1" applyAlignment="1" applyProtection="1">
      <alignment horizontal="left" vertical="center" shrinkToFit="1"/>
      <protection locked="0"/>
    </xf>
    <xf numFmtId="0" fontId="49" fillId="19" borderId="66" xfId="0" applyFont="1" applyFill="1" applyBorder="1" applyAlignment="1">
      <alignment horizontal="left" vertical="center" shrinkToFit="1"/>
    </xf>
    <xf numFmtId="0" fontId="66" fillId="22" borderId="67" xfId="0" applyFont="1" applyFill="1" applyBorder="1" applyAlignment="1">
      <alignment horizontal="left" vertical="center" shrinkToFit="1"/>
    </xf>
    <xf numFmtId="0" fontId="67" fillId="21" borderId="68" xfId="0" applyFont="1" applyFill="1" applyBorder="1" applyAlignment="1" applyProtection="1">
      <alignment horizontal="right"/>
      <protection locked="0"/>
    </xf>
    <xf numFmtId="0" fontId="67" fillId="21" borderId="68" xfId="0" applyFont="1" applyFill="1" applyBorder="1" applyAlignment="1" applyProtection="1">
      <alignment horizontal="left"/>
      <protection locked="0"/>
    </xf>
    <xf numFmtId="169" fontId="67" fillId="21" borderId="68" xfId="0" applyNumberFormat="1" applyFont="1" applyFill="1" applyBorder="1" applyAlignment="1" applyProtection="1">
      <alignment horizontal="right"/>
      <protection locked="0"/>
    </xf>
    <xf numFmtId="0" fontId="49" fillId="15" borderId="67" xfId="0" applyFont="1" applyFill="1" applyBorder="1" applyAlignment="1">
      <alignment horizontal="left" vertical="center" shrinkToFit="1"/>
    </xf>
    <xf numFmtId="0" fontId="49" fillId="16" borderId="67" xfId="0" applyFont="1" applyFill="1" applyBorder="1" applyAlignment="1">
      <alignment horizontal="left" vertical="center" shrinkToFit="1"/>
    </xf>
    <xf numFmtId="40" fontId="67" fillId="21" borderId="68" xfId="0" applyNumberFormat="1" applyFont="1" applyFill="1" applyBorder="1" applyAlignment="1" applyProtection="1">
      <alignment horizontal="right"/>
      <protection locked="0"/>
    </xf>
    <xf numFmtId="0" fontId="57" fillId="12" borderId="25" xfId="0" applyFont="1" applyFill="1" applyBorder="1" applyAlignment="1" applyProtection="1">
      <alignment horizontal="left" vertical="center" shrinkToFit="1"/>
      <protection locked="0"/>
    </xf>
    <xf numFmtId="0" fontId="67" fillId="21" borderId="56" xfId="0" applyFont="1" applyFill="1" applyBorder="1" applyAlignment="1" applyProtection="1">
      <alignment horizontal="right"/>
      <protection locked="0"/>
    </xf>
    <xf numFmtId="169" fontId="67" fillId="21" borderId="37" xfId="0" applyNumberFormat="1" applyFont="1" applyFill="1" applyBorder="1" applyAlignment="1" applyProtection="1">
      <alignment horizontal="right"/>
      <protection locked="0"/>
    </xf>
    <xf numFmtId="166" fontId="49" fillId="0" borderId="67" xfId="0" applyNumberFormat="1" applyFont="1" applyBorder="1" applyAlignment="1">
      <alignment horizontal="left" vertical="center" shrinkToFit="1"/>
    </xf>
    <xf numFmtId="0" fontId="13" fillId="4" borderId="3" xfId="1" applyFont="1" applyFill="1" applyBorder="1" applyAlignment="1" applyProtection="1">
      <alignment horizontal="left"/>
      <protection locked="0"/>
    </xf>
    <xf numFmtId="164" fontId="21" fillId="3" borderId="19" xfId="1" applyNumberFormat="1" applyFont="1" applyFill="1" applyBorder="1" applyAlignment="1" applyProtection="1">
      <alignment horizontal="center"/>
      <protection locked="0"/>
    </xf>
    <xf numFmtId="0" fontId="66" fillId="24" borderId="67" xfId="0" applyFont="1" applyFill="1" applyBorder="1" applyAlignment="1">
      <alignment horizontal="left" vertical="center" shrinkToFit="1"/>
    </xf>
    <xf numFmtId="0" fontId="67" fillId="21" borderId="37" xfId="0" applyFont="1" applyFill="1" applyBorder="1" applyAlignment="1" applyProtection="1">
      <alignment horizontal="left"/>
      <protection locked="0"/>
    </xf>
    <xf numFmtId="0" fontId="58" fillId="0" borderId="37" xfId="0" applyFont="1" applyBorder="1" applyAlignment="1">
      <alignment horizontal="left" vertical="center" shrinkToFit="1"/>
    </xf>
    <xf numFmtId="0" fontId="66" fillId="22" borderId="37" xfId="0" applyFont="1" applyFill="1" applyBorder="1" applyAlignment="1">
      <alignment horizontal="left" vertical="center" shrinkToFit="1"/>
    </xf>
    <xf numFmtId="0" fontId="66" fillId="24" borderId="37" xfId="0" applyFont="1" applyFill="1" applyBorder="1" applyAlignment="1">
      <alignment horizontal="left" vertical="center" shrinkToFit="1"/>
    </xf>
    <xf numFmtId="40" fontId="67" fillId="21" borderId="37" xfId="0" applyNumberFormat="1" applyFont="1" applyFill="1" applyBorder="1" applyAlignment="1" applyProtection="1">
      <alignment horizontal="right"/>
      <protection locked="0"/>
    </xf>
    <xf numFmtId="0" fontId="49" fillId="0" borderId="68" xfId="0" applyFont="1" applyBorder="1" applyAlignment="1">
      <alignment horizontal="left" vertical="center" shrinkToFit="1"/>
    </xf>
    <xf numFmtId="0" fontId="58" fillId="0" borderId="68" xfId="0" applyFont="1" applyBorder="1" applyAlignment="1">
      <alignment horizontal="left" vertical="center" shrinkToFit="1"/>
    </xf>
    <xf numFmtId="14" fontId="49" fillId="0" borderId="68" xfId="0" applyNumberFormat="1" applyFont="1" applyBorder="1" applyAlignment="1">
      <alignment horizontal="left" vertical="center" shrinkToFit="1"/>
    </xf>
    <xf numFmtId="0" fontId="58" fillId="0" borderId="67" xfId="0" applyFont="1" applyBorder="1" applyAlignment="1">
      <alignment horizontal="left" vertical="center" shrinkToFit="1"/>
    </xf>
    <xf numFmtId="0" fontId="13" fillId="0" borderId="4" xfId="1" applyFont="1" applyBorder="1" applyAlignment="1" applyProtection="1">
      <alignment horizontal="center"/>
      <protection locked="0"/>
    </xf>
    <xf numFmtId="0" fontId="13" fillId="0" borderId="3" xfId="1" applyFont="1" applyBorder="1" applyAlignment="1" applyProtection="1">
      <alignment horizontal="center"/>
      <protection locked="0"/>
    </xf>
    <xf numFmtId="44" fontId="13" fillId="0" borderId="3" xfId="1" applyNumberFormat="1" applyFont="1" applyBorder="1" applyAlignment="1" applyProtection="1">
      <alignment horizontal="center"/>
      <protection locked="0"/>
    </xf>
    <xf numFmtId="4" fontId="13" fillId="0" borderId="4" xfId="1" applyNumberFormat="1" applyFont="1" applyBorder="1" applyAlignment="1" applyProtection="1">
      <alignment horizontal="center"/>
      <protection locked="0"/>
    </xf>
    <xf numFmtId="14" fontId="55" fillId="0" borderId="37" xfId="0" applyNumberFormat="1" applyFont="1" applyBorder="1" applyAlignment="1">
      <alignment horizontal="left" vertical="center" shrinkToFit="1"/>
    </xf>
    <xf numFmtId="14" fontId="49" fillId="0" borderId="55" xfId="0" applyNumberFormat="1" applyFont="1" applyBorder="1" applyAlignment="1">
      <alignment horizontal="left" vertical="center" shrinkToFit="1"/>
    </xf>
    <xf numFmtId="0" fontId="49" fillId="15" borderId="66" xfId="0" applyFont="1" applyFill="1" applyBorder="1" applyAlignment="1">
      <alignment horizontal="left" vertical="center" shrinkToFit="1"/>
    </xf>
    <xf numFmtId="0" fontId="66" fillId="22" borderId="66" xfId="0" applyFont="1" applyFill="1" applyBorder="1" applyAlignment="1">
      <alignment horizontal="left" vertical="center" shrinkToFit="1"/>
    </xf>
    <xf numFmtId="166" fontId="49" fillId="0" borderId="68" xfId="0" applyNumberFormat="1" applyFont="1" applyBorder="1" applyAlignment="1">
      <alignment horizontal="left" vertical="center" shrinkToFit="1"/>
    </xf>
    <xf numFmtId="0" fontId="66" fillId="0" borderId="66" xfId="0" applyFont="1" applyBorder="1" applyAlignment="1">
      <alignment horizontal="left" vertical="center" shrinkToFit="1"/>
    </xf>
    <xf numFmtId="0" fontId="59" fillId="0" borderId="0" xfId="0" applyFont="1" applyAlignment="1" applyProtection="1">
      <alignment horizontal="center"/>
      <protection locked="0"/>
    </xf>
    <xf numFmtId="4" fontId="59" fillId="0" borderId="0" xfId="0" applyNumberFormat="1" applyFont="1" applyAlignment="1" applyProtection="1">
      <alignment horizontal="center"/>
      <protection locked="0"/>
    </xf>
    <xf numFmtId="44" fontId="59" fillId="0" borderId="0" xfId="0" applyNumberFormat="1" applyFont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4" fontId="13" fillId="0" borderId="0" xfId="1" applyNumberFormat="1" applyFont="1" applyAlignment="1" applyProtection="1">
      <alignment horizontal="center"/>
      <protection locked="0"/>
    </xf>
    <xf numFmtId="164" fontId="60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 shrinkToFit="1"/>
    </xf>
    <xf numFmtId="0" fontId="58" fillId="0" borderId="0" xfId="0" applyFont="1" applyAlignment="1">
      <alignment horizontal="left" vertical="center" shrinkToFit="1"/>
    </xf>
    <xf numFmtId="14" fontId="49" fillId="0" borderId="0" xfId="0" applyNumberFormat="1" applyFont="1" applyAlignment="1">
      <alignment horizontal="left" vertical="center" shrinkToFit="1"/>
    </xf>
    <xf numFmtId="166" fontId="49" fillId="0" borderId="0" xfId="0" applyNumberFormat="1" applyFont="1" applyAlignment="1">
      <alignment horizontal="left" vertical="center" shrinkToFit="1"/>
    </xf>
    <xf numFmtId="0" fontId="62" fillId="0" borderId="0" xfId="0" applyFont="1" applyAlignment="1" applyProtection="1">
      <alignment horizontal="right"/>
      <protection locked="0"/>
    </xf>
    <xf numFmtId="0" fontId="14" fillId="0" borderId="0" xfId="1" applyFont="1" applyAlignment="1">
      <alignment horizontal="center" vertical="center"/>
    </xf>
    <xf numFmtId="0" fontId="57" fillId="0" borderId="0" xfId="0" applyFont="1" applyAlignment="1">
      <alignment horizontal="left" vertical="center" shrinkToFit="1"/>
    </xf>
    <xf numFmtId="166" fontId="63" fillId="0" borderId="0" xfId="1" applyNumberFormat="1" applyFont="1" applyAlignment="1" applyProtection="1">
      <alignment horizontal="center"/>
      <protection locked="0"/>
    </xf>
    <xf numFmtId="0" fontId="63" fillId="0" borderId="0" xfId="1" applyFont="1" applyAlignment="1" applyProtection="1">
      <alignment horizontal="center"/>
      <protection locked="0"/>
    </xf>
    <xf numFmtId="0" fontId="50" fillId="0" borderId="0" xfId="0" applyFont="1"/>
    <xf numFmtId="0" fontId="66" fillId="0" borderId="0" xfId="0" applyFont="1" applyAlignment="1">
      <alignment horizontal="left"/>
    </xf>
    <xf numFmtId="0" fontId="67" fillId="0" borderId="0" xfId="0" applyFont="1" applyAlignment="1">
      <alignment horizontal="center"/>
    </xf>
    <xf numFmtId="0" fontId="67" fillId="0" borderId="0" xfId="0" applyFont="1" applyAlignment="1">
      <alignment horizontal="left"/>
    </xf>
    <xf numFmtId="0" fontId="67" fillId="0" borderId="0" xfId="0" applyFont="1"/>
    <xf numFmtId="0" fontId="49" fillId="0" borderId="0" xfId="0" applyFont="1" applyAlignment="1" applyProtection="1">
      <alignment horizontal="left" vertical="center" shrinkToFit="1"/>
      <protection locked="0"/>
    </xf>
    <xf numFmtId="14" fontId="49" fillId="0" borderId="0" xfId="0" applyNumberFormat="1" applyFont="1" applyAlignment="1" applyProtection="1">
      <alignment horizontal="left" vertical="center" shrinkToFit="1"/>
      <protection locked="0"/>
    </xf>
    <xf numFmtId="166" fontId="49" fillId="0" borderId="0" xfId="0" applyNumberFormat="1" applyFont="1" applyAlignment="1" applyProtection="1">
      <alignment horizontal="left" vertical="center" shrinkToFit="1"/>
      <protection locked="0"/>
    </xf>
    <xf numFmtId="0" fontId="56" fillId="0" borderId="0" xfId="0" applyFont="1" applyAlignment="1" applyProtection="1">
      <alignment horizontal="left"/>
      <protection hidden="1"/>
    </xf>
    <xf numFmtId="0" fontId="57" fillId="0" borderId="0" xfId="0" applyFont="1" applyAlignment="1" applyProtection="1">
      <alignment horizontal="left" vertical="center" shrinkToFit="1"/>
      <protection locked="0"/>
    </xf>
    <xf numFmtId="166" fontId="0" fillId="0" borderId="0" xfId="0" applyNumberFormat="1"/>
    <xf numFmtId="0" fontId="66" fillId="0" borderId="0" xfId="0" applyFont="1" applyAlignment="1">
      <alignment horizontal="left" vertical="center" shrinkToFit="1"/>
    </xf>
    <xf numFmtId="0" fontId="50" fillId="0" borderId="0" xfId="0" applyFont="1" applyAlignment="1">
      <alignment horizontal="left" vertical="center" shrinkToFit="1"/>
    </xf>
    <xf numFmtId="14" fontId="57" fillId="0" borderId="0" xfId="0" applyNumberFormat="1" applyFont="1" applyAlignment="1">
      <alignment horizontal="left" vertical="center" shrinkToFit="1"/>
    </xf>
    <xf numFmtId="166" fontId="57" fillId="0" borderId="0" xfId="0" applyNumberFormat="1" applyFont="1" applyAlignment="1">
      <alignment horizontal="left" vertical="center" shrinkToFit="1"/>
    </xf>
    <xf numFmtId="0" fontId="55" fillId="0" borderId="0" xfId="0" applyFont="1" applyAlignment="1">
      <alignment horizontal="left" vertical="center" shrinkToFit="1"/>
    </xf>
    <xf numFmtId="14" fontId="55" fillId="0" borderId="0" xfId="0" applyNumberFormat="1" applyFont="1" applyAlignment="1">
      <alignment horizontal="left" vertical="center" shrinkToFit="1"/>
    </xf>
    <xf numFmtId="166" fontId="55" fillId="0" borderId="0" xfId="0" applyNumberFormat="1" applyFont="1" applyAlignment="1">
      <alignment horizontal="left" vertical="center" shrinkToFit="1"/>
    </xf>
    <xf numFmtId="0" fontId="4" fillId="0" borderId="0" xfId="1" applyFont="1" applyProtection="1">
      <protection locked="0"/>
    </xf>
    <xf numFmtId="0" fontId="59" fillId="0" borderId="0" xfId="0" applyFont="1" applyProtection="1">
      <protection locked="0"/>
    </xf>
    <xf numFmtId="0" fontId="61" fillId="0" borderId="0" xfId="0" applyFont="1" applyProtection="1">
      <protection locked="0"/>
    </xf>
    <xf numFmtId="164" fontId="60" fillId="0" borderId="0" xfId="0" applyNumberFormat="1" applyFont="1" applyAlignment="1">
      <alignment vertical="center"/>
    </xf>
    <xf numFmtId="0" fontId="58" fillId="20" borderId="69" xfId="0" applyFont="1" applyFill="1" applyBorder="1" applyAlignment="1">
      <alignment horizontal="left" vertical="center" shrinkToFit="1"/>
    </xf>
    <xf numFmtId="14" fontId="49" fillId="16" borderId="67" xfId="0" applyNumberFormat="1" applyFont="1" applyFill="1" applyBorder="1" applyAlignment="1">
      <alignment horizontal="left" vertical="center" shrinkToFit="1"/>
    </xf>
    <xf numFmtId="14" fontId="49" fillId="19" borderId="69" xfId="0" applyNumberFormat="1" applyFont="1" applyFill="1" applyBorder="1" applyAlignment="1">
      <alignment horizontal="left" vertical="center" shrinkToFit="1"/>
    </xf>
    <xf numFmtId="14" fontId="49" fillId="15" borderId="66" xfId="0" applyNumberFormat="1" applyFont="1" applyFill="1" applyBorder="1" applyAlignment="1">
      <alignment horizontal="left" vertical="center" shrinkToFit="1"/>
    </xf>
    <xf numFmtId="14" fontId="57" fillId="0" borderId="37" xfId="0" applyNumberFormat="1" applyFont="1" applyBorder="1" applyAlignment="1">
      <alignment horizontal="left" vertical="center" shrinkToFit="1"/>
    </xf>
    <xf numFmtId="14" fontId="50" fillId="12" borderId="37" xfId="0" applyNumberFormat="1" applyFont="1" applyFill="1" applyBorder="1" applyAlignment="1">
      <alignment horizontal="left" vertical="center" shrinkToFit="1"/>
    </xf>
    <xf numFmtId="14" fontId="49" fillId="15" borderId="67" xfId="0" applyNumberFormat="1" applyFont="1" applyFill="1" applyBorder="1" applyAlignment="1">
      <alignment horizontal="left" vertical="center" shrinkToFit="1"/>
    </xf>
    <xf numFmtId="0" fontId="49" fillId="19" borderId="69" xfId="0" applyFont="1" applyFill="1" applyBorder="1" applyAlignment="1">
      <alignment horizontal="left" vertical="center" shrinkToFit="1"/>
    </xf>
    <xf numFmtId="0" fontId="66" fillId="23" borderId="67" xfId="0" applyFont="1" applyFill="1" applyBorder="1" applyAlignment="1">
      <alignment horizontal="left" vertical="center" shrinkToFit="1"/>
    </xf>
    <xf numFmtId="0" fontId="66" fillId="22" borderId="69" xfId="0" applyFont="1" applyFill="1" applyBorder="1" applyAlignment="1">
      <alignment horizontal="left" vertical="center" shrinkToFit="1"/>
    </xf>
    <xf numFmtId="0" fontId="48" fillId="0" borderId="37" xfId="0" applyFont="1" applyBorder="1"/>
    <xf numFmtId="0" fontId="49" fillId="0" borderId="35" xfId="0" applyFont="1" applyBorder="1" applyAlignment="1" applyProtection="1">
      <alignment horizontal="left" vertical="center" shrinkToFit="1"/>
      <protection locked="0"/>
    </xf>
    <xf numFmtId="0" fontId="49" fillId="25" borderId="37" xfId="0" applyFont="1" applyFill="1" applyBorder="1" applyAlignment="1">
      <alignment horizontal="left" vertical="center" shrinkToFit="1"/>
    </xf>
    <xf numFmtId="0" fontId="57" fillId="0" borderId="56" xfId="0" applyFont="1" applyBorder="1" applyAlignment="1">
      <alignment horizontal="left" vertical="center" shrinkToFit="1"/>
    </xf>
    <xf numFmtId="0" fontId="57" fillId="0" borderId="37" xfId="0" applyFont="1" applyBorder="1" applyAlignment="1">
      <alignment horizontal="left" vertical="center" shrinkToFit="1"/>
    </xf>
    <xf numFmtId="166" fontId="57" fillId="0" borderId="37" xfId="0" applyNumberFormat="1" applyFont="1" applyBorder="1" applyAlignment="1">
      <alignment horizontal="left" vertical="center" shrinkToFit="1"/>
    </xf>
    <xf numFmtId="0" fontId="67" fillId="21" borderId="37" xfId="0" applyFont="1" applyFill="1" applyBorder="1" applyAlignment="1" applyProtection="1">
      <alignment horizontal="right"/>
      <protection locked="0"/>
    </xf>
    <xf numFmtId="166" fontId="74" fillId="0" borderId="37" xfId="0" applyNumberFormat="1" applyFont="1" applyBorder="1" applyAlignment="1">
      <alignment horizontal="left" vertical="center" shrinkToFit="1"/>
    </xf>
    <xf numFmtId="0" fontId="67" fillId="21" borderId="69" xfId="0" applyFont="1" applyFill="1" applyBorder="1" applyAlignment="1" applyProtection="1">
      <alignment horizontal="right"/>
      <protection locked="0"/>
    </xf>
    <xf numFmtId="14" fontId="49" fillId="15" borderId="69" xfId="0" applyNumberFormat="1" applyFont="1" applyFill="1" applyBorder="1" applyAlignment="1">
      <alignment horizontal="left" vertical="center" shrinkToFit="1"/>
    </xf>
    <xf numFmtId="14" fontId="49" fillId="11" borderId="67" xfId="0" applyNumberFormat="1" applyFont="1" applyFill="1" applyBorder="1" applyAlignment="1">
      <alignment horizontal="left" vertical="center" shrinkToFit="1"/>
    </xf>
    <xf numFmtId="14" fontId="50" fillId="15" borderId="67" xfId="0" applyNumberFormat="1" applyFont="1" applyFill="1" applyBorder="1" applyAlignment="1">
      <alignment horizontal="left" vertical="center" shrinkToFit="1"/>
    </xf>
    <xf numFmtId="0" fontId="58" fillId="0" borderId="70" xfId="0" applyFont="1" applyBorder="1" applyAlignment="1">
      <alignment horizontal="left" vertical="center" shrinkToFit="1"/>
    </xf>
    <xf numFmtId="0" fontId="49" fillId="15" borderId="69" xfId="0" applyFont="1" applyFill="1" applyBorder="1" applyAlignment="1">
      <alignment horizontal="left" vertical="center" shrinkToFit="1"/>
    </xf>
    <xf numFmtId="0" fontId="49" fillId="11" borderId="67" xfId="0" applyFont="1" applyFill="1" applyBorder="1" applyAlignment="1">
      <alignment horizontal="left" vertical="center" shrinkToFit="1"/>
    </xf>
    <xf numFmtId="0" fontId="55" fillId="0" borderId="56" xfId="0" applyFont="1" applyBorder="1" applyAlignment="1">
      <alignment horizontal="left" vertical="center" shrinkToFit="1"/>
    </xf>
    <xf numFmtId="0" fontId="55" fillId="0" borderId="37" xfId="0" applyFont="1" applyBorder="1" applyAlignment="1">
      <alignment horizontal="left" vertical="center" shrinkToFit="1"/>
    </xf>
    <xf numFmtId="166" fontId="55" fillId="0" borderId="37" xfId="0" applyNumberFormat="1" applyFont="1" applyBorder="1" applyAlignment="1">
      <alignment horizontal="left" vertical="center" shrinkToFit="1"/>
    </xf>
    <xf numFmtId="0" fontId="46" fillId="0" borderId="47" xfId="0" applyFont="1" applyBorder="1" applyAlignment="1">
      <alignment horizontal="left"/>
    </xf>
    <xf numFmtId="0" fontId="46" fillId="0" borderId="44" xfId="0" applyFont="1" applyBorder="1" applyAlignment="1">
      <alignment horizontal="left"/>
    </xf>
    <xf numFmtId="0" fontId="46" fillId="0" borderId="45" xfId="0" applyFont="1" applyBorder="1" applyAlignment="1">
      <alignment horizontal="left"/>
    </xf>
    <xf numFmtId="0" fontId="46" fillId="0" borderId="48" xfId="0" applyFont="1" applyBorder="1" applyAlignment="1">
      <alignment horizontal="left"/>
    </xf>
    <xf numFmtId="0" fontId="46" fillId="0" borderId="46" xfId="0" applyFont="1" applyBorder="1" applyAlignment="1">
      <alignment horizontal="left"/>
    </xf>
    <xf numFmtId="0" fontId="46" fillId="0" borderId="49" xfId="0" applyFont="1" applyBorder="1" applyAlignment="1">
      <alignment horizontal="left"/>
    </xf>
    <xf numFmtId="0" fontId="37" fillId="0" borderId="0" xfId="0" applyFont="1" applyAlignment="1" applyProtection="1">
      <alignment horizontal="center"/>
      <protection hidden="1"/>
    </xf>
    <xf numFmtId="0" fontId="28" fillId="0" borderId="0" xfId="1" applyFont="1" applyAlignment="1">
      <alignment horizontal="left" indent="1"/>
    </xf>
    <xf numFmtId="0" fontId="35" fillId="0" borderId="24" xfId="1" applyFont="1" applyBorder="1" applyAlignment="1">
      <alignment horizontal="left" indent="8"/>
    </xf>
    <xf numFmtId="0" fontId="34" fillId="0" borderId="24" xfId="1" applyFont="1" applyBorder="1" applyAlignment="1">
      <alignment horizontal="center"/>
    </xf>
    <xf numFmtId="0" fontId="33" fillId="0" borderId="0" xfId="1" applyFont="1"/>
    <xf numFmtId="0" fontId="32" fillId="0" borderId="0" xfId="1" applyFont="1"/>
    <xf numFmtId="0" fontId="4" fillId="0" borderId="0" xfId="1" applyFont="1"/>
    <xf numFmtId="0" fontId="29" fillId="3" borderId="19" xfId="1" applyFont="1" applyFill="1" applyBorder="1" applyAlignment="1">
      <alignment horizontal="center"/>
    </xf>
    <xf numFmtId="0" fontId="12" fillId="0" borderId="0" xfId="1" applyFont="1" applyAlignment="1">
      <alignment horizontal="left"/>
    </xf>
    <xf numFmtId="0" fontId="21" fillId="0" borderId="0" xfId="1" applyFont="1" applyAlignment="1">
      <alignment horizontal="left" indent="1"/>
    </xf>
    <xf numFmtId="0" fontId="27" fillId="0" borderId="0" xfId="1" applyFont="1" applyAlignment="1">
      <alignment horizontal="left" vertical="top" wrapText="1"/>
    </xf>
    <xf numFmtId="0" fontId="21" fillId="0" borderId="0" xfId="1" applyFont="1"/>
    <xf numFmtId="164" fontId="21" fillId="3" borderId="19" xfId="1" applyNumberFormat="1" applyFont="1" applyFill="1" applyBorder="1" applyAlignment="1" applyProtection="1">
      <alignment horizontal="center"/>
      <protection locked="0"/>
    </xf>
    <xf numFmtId="0" fontId="21" fillId="3" borderId="19" xfId="1" applyFont="1" applyFill="1" applyBorder="1" applyAlignment="1">
      <alignment horizontal="center"/>
    </xf>
    <xf numFmtId="0" fontId="21" fillId="3" borderId="18" xfId="1" applyFont="1" applyFill="1" applyBorder="1" applyAlignment="1" applyProtection="1">
      <alignment horizontal="center"/>
      <protection locked="0"/>
    </xf>
    <xf numFmtId="0" fontId="21" fillId="3" borderId="18" xfId="1" applyFont="1" applyFill="1" applyBorder="1" applyAlignment="1">
      <alignment horizontal="center"/>
    </xf>
    <xf numFmtId="0" fontId="13" fillId="4" borderId="3" xfId="1" applyFont="1" applyFill="1" applyBorder="1" applyAlignment="1" applyProtection="1">
      <alignment horizontal="left"/>
      <protection locked="0"/>
    </xf>
    <xf numFmtId="0" fontId="13" fillId="4" borderId="5" xfId="1" applyFont="1" applyFill="1" applyBorder="1" applyAlignment="1" applyProtection="1">
      <alignment horizontal="left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0" xfId="1" applyFont="1" applyFill="1" applyBorder="1" applyAlignment="1" applyProtection="1">
      <alignment horizontal="center"/>
      <protection locked="0"/>
    </xf>
    <xf numFmtId="165" fontId="21" fillId="3" borderId="18" xfId="1" applyNumberFormat="1" applyFont="1" applyFill="1" applyBorder="1" applyAlignment="1" applyProtection="1">
      <alignment horizontal="center"/>
      <protection locked="0"/>
    </xf>
    <xf numFmtId="0" fontId="2" fillId="3" borderId="18" xfId="1" applyFont="1" applyFill="1" applyBorder="1" applyAlignment="1" applyProtection="1">
      <alignment horizontal="center"/>
      <protection locked="0"/>
    </xf>
    <xf numFmtId="0" fontId="19" fillId="6" borderId="9" xfId="1" applyFont="1" applyFill="1" applyBorder="1" applyAlignment="1">
      <alignment horizontal="center" vertical="center"/>
    </xf>
    <xf numFmtId="0" fontId="18" fillId="0" borderId="7" xfId="1" applyFont="1" applyBorder="1"/>
    <xf numFmtId="0" fontId="19" fillId="6" borderId="8" xfId="1" applyFont="1" applyFill="1" applyBorder="1" applyAlignment="1">
      <alignment horizontal="center" vertical="center"/>
    </xf>
    <xf numFmtId="0" fontId="18" fillId="0" borderId="6" xfId="1" applyFont="1" applyBorder="1"/>
    <xf numFmtId="0" fontId="4" fillId="4" borderId="3" xfId="1" applyFont="1" applyFill="1" applyBorder="1" applyAlignment="1" applyProtection="1">
      <alignment horizontal="left"/>
      <protection locked="0"/>
    </xf>
    <xf numFmtId="0" fontId="4" fillId="4" borderId="5" xfId="1" applyFont="1" applyFill="1" applyBorder="1" applyAlignment="1" applyProtection="1">
      <alignment horizontal="left"/>
      <protection locked="0"/>
    </xf>
    <xf numFmtId="0" fontId="20" fillId="3" borderId="19" xfId="1" applyFont="1" applyFill="1" applyBorder="1" applyAlignment="1" applyProtection="1">
      <alignment horizontal="center"/>
      <protection locked="0"/>
    </xf>
    <xf numFmtId="164" fontId="12" fillId="0" borderId="0" xfId="1" applyNumberFormat="1" applyFont="1"/>
    <xf numFmtId="0" fontId="12" fillId="0" borderId="0" xfId="1" applyFont="1"/>
    <xf numFmtId="164" fontId="14" fillId="5" borderId="3" xfId="1" applyNumberFormat="1" applyFont="1" applyFill="1" applyBorder="1" applyAlignment="1">
      <alignment horizontal="center" vertical="center"/>
    </xf>
    <xf numFmtId="164" fontId="14" fillId="5" borderId="5" xfId="1" applyNumberFormat="1" applyFont="1" applyFill="1" applyBorder="1" applyAlignment="1">
      <alignment horizontal="center" vertical="center"/>
    </xf>
    <xf numFmtId="0" fontId="7" fillId="0" borderId="0" xfId="1" applyFont="1" applyAlignment="1">
      <alignment horizontal="left" indent="1"/>
    </xf>
    <xf numFmtId="0" fontId="4" fillId="0" borderId="0" xfId="1" applyFont="1" applyAlignment="1">
      <alignment horizontal="center"/>
    </xf>
    <xf numFmtId="0" fontId="13" fillId="13" borderId="3" xfId="1" applyFont="1" applyFill="1" applyBorder="1" applyAlignment="1" applyProtection="1">
      <alignment horizontal="left"/>
      <protection locked="0"/>
    </xf>
    <xf numFmtId="0" fontId="13" fillId="13" borderId="5" xfId="1" applyFont="1" applyFill="1" applyBorder="1" applyAlignment="1" applyProtection="1">
      <alignment horizontal="left"/>
      <protection locked="0"/>
    </xf>
    <xf numFmtId="0" fontId="4" fillId="12" borderId="3" xfId="1" applyFont="1" applyFill="1" applyBorder="1" applyAlignment="1" applyProtection="1">
      <alignment horizontal="left"/>
      <protection locked="0"/>
    </xf>
    <xf numFmtId="0" fontId="4" fillId="12" borderId="5" xfId="1" applyFont="1" applyFill="1" applyBorder="1" applyAlignment="1" applyProtection="1">
      <alignment horizontal="left"/>
      <protection locked="0"/>
    </xf>
    <xf numFmtId="0" fontId="13" fillId="12" borderId="3" xfId="1" applyFont="1" applyFill="1" applyBorder="1" applyAlignment="1" applyProtection="1">
      <alignment horizontal="left"/>
      <protection locked="0"/>
    </xf>
    <xf numFmtId="0" fontId="13" fillId="12" borderId="5" xfId="1" applyFont="1" applyFill="1" applyBorder="1" applyAlignment="1" applyProtection="1">
      <alignment horizontal="left"/>
      <protection locked="0"/>
    </xf>
    <xf numFmtId="0" fontId="13" fillId="0" borderId="3" xfId="1" applyFont="1" applyBorder="1" applyAlignment="1" applyProtection="1">
      <alignment horizontal="left"/>
      <protection locked="0"/>
    </xf>
    <xf numFmtId="0" fontId="13" fillId="0" borderId="5" xfId="1" applyFont="1" applyBorder="1" applyAlignment="1" applyProtection="1">
      <alignment horizontal="left"/>
      <protection locked="0"/>
    </xf>
    <xf numFmtId="0" fontId="4" fillId="0" borderId="3" xfId="1" applyFont="1" applyBorder="1" applyAlignment="1" applyProtection="1">
      <alignment horizontal="left"/>
      <protection locked="0"/>
    </xf>
    <xf numFmtId="0" fontId="4" fillId="0" borderId="5" xfId="1" applyFont="1" applyBorder="1" applyAlignment="1" applyProtection="1">
      <alignment horizontal="left"/>
      <protection locked="0"/>
    </xf>
    <xf numFmtId="0" fontId="54" fillId="12" borderId="3" xfId="1" applyFont="1" applyFill="1" applyBorder="1" applyAlignment="1" applyProtection="1">
      <alignment horizontal="left"/>
      <protection locked="0"/>
    </xf>
    <xf numFmtId="0" fontId="54" fillId="12" borderId="5" xfId="1" applyFont="1" applyFill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left"/>
      <protection locked="0"/>
    </xf>
    <xf numFmtId="0" fontId="7" fillId="0" borderId="5" xfId="1" applyFont="1" applyBorder="1" applyAlignment="1" applyProtection="1">
      <alignment horizontal="left"/>
      <protection locked="0"/>
    </xf>
    <xf numFmtId="0" fontId="21" fillId="3" borderId="18" xfId="1" applyFont="1" applyFill="1" applyBorder="1" applyAlignment="1" applyProtection="1">
      <alignment horizontal="center" wrapText="1"/>
      <protection locked="0"/>
    </xf>
    <xf numFmtId="0" fontId="59" fillId="14" borderId="59" xfId="0" applyFont="1" applyFill="1" applyBorder="1" applyAlignment="1" applyProtection="1">
      <alignment horizontal="left"/>
      <protection locked="0"/>
    </xf>
    <xf numFmtId="0" fontId="59" fillId="14" borderId="60" xfId="0" applyFont="1" applyFill="1" applyBorder="1" applyAlignment="1" applyProtection="1">
      <alignment horizontal="left"/>
      <protection locked="0"/>
    </xf>
    <xf numFmtId="0" fontId="19" fillId="6" borderId="8" xfId="1" applyFont="1" applyFill="1" applyBorder="1" applyAlignment="1">
      <alignment horizontal="center" vertical="center" wrapText="1"/>
    </xf>
    <xf numFmtId="0" fontId="18" fillId="0" borderId="6" xfId="1" applyFont="1" applyBorder="1" applyAlignment="1">
      <alignment wrapText="1"/>
    </xf>
    <xf numFmtId="0" fontId="73" fillId="4" borderId="3" xfId="1" applyFont="1" applyFill="1" applyBorder="1" applyAlignment="1" applyProtection="1">
      <alignment horizontal="left"/>
      <protection locked="0"/>
    </xf>
    <xf numFmtId="0" fontId="73" fillId="4" borderId="5" xfId="1" applyFont="1" applyFill="1" applyBorder="1" applyAlignment="1" applyProtection="1">
      <alignment horizontal="left"/>
      <protection locked="0"/>
    </xf>
    <xf numFmtId="0" fontId="63" fillId="4" borderId="3" xfId="1" applyFont="1" applyFill="1" applyBorder="1" applyAlignment="1" applyProtection="1">
      <alignment horizontal="left"/>
      <protection locked="0"/>
    </xf>
    <xf numFmtId="0" fontId="63" fillId="4" borderId="5" xfId="1" applyFont="1" applyFill="1" applyBorder="1" applyAlignment="1" applyProtection="1">
      <alignment horizontal="left"/>
      <protection locked="0"/>
    </xf>
    <xf numFmtId="0" fontId="21" fillId="3" borderId="71" xfId="1" applyFont="1" applyFill="1" applyBorder="1" applyAlignment="1" applyProtection="1">
      <alignment horizontal="center" wrapText="1"/>
      <protection locked="0"/>
    </xf>
    <xf numFmtId="0" fontId="21" fillId="3" borderId="19" xfId="1" applyFont="1" applyFill="1" applyBorder="1" applyAlignment="1" applyProtection="1">
      <alignment horizontal="center" wrapText="1"/>
      <protection locked="0"/>
    </xf>
    <xf numFmtId="0" fontId="59" fillId="14" borderId="63" xfId="0" applyFont="1" applyFill="1" applyBorder="1" applyAlignment="1" applyProtection="1">
      <alignment horizontal="left"/>
      <protection locked="0"/>
    </xf>
    <xf numFmtId="0" fontId="59" fillId="14" borderId="64" xfId="0" applyFont="1" applyFill="1" applyBorder="1" applyAlignment="1" applyProtection="1">
      <alignment horizontal="left"/>
      <protection locked="0"/>
    </xf>
    <xf numFmtId="0" fontId="59" fillId="14" borderId="65" xfId="0" applyFont="1" applyFill="1" applyBorder="1" applyAlignment="1" applyProtection="1">
      <alignment horizontal="left"/>
      <protection locked="0"/>
    </xf>
    <xf numFmtId="0" fontId="21" fillId="3" borderId="22" xfId="1" applyFont="1" applyFill="1" applyBorder="1" applyAlignment="1" applyProtection="1">
      <alignment horizontal="center" wrapText="1"/>
      <protection locked="0"/>
    </xf>
    <xf numFmtId="0" fontId="64" fillId="3" borderId="18" xfId="3" applyFill="1" applyBorder="1" applyAlignment="1" applyProtection="1">
      <alignment horizontal="center"/>
      <protection locked="0"/>
    </xf>
    <xf numFmtId="0" fontId="2" fillId="3" borderId="18" xfId="1" applyFont="1" applyFill="1" applyBorder="1" applyAlignment="1" applyProtection="1">
      <alignment horizontal="right"/>
      <protection locked="0"/>
    </xf>
    <xf numFmtId="0" fontId="64" fillId="3" borderId="18" xfId="3" applyFill="1" applyBorder="1" applyAlignment="1" applyProtection="1">
      <alignment horizontal="left"/>
      <protection locked="0"/>
    </xf>
    <xf numFmtId="0" fontId="2" fillId="3" borderId="18" xfId="1" applyFont="1" applyFill="1" applyBorder="1" applyAlignment="1" applyProtection="1">
      <alignment horizontal="left"/>
      <protection locked="0"/>
    </xf>
    <xf numFmtId="0" fontId="21" fillId="3" borderId="0" xfId="1" applyFont="1" applyFill="1" applyAlignment="1" applyProtection="1">
      <alignment horizontal="center" wrapText="1"/>
      <protection locked="0"/>
    </xf>
    <xf numFmtId="0" fontId="72" fillId="3" borderId="18" xfId="1" applyFont="1" applyFill="1" applyBorder="1" applyAlignment="1" applyProtection="1">
      <alignment horizontal="center"/>
      <protection locked="0"/>
    </xf>
    <xf numFmtId="0" fontId="21" fillId="3" borderId="71" xfId="1" applyFont="1" applyFill="1" applyBorder="1" applyAlignment="1" applyProtection="1">
      <alignment horizontal="center"/>
      <protection locked="0"/>
    </xf>
    <xf numFmtId="0" fontId="21" fillId="3" borderId="19" xfId="1" applyFont="1" applyFill="1" applyBorder="1" applyAlignment="1" applyProtection="1">
      <alignment horizontal="center"/>
      <protection locked="0"/>
    </xf>
    <xf numFmtId="165" fontId="64" fillId="3" borderId="18" xfId="3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F1FDC4A7-59B1-674E-9761-EE3200EEA20F}"/>
    <cellStyle name="Normal_OFI MV BID v.6.1_1" xfId="2" xr:uid="{B917B692-F88F-6041-949B-558AE934CABD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6" formatCode="_(#,##0.00_);[Red]\(#,##0.00\)"/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9" formatCode="m/d/yy"/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left" vertical="center" textRotation="0" wrapText="0" indent="0" justifyLastLine="0" shrinkToFit="1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lef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</font>
    </dxf>
    <dxf>
      <numFmt numFmtId="170" formatCode=";;;"/>
    </dxf>
    <dxf>
      <numFmt numFmtId="170" formatCode=";;;"/>
    </dxf>
  </dxfs>
  <tableStyles count="0" defaultTableStyle="TableStyleMedium2" defaultPivotStyle="PivotStyleLight16"/>
  <colors>
    <mruColors>
      <color rgb="FFD2B188"/>
      <color rgb="FFFFF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heetMetadata" Target="metadata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13</xdr:row>
          <xdr:rowOff>114300</xdr:rowOff>
        </xdr:from>
        <xdr:to>
          <xdr:col>9</xdr:col>
          <xdr:colOff>254000</xdr:colOff>
          <xdr:row>15</xdr:row>
          <xdr:rowOff>63500</xdr:rowOff>
        </xdr:to>
        <xdr:sp macro="" textlink="">
          <xdr:nvSpPr>
            <xdr:cNvPr id="5122" name="Button 2" descr="Generate POs&#10;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20</xdr:row>
          <xdr:rowOff>165100</xdr:rowOff>
        </xdr:from>
        <xdr:to>
          <xdr:col>9</xdr:col>
          <xdr:colOff>508000</xdr:colOff>
          <xdr:row>22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all POs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0</xdr:row>
          <xdr:rowOff>279400</xdr:rowOff>
        </xdr:from>
        <xdr:to>
          <xdr:col>6</xdr:col>
          <xdr:colOff>2184400</xdr:colOff>
          <xdr:row>0</xdr:row>
          <xdr:rowOff>660400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241300</xdr:rowOff>
        </xdr:from>
        <xdr:to>
          <xdr:col>4</xdr:col>
          <xdr:colOff>482600</xdr:colOff>
          <xdr:row>0</xdr:row>
          <xdr:rowOff>622300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Last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260A8E-3764-CE4E-8DC5-5217FD92C6E6}" name="PO_LOG" displayName="PO_LOG" ref="A8:H211" totalsRowShown="0" headerRowDxfId="10" dataDxfId="9" tableBorderDxfId="8">
  <autoFilter ref="A8:H211" xr:uid="{9D260A8E-3764-CE4E-8DC5-5217FD92C6E6}"/>
  <sortState xmlns:xlrd2="http://schemas.microsoft.com/office/spreadsheetml/2017/richdata2" ref="A9:H211">
    <sortCondition ref="C8:C211"/>
  </sortState>
  <tableColumns count="8">
    <tableColumn id="1" xr3:uid="{EE46603D-9AC7-574A-BA1A-570278CA5D56}" name="LINE" dataDxfId="7"/>
    <tableColumn id="2" xr3:uid="{0004BA05-6F32-8C4E-AE09-D3F2608331B3}" name="PAYEE" dataDxfId="6"/>
    <tableColumn id="3" xr3:uid="{79066615-B7FF-704A-BCA7-901EAEFC03ED}" name="PO" dataDxfId="5"/>
    <tableColumn id="4" xr3:uid="{28972D32-A3AE-6C4B-89F7-4116ACA91B1E}" name="DATE" dataDxfId="4"/>
    <tableColumn id="5" xr3:uid="{192D528C-832E-7C47-BEA8-39026E04A1C5}" name="PAY ID" dataDxfId="3"/>
    <tableColumn id="6" xr3:uid="{CE4AAA08-F7FB-204D-B998-0AEAB01A6866}" name="ACTUAL" dataDxfId="2"/>
    <tableColumn id="7" xr3:uid="{3EFE470E-BB24-FE41-A1E2-3E446E75EBB4}" name="LINE DESCRIPTION" dataDxfId="1"/>
    <tableColumn id="8" xr3:uid="{BBC4A531-8635-5641-87EA-31A5CBBA1CF5}" name="NOTE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jessica@momentummedia.ca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josh.torontowarehouse@gmail.com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axlcameron@icloud.com" TargetMode="Externa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rachelashleycoyle@gmail.com" TargetMode="Externa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mailto:edmondkopp@gmail.com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mailto:tysonerb@icloud.com" TargetMode="Externa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hyperlink" Target="mailto:kwaku.kufour@gmail.com" TargetMode="Externa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mailto:hasangillani1326@gmail.com" TargetMode="Externa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hyperlink" Target="mailto:tslawley@icloud.com" TargetMode="Externa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mailto:hleon11@icloud.com" TargetMode="Externa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hyperlink" Target="mailto:Jessie_vandalen@hotmail.com" TargetMode="Externa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hyperlink" Target="mailto:katie.yealland@gmail.com" TargetMode="Externa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hyperlink" Target="mailto:Kroegertm@gmail.com" TargetMode="Externa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9.bin"/><Relationship Id="rId2" Type="http://schemas.openxmlformats.org/officeDocument/2006/relationships/hyperlink" Target="mailto:benjamindzikowicz6@gmail.com" TargetMode="External"/><Relationship Id="rId1" Type="http://schemas.openxmlformats.org/officeDocument/2006/relationships/hyperlink" Target="mailto:benjamindzikowicz6@gmail.com" TargetMode="Externa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hyperlink" Target="mailto:andrew@cmandp.com" TargetMode="Externa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hyperlink" Target="mailto:andrew@cmandp.com" TargetMode="Externa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D7F2-C212-DE4D-A5CD-F873F65C62B3}">
  <sheetPr codeName="Sheet3"/>
  <dimension ref="B1:H124"/>
  <sheetViews>
    <sheetView workbookViewId="0"/>
  </sheetViews>
  <sheetFormatPr baseColWidth="10" defaultRowHeight="16"/>
  <cols>
    <col min="1" max="1" width="1.83203125" customWidth="1"/>
    <col min="2" max="2" width="16.83203125" customWidth="1"/>
    <col min="3" max="3" width="13.6640625" customWidth="1"/>
    <col min="4" max="4" width="19.6640625" customWidth="1"/>
    <col min="6" max="6" width="22.33203125" customWidth="1"/>
  </cols>
  <sheetData>
    <row r="1" spans="2:7" ht="17" thickBot="1">
      <c r="B1" s="113" t="s">
        <v>266</v>
      </c>
      <c r="C1" s="113"/>
      <c r="D1" s="114"/>
    </row>
    <row r="2" spans="2:7" ht="17" thickBot="1">
      <c r="B2" s="115" t="s">
        <v>267</v>
      </c>
      <c r="C2" s="118"/>
      <c r="D2" s="112" t="s">
        <v>269</v>
      </c>
    </row>
    <row r="3" spans="2:7" ht="17" thickBot="1">
      <c r="B3" s="115" t="s">
        <v>268</v>
      </c>
      <c r="C3" s="118"/>
      <c r="D3" s="112" t="s">
        <v>28</v>
      </c>
    </row>
    <row r="5" spans="2:7">
      <c r="B5" s="113" t="s">
        <v>270</v>
      </c>
      <c r="C5" s="113"/>
      <c r="D5" s="114"/>
    </row>
    <row r="6" spans="2:7">
      <c r="B6" s="116" t="s">
        <v>272</v>
      </c>
      <c r="C6" s="116"/>
      <c r="D6" s="114"/>
    </row>
    <row r="7" spans="2:7" ht="17" thickBot="1">
      <c r="B7" s="119" t="s">
        <v>273</v>
      </c>
      <c r="C7" s="119"/>
    </row>
    <row r="8" spans="2:7" ht="17" thickBot="1">
      <c r="B8" s="117">
        <v>2403</v>
      </c>
      <c r="C8" s="119"/>
    </row>
    <row r="9" spans="2:7" ht="17" thickBot="1">
      <c r="B9" s="116" t="s">
        <v>274</v>
      </c>
      <c r="C9" s="116"/>
      <c r="D9" s="114"/>
    </row>
    <row r="10" spans="2:7" ht="17" thickBot="1">
      <c r="B10" s="111"/>
      <c r="C10" s="120">
        <v>1</v>
      </c>
      <c r="D10" s="120">
        <v>50</v>
      </c>
    </row>
    <row r="11" spans="2:7" ht="17" thickBot="1">
      <c r="B11" s="116" t="s">
        <v>275</v>
      </c>
      <c r="C11" s="121"/>
      <c r="D11" s="121"/>
    </row>
    <row r="12" spans="2:7" ht="17" thickBot="1">
      <c r="B12" s="111"/>
      <c r="C12" s="120" t="s">
        <v>276</v>
      </c>
      <c r="D12" s="120" t="s">
        <v>277</v>
      </c>
    </row>
    <row r="13" spans="2:7" ht="17" thickBot="1"/>
    <row r="14" spans="2:7" ht="17" thickBot="1">
      <c r="B14" s="328" t="s">
        <v>278</v>
      </c>
      <c r="C14" s="329"/>
      <c r="D14" s="330"/>
      <c r="F14" s="126" t="s">
        <v>271</v>
      </c>
      <c r="G14" s="111"/>
    </row>
    <row r="15" spans="2:7" ht="17" thickBot="1">
      <c r="B15" s="122">
        <v>2403</v>
      </c>
      <c r="F15" s="125" t="str" cm="1">
        <f t="array" ref="F15:F45">Prefix &amp; "-" &amp; TEXT(_xlfn.SEQUENCE(C17 - B17 + 1, 1, B17, 1), "000")</f>
        <v>2403-111</v>
      </c>
    </row>
    <row r="16" spans="2:7" ht="17" thickBot="1">
      <c r="B16" s="331" t="s">
        <v>279</v>
      </c>
      <c r="C16" s="332"/>
      <c r="D16" s="333"/>
      <c r="F16" s="127" t="str">
        <v>2403-112</v>
      </c>
    </row>
    <row r="17" spans="2:8" ht="17" thickBot="1">
      <c r="B17" s="123">
        <v>111</v>
      </c>
      <c r="C17" s="124">
        <v>141</v>
      </c>
      <c r="F17" s="128" t="str">
        <v>2403-113</v>
      </c>
    </row>
    <row r="18" spans="2:8">
      <c r="F18" s="128" t="str">
        <v>2403-114</v>
      </c>
    </row>
    <row r="19" spans="2:8">
      <c r="F19" s="128" t="str">
        <v>2403-115</v>
      </c>
      <c r="H19" s="111" t="s">
        <v>281</v>
      </c>
    </row>
    <row r="20" spans="2:8">
      <c r="F20" s="128" t="str">
        <v>2403-116</v>
      </c>
    </row>
    <row r="21" spans="2:8">
      <c r="F21" s="128" t="str">
        <v>2403-117</v>
      </c>
    </row>
    <row r="22" spans="2:8">
      <c r="F22" s="128" t="str">
        <v>2403-118</v>
      </c>
    </row>
    <row r="23" spans="2:8">
      <c r="F23" s="128" t="str">
        <v>2403-119</v>
      </c>
    </row>
    <row r="24" spans="2:8">
      <c r="F24" s="128" t="str">
        <v>2403-120</v>
      </c>
    </row>
    <row r="25" spans="2:8">
      <c r="F25" s="128" t="str">
        <v>2403-121</v>
      </c>
    </row>
    <row r="26" spans="2:8">
      <c r="F26" s="128" t="str">
        <v>2403-122</v>
      </c>
    </row>
    <row r="27" spans="2:8">
      <c r="F27" s="128" t="str">
        <v>2403-123</v>
      </c>
    </row>
    <row r="28" spans="2:8">
      <c r="F28" s="128" t="str">
        <v>2403-124</v>
      </c>
    </row>
    <row r="29" spans="2:8">
      <c r="F29" s="128" t="str">
        <v>2403-125</v>
      </c>
    </row>
    <row r="30" spans="2:8">
      <c r="F30" s="128" t="str">
        <v>2403-126</v>
      </c>
    </row>
    <row r="31" spans="2:8">
      <c r="F31" s="128" t="str">
        <v>2403-127</v>
      </c>
    </row>
    <row r="32" spans="2:8">
      <c r="F32" s="128" t="str">
        <v>2403-128</v>
      </c>
    </row>
    <row r="33" spans="6:6">
      <c r="F33" s="128" t="str">
        <v>2403-129</v>
      </c>
    </row>
    <row r="34" spans="6:6">
      <c r="F34" s="128" t="str">
        <v>2403-130</v>
      </c>
    </row>
    <row r="35" spans="6:6">
      <c r="F35" s="128" t="str">
        <v>2403-131</v>
      </c>
    </row>
    <row r="36" spans="6:6">
      <c r="F36" s="128" t="str">
        <v>2403-132</v>
      </c>
    </row>
    <row r="37" spans="6:6">
      <c r="F37" s="128" t="str">
        <v>2403-133</v>
      </c>
    </row>
    <row r="38" spans="6:6">
      <c r="F38" s="128" t="str">
        <v>2403-134</v>
      </c>
    </row>
    <row r="39" spans="6:6">
      <c r="F39" s="128" t="str">
        <v>2403-135</v>
      </c>
    </row>
    <row r="40" spans="6:6">
      <c r="F40" s="128" t="str">
        <v>2403-136</v>
      </c>
    </row>
    <row r="41" spans="6:6">
      <c r="F41" s="128" t="str">
        <v>2403-137</v>
      </c>
    </row>
    <row r="42" spans="6:6">
      <c r="F42" s="128" t="str">
        <v>2403-138</v>
      </c>
    </row>
    <row r="43" spans="6:6">
      <c r="F43" s="128" t="str">
        <v>2403-139</v>
      </c>
    </row>
    <row r="44" spans="6:6">
      <c r="F44" s="128" t="str">
        <v>2403-140</v>
      </c>
    </row>
    <row r="45" spans="6:6">
      <c r="F45" s="128" t="str">
        <v>2403-141</v>
      </c>
    </row>
    <row r="46" spans="6:6">
      <c r="F46" s="128"/>
    </row>
    <row r="47" spans="6:6">
      <c r="F47" s="128"/>
    </row>
    <row r="48" spans="6:6">
      <c r="F48" s="128"/>
    </row>
    <row r="49" spans="6:6">
      <c r="F49" s="128"/>
    </row>
    <row r="50" spans="6:6">
      <c r="F50" s="128"/>
    </row>
    <row r="51" spans="6:6">
      <c r="F51" s="128"/>
    </row>
    <row r="52" spans="6:6">
      <c r="F52" s="128"/>
    </row>
    <row r="53" spans="6:6">
      <c r="F53" s="128"/>
    </row>
    <row r="54" spans="6:6">
      <c r="F54" s="128"/>
    </row>
    <row r="55" spans="6:6">
      <c r="F55" s="128"/>
    </row>
    <row r="56" spans="6:6">
      <c r="F56" s="128"/>
    </row>
    <row r="57" spans="6:6">
      <c r="F57" s="128"/>
    </row>
    <row r="58" spans="6:6">
      <c r="F58" s="128"/>
    </row>
    <row r="59" spans="6:6">
      <c r="F59" s="128"/>
    </row>
    <row r="60" spans="6:6">
      <c r="F60" s="128"/>
    </row>
    <row r="61" spans="6:6">
      <c r="F61" s="128"/>
    </row>
    <row r="62" spans="6:6">
      <c r="F62" s="128"/>
    </row>
    <row r="63" spans="6:6">
      <c r="F63" s="128"/>
    </row>
    <row r="64" spans="6:6">
      <c r="F64" s="128"/>
    </row>
    <row r="65" spans="6:6">
      <c r="F65" s="128"/>
    </row>
    <row r="66" spans="6:6">
      <c r="F66" s="128"/>
    </row>
    <row r="67" spans="6:6">
      <c r="F67" s="128"/>
    </row>
    <row r="68" spans="6:6">
      <c r="F68" s="128"/>
    </row>
    <row r="69" spans="6:6">
      <c r="F69" s="128"/>
    </row>
    <row r="70" spans="6:6">
      <c r="F70" s="128"/>
    </row>
    <row r="71" spans="6:6">
      <c r="F71" s="128"/>
    </row>
    <row r="72" spans="6:6">
      <c r="F72" s="128"/>
    </row>
    <row r="73" spans="6:6">
      <c r="F73" s="128"/>
    </row>
    <row r="74" spans="6:6">
      <c r="F74" s="128"/>
    </row>
    <row r="75" spans="6:6">
      <c r="F75" s="128"/>
    </row>
    <row r="76" spans="6:6">
      <c r="F76" s="128"/>
    </row>
    <row r="77" spans="6:6">
      <c r="F77" s="128"/>
    </row>
    <row r="78" spans="6:6">
      <c r="F78" s="128"/>
    </row>
    <row r="79" spans="6:6">
      <c r="F79" s="128"/>
    </row>
    <row r="80" spans="6:6">
      <c r="F80" s="128"/>
    </row>
    <row r="81" spans="6:6">
      <c r="F81" s="128"/>
    </row>
    <row r="82" spans="6:6">
      <c r="F82" s="128"/>
    </row>
    <row r="83" spans="6:6">
      <c r="F83" s="128"/>
    </row>
    <row r="84" spans="6:6">
      <c r="F84" s="128"/>
    </row>
    <row r="85" spans="6:6">
      <c r="F85" s="128"/>
    </row>
    <row r="86" spans="6:6">
      <c r="F86" s="128"/>
    </row>
    <row r="87" spans="6:6">
      <c r="F87" s="128"/>
    </row>
    <row r="88" spans="6:6">
      <c r="F88" s="128"/>
    </row>
    <row r="89" spans="6:6">
      <c r="F89" s="128"/>
    </row>
    <row r="90" spans="6:6">
      <c r="F90" s="128"/>
    </row>
    <row r="91" spans="6:6">
      <c r="F91" s="128"/>
    </row>
    <row r="92" spans="6:6">
      <c r="F92" s="128"/>
    </row>
    <row r="93" spans="6:6">
      <c r="F93" s="128"/>
    </row>
    <row r="94" spans="6:6">
      <c r="F94" s="128"/>
    </row>
    <row r="95" spans="6:6">
      <c r="F95" s="128"/>
    </row>
    <row r="96" spans="6:6">
      <c r="F96" s="128"/>
    </row>
    <row r="97" spans="6:6">
      <c r="F97" s="128"/>
    </row>
    <row r="98" spans="6:6">
      <c r="F98" s="128"/>
    </row>
    <row r="99" spans="6:6">
      <c r="F99" s="128"/>
    </row>
    <row r="100" spans="6:6">
      <c r="F100" s="128"/>
    </row>
    <row r="101" spans="6:6">
      <c r="F101" s="128"/>
    </row>
    <row r="102" spans="6:6">
      <c r="F102" s="128"/>
    </row>
    <row r="103" spans="6:6">
      <c r="F103" s="128"/>
    </row>
    <row r="104" spans="6:6">
      <c r="F104" s="128"/>
    </row>
    <row r="105" spans="6:6">
      <c r="F105" s="128"/>
    </row>
    <row r="106" spans="6:6">
      <c r="F106" s="128"/>
    </row>
    <row r="107" spans="6:6">
      <c r="F107" s="128"/>
    </row>
    <row r="108" spans="6:6">
      <c r="F108" s="128"/>
    </row>
    <row r="109" spans="6:6">
      <c r="F109" s="128"/>
    </row>
    <row r="110" spans="6:6">
      <c r="F110" s="128"/>
    </row>
    <row r="111" spans="6:6">
      <c r="F111" s="128"/>
    </row>
    <row r="112" spans="6:6">
      <c r="F112" s="128"/>
    </row>
    <row r="113" spans="6:6">
      <c r="F113" s="128"/>
    </row>
    <row r="114" spans="6:6">
      <c r="F114" s="128"/>
    </row>
    <row r="115" spans="6:6">
      <c r="F115" s="128"/>
    </row>
    <row r="116" spans="6:6">
      <c r="F116" s="128"/>
    </row>
    <row r="117" spans="6:6">
      <c r="F117" s="128"/>
    </row>
    <row r="118" spans="6:6">
      <c r="F118" s="128"/>
    </row>
    <row r="119" spans="6:6">
      <c r="F119" s="128"/>
    </row>
    <row r="120" spans="6:6">
      <c r="F120" s="128"/>
    </row>
    <row r="121" spans="6:6">
      <c r="F121" s="128"/>
    </row>
    <row r="122" spans="6:6">
      <c r="F122" s="128"/>
    </row>
    <row r="123" spans="6:6">
      <c r="F123" s="128"/>
    </row>
    <row r="124" spans="6:6" ht="17" thickBot="1">
      <c r="F124" s="129"/>
    </row>
  </sheetData>
  <mergeCells count="2">
    <mergeCell ref="B14:D14"/>
    <mergeCell ref="B16:D16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POSheets" altText="Generate POs_x000a_">
                <anchor moveWithCells="1" sizeWithCells="1">
                  <from>
                    <xdr:col>7</xdr:col>
                    <xdr:colOff>381000</xdr:colOff>
                    <xdr:row>13</xdr:row>
                    <xdr:rowOff>114300</xdr:rowOff>
                  </from>
                  <to>
                    <xdr:col>9</xdr:col>
                    <xdr:colOff>254000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DeletePOSheets">
                <anchor moveWithCells="1" sizeWithCells="1">
                  <from>
                    <xdr:col>7</xdr:col>
                    <xdr:colOff>635000</xdr:colOff>
                    <xdr:row>20</xdr:row>
                    <xdr:rowOff>165100</xdr:rowOff>
                  </from>
                  <to>
                    <xdr:col>9</xdr:col>
                    <xdr:colOff>508000</xdr:colOff>
                    <xdr:row>22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0CB5-3938-FA45-BD48-1C834A0F12F1}">
  <sheetPr codeName="Sheet1"/>
  <dimension ref="A1:C342"/>
  <sheetViews>
    <sheetView topLeftCell="A105" workbookViewId="0">
      <selection activeCell="B141" sqref="B141"/>
    </sheetView>
  </sheetViews>
  <sheetFormatPr baseColWidth="10" defaultRowHeight="16"/>
  <cols>
    <col min="2" max="2" width="36.33203125" customWidth="1"/>
  </cols>
  <sheetData>
    <row r="1" spans="1:3">
      <c r="A1" s="73" t="s">
        <v>44</v>
      </c>
      <c r="B1" s="74" t="s">
        <v>45</v>
      </c>
      <c r="C1" s="75"/>
    </row>
    <row r="2" spans="1:3">
      <c r="A2" s="76">
        <v>1</v>
      </c>
      <c r="B2" s="77" t="s">
        <v>46</v>
      </c>
      <c r="C2" s="78"/>
    </row>
    <row r="3" spans="1:3">
      <c r="A3" s="76">
        <v>2</v>
      </c>
      <c r="B3" s="77" t="s">
        <v>47</v>
      </c>
      <c r="C3" s="78"/>
    </row>
    <row r="4" spans="1:3">
      <c r="A4" s="76">
        <v>3</v>
      </c>
      <c r="B4" s="77" t="s">
        <v>48</v>
      </c>
      <c r="C4" s="78"/>
    </row>
    <row r="5" spans="1:3">
      <c r="A5" s="76">
        <v>4</v>
      </c>
      <c r="B5" s="77" t="s">
        <v>49</v>
      </c>
      <c r="C5" s="78"/>
    </row>
    <row r="6" spans="1:3">
      <c r="A6" s="76">
        <v>5</v>
      </c>
      <c r="B6" s="77" t="s">
        <v>50</v>
      </c>
      <c r="C6" s="78"/>
    </row>
    <row r="7" spans="1:3">
      <c r="A7" s="76">
        <v>6</v>
      </c>
      <c r="B7" s="77" t="s">
        <v>51</v>
      </c>
      <c r="C7" s="78"/>
    </row>
    <row r="8" spans="1:3">
      <c r="A8" s="76">
        <v>7</v>
      </c>
      <c r="B8" s="77" t="s">
        <v>52</v>
      </c>
      <c r="C8" s="79"/>
    </row>
    <row r="9" spans="1:3">
      <c r="A9" s="76">
        <v>8</v>
      </c>
      <c r="B9" s="77" t="s">
        <v>53</v>
      </c>
      <c r="C9" s="78"/>
    </row>
    <row r="10" spans="1:3">
      <c r="A10" s="76">
        <v>9</v>
      </c>
      <c r="B10" s="77" t="s">
        <v>54</v>
      </c>
      <c r="C10" s="79"/>
    </row>
    <row r="11" spans="1:3">
      <c r="A11" s="76">
        <v>10</v>
      </c>
      <c r="B11" s="77" t="s">
        <v>55</v>
      </c>
      <c r="C11" s="79"/>
    </row>
    <row r="12" spans="1:3">
      <c r="A12" s="76">
        <v>11</v>
      </c>
      <c r="B12" s="77" t="s">
        <v>56</v>
      </c>
      <c r="C12" s="78"/>
    </row>
    <row r="13" spans="1:3">
      <c r="A13" s="76">
        <v>12</v>
      </c>
      <c r="B13" s="77" t="s">
        <v>57</v>
      </c>
      <c r="C13" s="78"/>
    </row>
    <row r="14" spans="1:3">
      <c r="A14" s="76">
        <v>13</v>
      </c>
      <c r="B14" s="77" t="s">
        <v>58</v>
      </c>
      <c r="C14" s="79"/>
    </row>
    <row r="15" spans="1:3">
      <c r="A15" s="76">
        <v>14</v>
      </c>
      <c r="B15" s="77" t="s">
        <v>59</v>
      </c>
      <c r="C15" s="79"/>
    </row>
    <row r="16" spans="1:3">
      <c r="A16" s="76">
        <v>15</v>
      </c>
      <c r="B16" s="77" t="s">
        <v>60</v>
      </c>
      <c r="C16" s="79"/>
    </row>
    <row r="17" spans="1:3">
      <c r="A17" s="76">
        <v>16</v>
      </c>
      <c r="B17" s="77" t="s">
        <v>61</v>
      </c>
      <c r="C17" s="78"/>
    </row>
    <row r="18" spans="1:3">
      <c r="A18" s="76">
        <v>17</v>
      </c>
      <c r="B18" s="77" t="s">
        <v>62</v>
      </c>
      <c r="C18" s="78"/>
    </row>
    <row r="19" spans="1:3">
      <c r="A19" s="76">
        <v>18</v>
      </c>
      <c r="B19" s="77" t="s">
        <v>63</v>
      </c>
      <c r="C19" s="78"/>
    </row>
    <row r="20" spans="1:3">
      <c r="A20" s="76">
        <v>19</v>
      </c>
      <c r="B20" s="77" t="s">
        <v>64</v>
      </c>
      <c r="C20" s="78"/>
    </row>
    <row r="21" spans="1:3">
      <c r="A21" s="76">
        <v>20</v>
      </c>
      <c r="B21" s="77" t="s">
        <v>65</v>
      </c>
      <c r="C21" s="78"/>
    </row>
    <row r="22" spans="1:3">
      <c r="A22" s="76">
        <v>21</v>
      </c>
      <c r="B22" s="77" t="s">
        <v>66</v>
      </c>
      <c r="C22" s="78"/>
    </row>
    <row r="23" spans="1:3">
      <c r="A23" s="76">
        <v>22</v>
      </c>
      <c r="B23" s="77" t="s">
        <v>67</v>
      </c>
      <c r="C23" s="78"/>
    </row>
    <row r="24" spans="1:3">
      <c r="A24" s="76">
        <v>23</v>
      </c>
      <c r="B24" s="77" t="s">
        <v>68</v>
      </c>
      <c r="C24" s="78"/>
    </row>
    <row r="25" spans="1:3">
      <c r="A25" s="76">
        <v>24</v>
      </c>
      <c r="B25" s="77" t="s">
        <v>69</v>
      </c>
      <c r="C25" s="78"/>
    </row>
    <row r="26" spans="1:3">
      <c r="A26" s="76">
        <v>25</v>
      </c>
      <c r="B26" s="77" t="s">
        <v>70</v>
      </c>
      <c r="C26" s="78"/>
    </row>
    <row r="27" spans="1:3">
      <c r="A27" s="76">
        <v>26</v>
      </c>
      <c r="B27" s="77" t="s">
        <v>71</v>
      </c>
      <c r="C27" s="78"/>
    </row>
    <row r="28" spans="1:3">
      <c r="A28" s="76">
        <v>27</v>
      </c>
      <c r="B28" s="77" t="s">
        <v>72</v>
      </c>
      <c r="C28" s="78"/>
    </row>
    <row r="29" spans="1:3">
      <c r="A29" s="76">
        <v>28</v>
      </c>
      <c r="B29" s="77" t="s">
        <v>73</v>
      </c>
      <c r="C29" s="78"/>
    </row>
    <row r="30" spans="1:3">
      <c r="A30" s="76">
        <v>29</v>
      </c>
      <c r="B30" s="77" t="s">
        <v>74</v>
      </c>
      <c r="C30" s="78"/>
    </row>
    <row r="31" spans="1:3">
      <c r="A31" s="76">
        <v>30</v>
      </c>
      <c r="B31" s="77" t="s">
        <v>75</v>
      </c>
      <c r="C31" s="78"/>
    </row>
    <row r="32" spans="1:3">
      <c r="A32" s="76">
        <v>31</v>
      </c>
      <c r="B32" s="77" t="s">
        <v>76</v>
      </c>
      <c r="C32" s="78"/>
    </row>
    <row r="33" spans="1:3">
      <c r="A33" s="76">
        <v>32</v>
      </c>
      <c r="B33" s="77" t="s">
        <v>77</v>
      </c>
      <c r="C33" s="78"/>
    </row>
    <row r="34" spans="1:3">
      <c r="A34" s="76">
        <v>33</v>
      </c>
      <c r="B34" s="77" t="s">
        <v>78</v>
      </c>
      <c r="C34" s="78"/>
    </row>
    <row r="35" spans="1:3">
      <c r="A35" s="76">
        <v>34</v>
      </c>
      <c r="B35" s="77" t="s">
        <v>79</v>
      </c>
      <c r="C35" s="78"/>
    </row>
    <row r="36" spans="1:3">
      <c r="A36" s="76">
        <v>35</v>
      </c>
      <c r="B36" s="77" t="s">
        <v>80</v>
      </c>
      <c r="C36" s="78"/>
    </row>
    <row r="37" spans="1:3">
      <c r="A37" s="76">
        <v>36</v>
      </c>
      <c r="B37" s="77" t="s">
        <v>81</v>
      </c>
      <c r="C37" s="78"/>
    </row>
    <row r="38" spans="1:3">
      <c r="A38" s="76">
        <v>37</v>
      </c>
      <c r="B38" s="77" t="s">
        <v>82</v>
      </c>
      <c r="C38" s="78"/>
    </row>
    <row r="39" spans="1:3">
      <c r="A39" s="76">
        <v>38</v>
      </c>
      <c r="B39" s="77" t="s">
        <v>83</v>
      </c>
      <c r="C39" s="78"/>
    </row>
    <row r="40" spans="1:3">
      <c r="A40" s="76">
        <v>39</v>
      </c>
      <c r="B40" s="77" t="s">
        <v>84</v>
      </c>
      <c r="C40" s="78"/>
    </row>
    <row r="41" spans="1:3">
      <c r="A41" s="76">
        <v>40</v>
      </c>
      <c r="B41" s="77" t="s">
        <v>85</v>
      </c>
      <c r="C41" s="78"/>
    </row>
    <row r="42" spans="1:3">
      <c r="A42" s="76">
        <v>41</v>
      </c>
      <c r="B42" s="77" t="s">
        <v>86</v>
      </c>
      <c r="C42" s="78"/>
    </row>
    <row r="43" spans="1:3">
      <c r="A43" s="76">
        <v>42</v>
      </c>
      <c r="B43" s="77" t="s">
        <v>87</v>
      </c>
      <c r="C43" s="78"/>
    </row>
    <row r="44" spans="1:3">
      <c r="A44" s="76">
        <v>43</v>
      </c>
      <c r="B44" s="77" t="s">
        <v>88</v>
      </c>
      <c r="C44" s="78"/>
    </row>
    <row r="45" spans="1:3">
      <c r="A45" s="76">
        <v>44</v>
      </c>
      <c r="B45" s="77" t="s">
        <v>89</v>
      </c>
      <c r="C45" s="78"/>
    </row>
    <row r="46" spans="1:3">
      <c r="A46" s="76">
        <v>45</v>
      </c>
      <c r="B46" s="77" t="s">
        <v>90</v>
      </c>
      <c r="C46" s="78"/>
    </row>
    <row r="47" spans="1:3">
      <c r="A47" s="76">
        <v>46</v>
      </c>
      <c r="B47" s="77" t="s">
        <v>90</v>
      </c>
      <c r="C47" s="79"/>
    </row>
    <row r="48" spans="1:3">
      <c r="A48" s="76">
        <v>47</v>
      </c>
      <c r="B48" s="77" t="s">
        <v>91</v>
      </c>
      <c r="C48" s="79"/>
    </row>
    <row r="49" spans="1:3">
      <c r="A49" s="76">
        <v>48</v>
      </c>
      <c r="B49" s="77" t="s">
        <v>92</v>
      </c>
      <c r="C49" s="75"/>
    </row>
    <row r="50" spans="1:3">
      <c r="A50" s="76">
        <v>49</v>
      </c>
      <c r="B50" s="77" t="s">
        <v>92</v>
      </c>
      <c r="C50" s="75"/>
    </row>
    <row r="51" spans="1:3">
      <c r="A51" s="76">
        <v>50</v>
      </c>
      <c r="B51" s="77"/>
      <c r="C51" s="75"/>
    </row>
    <row r="52" spans="1:3">
      <c r="A52" s="76">
        <v>51</v>
      </c>
      <c r="B52" s="77" t="s">
        <v>46</v>
      </c>
      <c r="C52" s="78"/>
    </row>
    <row r="53" spans="1:3">
      <c r="A53" s="76">
        <v>52</v>
      </c>
      <c r="B53" s="77" t="s">
        <v>47</v>
      </c>
      <c r="C53" s="78"/>
    </row>
    <row r="54" spans="1:3">
      <c r="A54" s="76">
        <v>53</v>
      </c>
      <c r="B54" s="77" t="s">
        <v>48</v>
      </c>
      <c r="C54" s="78"/>
    </row>
    <row r="55" spans="1:3">
      <c r="A55" s="76">
        <v>54</v>
      </c>
      <c r="B55" s="77" t="s">
        <v>49</v>
      </c>
      <c r="C55" s="78"/>
    </row>
    <row r="56" spans="1:3">
      <c r="A56" s="76">
        <v>55</v>
      </c>
      <c r="B56" s="77" t="s">
        <v>50</v>
      </c>
      <c r="C56" s="78"/>
    </row>
    <row r="57" spans="1:3">
      <c r="A57" s="76">
        <v>56</v>
      </c>
      <c r="B57" s="77" t="s">
        <v>51</v>
      </c>
      <c r="C57" s="78"/>
    </row>
    <row r="58" spans="1:3">
      <c r="A58" s="76">
        <v>57</v>
      </c>
      <c r="B58" s="77" t="s">
        <v>52</v>
      </c>
      <c r="C58" s="79"/>
    </row>
    <row r="59" spans="1:3">
      <c r="A59" s="76">
        <v>58</v>
      </c>
      <c r="B59" s="77" t="s">
        <v>53</v>
      </c>
      <c r="C59" s="78"/>
    </row>
    <row r="60" spans="1:3">
      <c r="A60" s="76">
        <v>59</v>
      </c>
      <c r="B60" s="77" t="s">
        <v>93</v>
      </c>
      <c r="C60" s="79"/>
    </row>
    <row r="61" spans="1:3">
      <c r="A61" s="76">
        <v>60</v>
      </c>
      <c r="B61" s="77" t="s">
        <v>55</v>
      </c>
      <c r="C61" s="79"/>
    </row>
    <row r="62" spans="1:3">
      <c r="A62" s="76">
        <v>61</v>
      </c>
      <c r="B62" s="77" t="s">
        <v>56</v>
      </c>
      <c r="C62" s="78"/>
    </row>
    <row r="63" spans="1:3">
      <c r="A63" s="76">
        <v>62</v>
      </c>
      <c r="B63" s="77" t="s">
        <v>57</v>
      </c>
      <c r="C63" s="78"/>
    </row>
    <row r="64" spans="1:3">
      <c r="A64" s="76">
        <v>63</v>
      </c>
      <c r="B64" s="77" t="s">
        <v>58</v>
      </c>
      <c r="C64" s="79"/>
    </row>
    <row r="65" spans="1:3">
      <c r="A65" s="76">
        <v>64</v>
      </c>
      <c r="B65" s="77" t="s">
        <v>94</v>
      </c>
      <c r="C65" s="79"/>
    </row>
    <row r="66" spans="1:3">
      <c r="A66" s="76">
        <v>65</v>
      </c>
      <c r="B66" s="77" t="s">
        <v>60</v>
      </c>
      <c r="C66" s="79"/>
    </row>
    <row r="67" spans="1:3">
      <c r="A67" s="76">
        <v>66</v>
      </c>
      <c r="B67" s="77" t="s">
        <v>61</v>
      </c>
      <c r="C67" s="78"/>
    </row>
    <row r="68" spans="1:3">
      <c r="A68" s="76">
        <v>67</v>
      </c>
      <c r="B68" s="77" t="s">
        <v>62</v>
      </c>
      <c r="C68" s="78"/>
    </row>
    <row r="69" spans="1:3">
      <c r="A69" s="76">
        <v>68</v>
      </c>
      <c r="B69" s="77" t="s">
        <v>63</v>
      </c>
      <c r="C69" s="78"/>
    </row>
    <row r="70" spans="1:3">
      <c r="A70" s="76">
        <v>69</v>
      </c>
      <c r="B70" s="77" t="s">
        <v>95</v>
      </c>
      <c r="C70" s="78"/>
    </row>
    <row r="71" spans="1:3">
      <c r="A71" s="76">
        <v>70</v>
      </c>
      <c r="B71" s="77" t="s">
        <v>96</v>
      </c>
      <c r="C71" s="78"/>
    </row>
    <row r="72" spans="1:3">
      <c r="A72" s="76">
        <v>71</v>
      </c>
      <c r="B72" s="77" t="s">
        <v>66</v>
      </c>
      <c r="C72" s="78"/>
    </row>
    <row r="73" spans="1:3">
      <c r="A73" s="76">
        <v>72</v>
      </c>
      <c r="B73" s="77" t="s">
        <v>67</v>
      </c>
      <c r="C73" s="78"/>
    </row>
    <row r="74" spans="1:3">
      <c r="A74" s="76">
        <v>73</v>
      </c>
      <c r="B74" s="77" t="s">
        <v>97</v>
      </c>
      <c r="C74" s="78"/>
    </row>
    <row r="75" spans="1:3">
      <c r="A75" s="76">
        <v>74</v>
      </c>
      <c r="B75" s="77" t="s">
        <v>98</v>
      </c>
      <c r="C75" s="78"/>
    </row>
    <row r="76" spans="1:3">
      <c r="A76" s="76">
        <v>75</v>
      </c>
      <c r="B76" s="77" t="s">
        <v>70</v>
      </c>
      <c r="C76" s="78"/>
    </row>
    <row r="77" spans="1:3">
      <c r="A77" s="76">
        <v>76</v>
      </c>
      <c r="B77" s="77" t="s">
        <v>71</v>
      </c>
      <c r="C77" s="78"/>
    </row>
    <row r="78" spans="1:3">
      <c r="A78" s="76">
        <v>77</v>
      </c>
      <c r="B78" s="77" t="s">
        <v>72</v>
      </c>
      <c r="C78" s="78"/>
    </row>
    <row r="79" spans="1:3">
      <c r="A79" s="76">
        <v>78</v>
      </c>
      <c r="B79" s="77" t="s">
        <v>73</v>
      </c>
      <c r="C79" s="78"/>
    </row>
    <row r="80" spans="1:3">
      <c r="A80" s="76">
        <v>79</v>
      </c>
      <c r="B80" s="77" t="s">
        <v>99</v>
      </c>
      <c r="C80" s="78"/>
    </row>
    <row r="81" spans="1:3">
      <c r="A81" s="76">
        <v>80</v>
      </c>
      <c r="B81" s="77" t="s">
        <v>75</v>
      </c>
      <c r="C81" s="78"/>
    </row>
    <row r="82" spans="1:3">
      <c r="A82" s="76">
        <v>81</v>
      </c>
      <c r="B82" s="77" t="s">
        <v>76</v>
      </c>
      <c r="C82" s="78"/>
    </row>
    <row r="83" spans="1:3">
      <c r="A83" s="76">
        <v>82</v>
      </c>
      <c r="B83" s="77" t="s">
        <v>100</v>
      </c>
      <c r="C83" s="78"/>
    </row>
    <row r="84" spans="1:3">
      <c r="A84" s="76">
        <v>83</v>
      </c>
      <c r="B84" s="77" t="s">
        <v>78</v>
      </c>
      <c r="C84" s="78"/>
    </row>
    <row r="85" spans="1:3">
      <c r="A85" s="76">
        <v>84</v>
      </c>
      <c r="B85" s="77" t="s">
        <v>74</v>
      </c>
      <c r="C85" s="78"/>
    </row>
    <row r="86" spans="1:3">
      <c r="A86" s="76">
        <v>85</v>
      </c>
      <c r="B86" s="77" t="s">
        <v>80</v>
      </c>
      <c r="C86" s="78"/>
    </row>
    <row r="87" spans="1:3">
      <c r="A87" s="76">
        <v>86</v>
      </c>
      <c r="B87" s="77" t="s">
        <v>81</v>
      </c>
      <c r="C87" s="78"/>
    </row>
    <row r="88" spans="1:3">
      <c r="A88" s="76">
        <v>87</v>
      </c>
      <c r="B88" s="77" t="s">
        <v>82</v>
      </c>
      <c r="C88" s="78"/>
    </row>
    <row r="89" spans="1:3">
      <c r="A89" s="76">
        <v>88</v>
      </c>
      <c r="B89" s="77" t="s">
        <v>83</v>
      </c>
      <c r="C89" s="78"/>
    </row>
    <row r="90" spans="1:3">
      <c r="A90" s="76">
        <v>89</v>
      </c>
      <c r="B90" s="77" t="s">
        <v>84</v>
      </c>
      <c r="C90" s="78"/>
    </row>
    <row r="91" spans="1:3">
      <c r="A91" s="76">
        <v>90</v>
      </c>
      <c r="B91" s="77" t="s">
        <v>85</v>
      </c>
      <c r="C91" s="78"/>
    </row>
    <row r="92" spans="1:3">
      <c r="A92" s="76">
        <v>91</v>
      </c>
      <c r="B92" s="77" t="s">
        <v>101</v>
      </c>
      <c r="C92" s="78"/>
    </row>
    <row r="93" spans="1:3">
      <c r="A93" s="76">
        <v>92</v>
      </c>
      <c r="B93" s="77" t="s">
        <v>86</v>
      </c>
      <c r="C93" s="78"/>
    </row>
    <row r="94" spans="1:3">
      <c r="A94" s="76">
        <v>93</v>
      </c>
      <c r="B94" s="77" t="s">
        <v>87</v>
      </c>
      <c r="C94" s="78"/>
    </row>
    <row r="95" spans="1:3">
      <c r="A95" s="76">
        <v>94</v>
      </c>
      <c r="B95" s="77" t="s">
        <v>102</v>
      </c>
      <c r="C95" s="78"/>
    </row>
    <row r="96" spans="1:3">
      <c r="A96" s="76">
        <v>95</v>
      </c>
      <c r="B96" s="77" t="s">
        <v>90</v>
      </c>
      <c r="C96" s="78"/>
    </row>
    <row r="97" spans="1:3">
      <c r="A97" s="76">
        <v>96</v>
      </c>
      <c r="B97" s="77" t="s">
        <v>90</v>
      </c>
      <c r="C97" s="79"/>
    </row>
    <row r="98" spans="1:3">
      <c r="A98" s="76">
        <v>97</v>
      </c>
      <c r="B98" s="77" t="s">
        <v>91</v>
      </c>
      <c r="C98" s="79"/>
    </row>
    <row r="99" spans="1:3">
      <c r="A99" s="76">
        <v>98</v>
      </c>
      <c r="B99" s="77" t="s">
        <v>92</v>
      </c>
      <c r="C99" s="79"/>
    </row>
    <row r="100" spans="1:3">
      <c r="A100" s="76">
        <v>99</v>
      </c>
      <c r="B100" s="77" t="s">
        <v>92</v>
      </c>
      <c r="C100" s="79"/>
    </row>
    <row r="101" spans="1:3">
      <c r="A101" s="76">
        <v>100</v>
      </c>
      <c r="B101" s="77" t="s">
        <v>103</v>
      </c>
      <c r="C101" s="75"/>
    </row>
    <row r="102" spans="1:3">
      <c r="A102" s="73" t="s">
        <v>104</v>
      </c>
      <c r="B102" s="74" t="s">
        <v>105</v>
      </c>
      <c r="C102" s="75"/>
    </row>
    <row r="103" spans="1:3">
      <c r="A103" s="80">
        <v>101</v>
      </c>
      <c r="B103" s="77" t="s">
        <v>106</v>
      </c>
      <c r="C103" s="79"/>
    </row>
    <row r="104" spans="1:3">
      <c r="A104" s="80">
        <v>102</v>
      </c>
      <c r="B104" s="77" t="s">
        <v>434</v>
      </c>
      <c r="C104" s="81"/>
    </row>
    <row r="105" spans="1:3">
      <c r="A105" s="80">
        <v>103</v>
      </c>
      <c r="B105" s="82" t="s">
        <v>107</v>
      </c>
      <c r="C105" s="83"/>
    </row>
    <row r="106" spans="1:3">
      <c r="A106" s="80">
        <v>104</v>
      </c>
      <c r="B106" s="82" t="s">
        <v>108</v>
      </c>
      <c r="C106" s="83"/>
    </row>
    <row r="107" spans="1:3">
      <c r="A107" s="80">
        <v>105</v>
      </c>
      <c r="B107" s="82" t="s">
        <v>109</v>
      </c>
      <c r="C107" s="83"/>
    </row>
    <row r="108" spans="1:3">
      <c r="A108" s="80">
        <v>106</v>
      </c>
      <c r="B108" s="82" t="s">
        <v>110</v>
      </c>
      <c r="C108" s="83"/>
    </row>
    <row r="109" spans="1:3">
      <c r="A109" s="80">
        <v>107</v>
      </c>
      <c r="B109" s="82" t="s">
        <v>111</v>
      </c>
      <c r="C109" s="83"/>
    </row>
    <row r="110" spans="1:3">
      <c r="A110" s="80">
        <v>108</v>
      </c>
      <c r="B110" s="82" t="s">
        <v>112</v>
      </c>
      <c r="C110" s="83"/>
    </row>
    <row r="111" spans="1:3">
      <c r="A111" s="80">
        <v>109</v>
      </c>
      <c r="B111" s="82" t="s">
        <v>113</v>
      </c>
      <c r="C111" s="83"/>
    </row>
    <row r="112" spans="1:3">
      <c r="A112" s="80">
        <v>110</v>
      </c>
      <c r="B112" s="82" t="s">
        <v>114</v>
      </c>
      <c r="C112" s="81"/>
    </row>
    <row r="113" spans="1:3">
      <c r="A113" s="80">
        <v>111</v>
      </c>
      <c r="B113" s="82" t="s">
        <v>115</v>
      </c>
      <c r="C113" s="83"/>
    </row>
    <row r="114" spans="1:3">
      <c r="A114" s="80">
        <v>112</v>
      </c>
      <c r="B114" s="82" t="s">
        <v>116</v>
      </c>
      <c r="C114" s="83"/>
    </row>
    <row r="115" spans="1:3">
      <c r="A115" s="80">
        <v>113</v>
      </c>
      <c r="B115" s="82" t="s">
        <v>117</v>
      </c>
      <c r="C115" s="83"/>
    </row>
    <row r="116" spans="1:3">
      <c r="A116" s="73" t="s">
        <v>118</v>
      </c>
      <c r="B116" s="84" t="s">
        <v>119</v>
      </c>
      <c r="C116" s="85"/>
    </row>
    <row r="117" spans="1:3">
      <c r="A117" s="76">
        <v>114</v>
      </c>
      <c r="B117" s="77" t="s">
        <v>120</v>
      </c>
      <c r="C117" s="79"/>
    </row>
    <row r="118" spans="1:3">
      <c r="A118" s="76">
        <v>115</v>
      </c>
      <c r="B118" s="77" t="s">
        <v>121</v>
      </c>
      <c r="C118" s="79"/>
    </row>
    <row r="119" spans="1:3">
      <c r="A119" s="76">
        <v>116</v>
      </c>
      <c r="B119" s="77" t="s">
        <v>122</v>
      </c>
      <c r="C119" s="81"/>
    </row>
    <row r="120" spans="1:3">
      <c r="A120" s="76">
        <v>117</v>
      </c>
      <c r="B120" s="77" t="s">
        <v>123</v>
      </c>
      <c r="C120" s="79"/>
    </row>
    <row r="121" spans="1:3">
      <c r="A121" s="76">
        <v>118</v>
      </c>
      <c r="B121" s="77" t="s">
        <v>124</v>
      </c>
      <c r="C121" s="79"/>
    </row>
    <row r="122" spans="1:3">
      <c r="A122" s="76">
        <v>119</v>
      </c>
      <c r="B122" s="77" t="s">
        <v>125</v>
      </c>
      <c r="C122" s="79"/>
    </row>
    <row r="123" spans="1:3">
      <c r="A123" s="76">
        <v>120</v>
      </c>
      <c r="B123" s="77" t="s">
        <v>126</v>
      </c>
      <c r="C123" s="79"/>
    </row>
    <row r="124" spans="1:3">
      <c r="A124" s="76">
        <v>121</v>
      </c>
      <c r="B124" s="77" t="s">
        <v>127</v>
      </c>
      <c r="C124" s="79"/>
    </row>
    <row r="125" spans="1:3">
      <c r="A125" s="76">
        <v>122</v>
      </c>
      <c r="B125" s="77" t="s">
        <v>128</v>
      </c>
      <c r="C125" s="79"/>
    </row>
    <row r="126" spans="1:3">
      <c r="A126" s="76">
        <v>123</v>
      </c>
      <c r="B126" s="77" t="s">
        <v>129</v>
      </c>
      <c r="C126" s="79"/>
    </row>
    <row r="127" spans="1:3">
      <c r="A127" s="76">
        <v>124</v>
      </c>
      <c r="B127" s="77" t="s">
        <v>130</v>
      </c>
      <c r="C127" s="79"/>
    </row>
    <row r="128" spans="1:3">
      <c r="A128" s="76">
        <v>125</v>
      </c>
      <c r="B128" s="77" t="s">
        <v>131</v>
      </c>
      <c r="C128" s="79"/>
    </row>
    <row r="129" spans="1:3">
      <c r="A129" s="76">
        <v>126</v>
      </c>
      <c r="B129" s="77" t="s">
        <v>132</v>
      </c>
      <c r="C129" s="79"/>
    </row>
    <row r="130" spans="1:3">
      <c r="A130" s="76">
        <v>127</v>
      </c>
      <c r="B130" s="77" t="s">
        <v>133</v>
      </c>
      <c r="C130" s="79"/>
    </row>
    <row r="131" spans="1:3">
      <c r="A131" s="76">
        <v>128</v>
      </c>
      <c r="B131" s="77" t="s">
        <v>433</v>
      </c>
      <c r="C131" s="79"/>
    </row>
    <row r="132" spans="1:3">
      <c r="A132" s="76">
        <v>129</v>
      </c>
      <c r="B132" s="77" t="s">
        <v>134</v>
      </c>
      <c r="C132" s="79"/>
    </row>
    <row r="133" spans="1:3">
      <c r="A133" s="76">
        <v>130</v>
      </c>
      <c r="B133" s="77" t="s">
        <v>135</v>
      </c>
      <c r="C133" s="79"/>
    </row>
    <row r="134" spans="1:3">
      <c r="A134" s="76">
        <v>131</v>
      </c>
      <c r="B134" s="77" t="s">
        <v>136</v>
      </c>
      <c r="C134" s="79"/>
    </row>
    <row r="135" spans="1:3">
      <c r="A135" s="76">
        <v>132</v>
      </c>
      <c r="B135" s="77" t="s">
        <v>137</v>
      </c>
      <c r="C135" s="79"/>
    </row>
    <row r="136" spans="1:3">
      <c r="A136" s="76">
        <v>133</v>
      </c>
      <c r="B136" s="77" t="s">
        <v>432</v>
      </c>
      <c r="C136" s="79"/>
    </row>
    <row r="137" spans="1:3">
      <c r="A137" s="76">
        <v>134</v>
      </c>
      <c r="B137" s="77" t="s">
        <v>138</v>
      </c>
      <c r="C137" s="81"/>
    </row>
    <row r="138" spans="1:3">
      <c r="A138" s="76">
        <v>135</v>
      </c>
      <c r="B138" s="77" t="s">
        <v>139</v>
      </c>
      <c r="C138" s="79"/>
    </row>
    <row r="139" spans="1:3">
      <c r="A139" s="76">
        <v>136</v>
      </c>
      <c r="B139" s="77" t="s">
        <v>140</v>
      </c>
      <c r="C139" s="79"/>
    </row>
    <row r="140" spans="1:3">
      <c r="A140" s="76">
        <v>137</v>
      </c>
      <c r="B140" s="77" t="s">
        <v>141</v>
      </c>
      <c r="C140" s="79"/>
    </row>
    <row r="141" spans="1:3">
      <c r="A141" s="76">
        <v>138</v>
      </c>
      <c r="B141" s="77" t="s">
        <v>142</v>
      </c>
      <c r="C141" s="79"/>
    </row>
    <row r="142" spans="1:3">
      <c r="A142" s="76">
        <v>139</v>
      </c>
      <c r="B142" s="77" t="s">
        <v>87</v>
      </c>
      <c r="C142" s="79"/>
    </row>
    <row r="143" spans="1:3">
      <c r="A143" s="73" t="s">
        <v>143</v>
      </c>
      <c r="B143" s="84" t="s">
        <v>144</v>
      </c>
      <c r="C143" s="75"/>
    </row>
    <row r="144" spans="1:3">
      <c r="A144" s="76">
        <v>140</v>
      </c>
      <c r="B144" s="77" t="s">
        <v>145</v>
      </c>
      <c r="C144" s="86"/>
    </row>
    <row r="145" spans="1:3">
      <c r="A145" s="76">
        <v>141</v>
      </c>
      <c r="B145" s="77" t="s">
        <v>146</v>
      </c>
      <c r="C145" s="87"/>
    </row>
    <row r="146" spans="1:3">
      <c r="A146" s="76">
        <v>142</v>
      </c>
      <c r="B146" s="77" t="s">
        <v>147</v>
      </c>
      <c r="C146" s="88"/>
    </row>
    <row r="147" spans="1:3">
      <c r="A147" s="76">
        <v>143</v>
      </c>
      <c r="B147" s="77" t="s">
        <v>147</v>
      </c>
      <c r="C147" s="86"/>
    </row>
    <row r="148" spans="1:3">
      <c r="A148" s="76">
        <v>144</v>
      </c>
      <c r="B148" s="77" t="s">
        <v>147</v>
      </c>
      <c r="C148" s="87"/>
    </row>
    <row r="149" spans="1:3">
      <c r="A149" s="76">
        <v>145</v>
      </c>
      <c r="B149" s="77" t="s">
        <v>148</v>
      </c>
      <c r="C149" s="88"/>
    </row>
    <row r="150" spans="1:3">
      <c r="A150" s="76">
        <v>146</v>
      </c>
      <c r="B150" s="77" t="s">
        <v>148</v>
      </c>
      <c r="C150" s="86"/>
    </row>
    <row r="151" spans="1:3">
      <c r="A151" s="76">
        <v>147</v>
      </c>
      <c r="B151" s="77" t="s">
        <v>149</v>
      </c>
      <c r="C151" s="87"/>
    </row>
    <row r="152" spans="1:3">
      <c r="A152" s="76">
        <v>148</v>
      </c>
      <c r="B152" s="77" t="s">
        <v>150</v>
      </c>
      <c r="C152" s="88"/>
    </row>
    <row r="153" spans="1:3">
      <c r="A153" s="76">
        <v>149</v>
      </c>
      <c r="B153" s="77" t="s">
        <v>151</v>
      </c>
      <c r="C153" s="86"/>
    </row>
    <row r="154" spans="1:3">
      <c r="A154" s="76">
        <v>150</v>
      </c>
      <c r="B154" s="77"/>
      <c r="C154" s="87"/>
    </row>
    <row r="155" spans="1:3">
      <c r="A155" s="73" t="s">
        <v>152</v>
      </c>
      <c r="B155" s="74" t="s">
        <v>153</v>
      </c>
      <c r="C155" s="89"/>
    </row>
    <row r="156" spans="1:3">
      <c r="A156" s="76">
        <v>151</v>
      </c>
      <c r="B156" s="77" t="s">
        <v>154</v>
      </c>
      <c r="C156" s="90"/>
    </row>
    <row r="157" spans="1:3">
      <c r="A157" s="76">
        <v>152</v>
      </c>
      <c r="B157" s="77" t="s">
        <v>155</v>
      </c>
      <c r="C157" s="90"/>
    </row>
    <row r="158" spans="1:3">
      <c r="A158" s="76">
        <v>153</v>
      </c>
      <c r="B158" s="77" t="s">
        <v>156</v>
      </c>
      <c r="C158" s="90"/>
    </row>
    <row r="159" spans="1:3">
      <c r="A159" s="76">
        <v>154</v>
      </c>
      <c r="B159" s="77" t="s">
        <v>157</v>
      </c>
      <c r="C159" s="90"/>
    </row>
    <row r="160" spans="1:3">
      <c r="A160" s="76">
        <v>155</v>
      </c>
      <c r="B160" s="77" t="s">
        <v>158</v>
      </c>
      <c r="C160" s="90"/>
    </row>
    <row r="161" spans="1:3">
      <c r="A161" s="76">
        <v>156</v>
      </c>
      <c r="B161" s="77" t="s">
        <v>159</v>
      </c>
      <c r="C161" s="90"/>
    </row>
    <row r="162" spans="1:3">
      <c r="A162" s="76">
        <v>157</v>
      </c>
      <c r="B162" s="77" t="s">
        <v>160</v>
      </c>
      <c r="C162" s="90"/>
    </row>
    <row r="163" spans="1:3">
      <c r="A163" s="76">
        <v>158</v>
      </c>
      <c r="B163" s="77" t="s">
        <v>161</v>
      </c>
      <c r="C163" s="90"/>
    </row>
    <row r="164" spans="1:3">
      <c r="A164" s="76">
        <v>159</v>
      </c>
      <c r="B164" s="77" t="s">
        <v>162</v>
      </c>
      <c r="C164" s="90"/>
    </row>
    <row r="165" spans="1:3">
      <c r="A165" s="76">
        <v>160</v>
      </c>
      <c r="B165" s="77" t="s">
        <v>163</v>
      </c>
      <c r="C165" s="90"/>
    </row>
    <row r="166" spans="1:3">
      <c r="A166" s="76">
        <v>161</v>
      </c>
      <c r="B166" s="77" t="s">
        <v>164</v>
      </c>
      <c r="C166" s="90"/>
    </row>
    <row r="167" spans="1:3">
      <c r="A167" s="76">
        <v>162</v>
      </c>
      <c r="B167" s="77" t="s">
        <v>165</v>
      </c>
      <c r="C167" s="90"/>
    </row>
    <row r="168" spans="1:3">
      <c r="A168" s="76">
        <v>163</v>
      </c>
      <c r="B168" s="77"/>
      <c r="C168" s="90"/>
    </row>
    <row r="169" spans="1:3">
      <c r="A169" s="76">
        <v>164</v>
      </c>
      <c r="B169" s="77"/>
      <c r="C169" s="91"/>
    </row>
    <row r="170" spans="1:3">
      <c r="A170" s="76">
        <v>165</v>
      </c>
      <c r="B170" s="77"/>
      <c r="C170" s="92"/>
    </row>
    <row r="171" spans="1:3">
      <c r="A171" s="76">
        <v>166</v>
      </c>
      <c r="B171" s="77"/>
      <c r="C171" s="91"/>
    </row>
    <row r="172" spans="1:3">
      <c r="A172" s="76">
        <v>167</v>
      </c>
      <c r="B172" s="77"/>
      <c r="C172" s="92"/>
    </row>
    <row r="173" spans="1:3">
      <c r="A173" s="93" t="s">
        <v>166</v>
      </c>
      <c r="B173" s="94" t="s">
        <v>167</v>
      </c>
      <c r="C173" s="92"/>
    </row>
    <row r="174" spans="1:3">
      <c r="A174" s="76">
        <v>168</v>
      </c>
      <c r="B174" s="77" t="s">
        <v>168</v>
      </c>
      <c r="C174" s="95"/>
    </row>
    <row r="175" spans="1:3">
      <c r="A175" s="76">
        <v>169</v>
      </c>
      <c r="B175" s="96" t="s">
        <v>169</v>
      </c>
      <c r="C175" s="95"/>
    </row>
    <row r="176" spans="1:3">
      <c r="A176" s="76">
        <v>170</v>
      </c>
      <c r="B176" s="96" t="s">
        <v>170</v>
      </c>
      <c r="C176" s="95"/>
    </row>
    <row r="177" spans="1:3">
      <c r="A177" s="76">
        <v>171</v>
      </c>
      <c r="B177" s="96" t="s">
        <v>171</v>
      </c>
      <c r="C177" s="95"/>
    </row>
    <row r="178" spans="1:3">
      <c r="A178" s="76">
        <v>172</v>
      </c>
      <c r="B178" s="96" t="s">
        <v>172</v>
      </c>
      <c r="C178" s="95"/>
    </row>
    <row r="179" spans="1:3">
      <c r="A179" s="76">
        <v>173</v>
      </c>
      <c r="B179" s="96" t="s">
        <v>173</v>
      </c>
      <c r="C179" s="95"/>
    </row>
    <row r="180" spans="1:3">
      <c r="A180" s="76">
        <v>174</v>
      </c>
      <c r="B180" s="96" t="s">
        <v>173</v>
      </c>
      <c r="C180" s="95"/>
    </row>
    <row r="181" spans="1:3">
      <c r="A181" s="76">
        <v>175</v>
      </c>
      <c r="B181" s="96" t="s">
        <v>174</v>
      </c>
      <c r="C181" s="95"/>
    </row>
    <row r="182" spans="1:3">
      <c r="A182" s="76">
        <v>176</v>
      </c>
      <c r="B182" s="96" t="s">
        <v>175</v>
      </c>
      <c r="C182" s="95"/>
    </row>
    <row r="183" spans="1:3">
      <c r="A183" s="76">
        <v>177</v>
      </c>
      <c r="B183" s="96" t="s">
        <v>176</v>
      </c>
      <c r="C183" s="95"/>
    </row>
    <row r="184" spans="1:3">
      <c r="A184" s="76">
        <v>178</v>
      </c>
      <c r="B184" s="96" t="s">
        <v>177</v>
      </c>
      <c r="C184" s="85"/>
    </row>
    <row r="185" spans="1:3">
      <c r="A185" s="76">
        <v>179</v>
      </c>
      <c r="B185" s="96" t="s">
        <v>178</v>
      </c>
      <c r="C185" s="85"/>
    </row>
    <row r="186" spans="1:3">
      <c r="A186" s="76">
        <v>180</v>
      </c>
      <c r="B186" s="96" t="s">
        <v>179</v>
      </c>
      <c r="C186" s="85"/>
    </row>
    <row r="187" spans="1:3">
      <c r="A187" s="73" t="s">
        <v>180</v>
      </c>
      <c r="B187" s="84" t="s">
        <v>181</v>
      </c>
      <c r="C187" s="85"/>
    </row>
    <row r="188" spans="1:3">
      <c r="A188" s="76">
        <v>181</v>
      </c>
      <c r="B188" s="77" t="s">
        <v>182</v>
      </c>
      <c r="C188" s="97"/>
    </row>
    <row r="189" spans="1:3">
      <c r="A189" s="76">
        <v>182</v>
      </c>
      <c r="B189" s="77" t="s">
        <v>183</v>
      </c>
      <c r="C189" s="97"/>
    </row>
    <row r="190" spans="1:3">
      <c r="A190" s="76">
        <v>183</v>
      </c>
      <c r="B190" s="77" t="s">
        <v>184</v>
      </c>
      <c r="C190" s="97"/>
    </row>
    <row r="191" spans="1:3">
      <c r="A191" s="76">
        <v>184</v>
      </c>
      <c r="B191" s="77" t="s">
        <v>185</v>
      </c>
      <c r="C191" s="97"/>
    </row>
    <row r="192" spans="1:3">
      <c r="A192" s="76">
        <v>185</v>
      </c>
      <c r="B192" s="77" t="s">
        <v>186</v>
      </c>
      <c r="C192" s="97"/>
    </row>
    <row r="193" spans="1:3">
      <c r="A193" s="76">
        <v>186</v>
      </c>
      <c r="B193" s="77" t="s">
        <v>187</v>
      </c>
      <c r="C193" s="95"/>
    </row>
    <row r="194" spans="1:3">
      <c r="A194" s="76">
        <v>187</v>
      </c>
      <c r="B194" s="77" t="s">
        <v>188</v>
      </c>
      <c r="C194" s="95"/>
    </row>
    <row r="195" spans="1:3">
      <c r="A195" s="76">
        <v>188</v>
      </c>
      <c r="B195" s="77" t="s">
        <v>189</v>
      </c>
      <c r="C195" s="95"/>
    </row>
    <row r="196" spans="1:3">
      <c r="A196" s="76">
        <v>189</v>
      </c>
      <c r="B196" s="77" t="s">
        <v>190</v>
      </c>
      <c r="C196" s="95"/>
    </row>
    <row r="197" spans="1:3">
      <c r="A197" s="76">
        <v>190</v>
      </c>
      <c r="B197" s="77" t="s">
        <v>191</v>
      </c>
      <c r="C197" s="95"/>
    </row>
    <row r="198" spans="1:3">
      <c r="A198" s="76">
        <v>191</v>
      </c>
      <c r="B198" s="77" t="s">
        <v>192</v>
      </c>
      <c r="C198" s="85"/>
    </row>
    <row r="199" spans="1:3">
      <c r="A199" s="76">
        <v>192</v>
      </c>
      <c r="B199" s="77" t="s">
        <v>193</v>
      </c>
      <c r="C199" s="85"/>
    </row>
    <row r="200" spans="1:3">
      <c r="A200" s="73" t="s">
        <v>194</v>
      </c>
      <c r="B200" s="74" t="s">
        <v>195</v>
      </c>
      <c r="C200" s="85"/>
    </row>
    <row r="201" spans="1:3">
      <c r="A201" s="98">
        <v>193</v>
      </c>
      <c r="B201" s="77" t="s">
        <v>196</v>
      </c>
      <c r="C201" s="95"/>
    </row>
    <row r="202" spans="1:3">
      <c r="A202" s="98">
        <v>194</v>
      </c>
      <c r="B202" s="77" t="s">
        <v>197</v>
      </c>
      <c r="C202" s="95"/>
    </row>
    <row r="203" spans="1:3">
      <c r="A203" s="98">
        <v>195</v>
      </c>
      <c r="B203" s="77" t="s">
        <v>198</v>
      </c>
      <c r="C203" s="95"/>
    </row>
    <row r="204" spans="1:3">
      <c r="A204" s="98">
        <v>196</v>
      </c>
      <c r="B204" s="77" t="s">
        <v>199</v>
      </c>
      <c r="C204" s="95"/>
    </row>
    <row r="205" spans="1:3">
      <c r="A205" s="98">
        <v>197</v>
      </c>
      <c r="B205" s="77" t="s">
        <v>200</v>
      </c>
      <c r="C205" s="95"/>
    </row>
    <row r="206" spans="1:3">
      <c r="A206" s="98">
        <v>198</v>
      </c>
      <c r="B206" s="77" t="s">
        <v>201</v>
      </c>
      <c r="C206" s="95"/>
    </row>
    <row r="207" spans="1:3">
      <c r="A207" s="98">
        <v>199</v>
      </c>
      <c r="B207" s="77" t="s">
        <v>202</v>
      </c>
      <c r="C207" s="95"/>
    </row>
    <row r="208" spans="1:3">
      <c r="A208" s="98">
        <v>200</v>
      </c>
      <c r="B208" s="77" t="s">
        <v>203</v>
      </c>
      <c r="C208" s="95"/>
    </row>
    <row r="209" spans="1:3">
      <c r="A209" s="98">
        <v>201</v>
      </c>
      <c r="B209" s="77" t="s">
        <v>204</v>
      </c>
      <c r="C209" s="95"/>
    </row>
    <row r="210" spans="1:3">
      <c r="A210" s="98">
        <v>202</v>
      </c>
      <c r="B210" s="77" t="s">
        <v>205</v>
      </c>
      <c r="C210" s="95"/>
    </row>
    <row r="211" spans="1:3">
      <c r="A211" s="98">
        <v>203</v>
      </c>
      <c r="B211" s="77" t="s">
        <v>206</v>
      </c>
      <c r="C211" s="95"/>
    </row>
    <row r="212" spans="1:3">
      <c r="A212" s="98">
        <v>204</v>
      </c>
      <c r="B212" s="77" t="s">
        <v>207</v>
      </c>
      <c r="C212" s="85"/>
    </row>
    <row r="213" spans="1:3">
      <c r="A213" s="98">
        <v>205</v>
      </c>
      <c r="B213" s="77" t="s">
        <v>208</v>
      </c>
      <c r="C213" s="85"/>
    </row>
    <row r="214" spans="1:3">
      <c r="A214" s="98">
        <v>206</v>
      </c>
      <c r="B214" s="77" t="s">
        <v>209</v>
      </c>
      <c r="C214" s="85"/>
    </row>
    <row r="215" spans="1:3">
      <c r="A215" s="98">
        <v>207</v>
      </c>
      <c r="B215" s="77" t="s">
        <v>210</v>
      </c>
      <c r="C215" s="85"/>
    </row>
    <row r="216" spans="1:3">
      <c r="A216" s="98">
        <v>208</v>
      </c>
      <c r="B216" s="77" t="s">
        <v>211</v>
      </c>
      <c r="C216" s="85"/>
    </row>
    <row r="217" spans="1:3">
      <c r="A217" s="98">
        <v>209</v>
      </c>
      <c r="B217" s="77" t="s">
        <v>212</v>
      </c>
      <c r="C217" s="85"/>
    </row>
    <row r="218" spans="1:3">
      <c r="A218" s="98">
        <v>210</v>
      </c>
      <c r="B218" s="77" t="s">
        <v>213</v>
      </c>
      <c r="C218" s="85"/>
    </row>
    <row r="219" spans="1:3">
      <c r="A219" s="99" t="s">
        <v>214</v>
      </c>
      <c r="B219" s="74" t="s">
        <v>215</v>
      </c>
      <c r="C219" s="85"/>
    </row>
    <row r="220" spans="1:3">
      <c r="A220" s="100">
        <v>211</v>
      </c>
      <c r="B220" s="77" t="s">
        <v>216</v>
      </c>
      <c r="C220" s="95"/>
    </row>
    <row r="221" spans="1:3">
      <c r="A221" s="100">
        <v>212</v>
      </c>
      <c r="B221" s="77" t="s">
        <v>217</v>
      </c>
      <c r="C221" s="95"/>
    </row>
    <row r="222" spans="1:3">
      <c r="A222" s="100">
        <v>213</v>
      </c>
      <c r="B222" s="77" t="s">
        <v>218</v>
      </c>
      <c r="C222" s="95"/>
    </row>
    <row r="223" spans="1:3">
      <c r="A223" s="100">
        <v>214</v>
      </c>
      <c r="B223" s="77" t="s">
        <v>219</v>
      </c>
      <c r="C223" s="95"/>
    </row>
    <row r="224" spans="1:3">
      <c r="A224" s="100">
        <v>215</v>
      </c>
      <c r="B224" s="77" t="s">
        <v>220</v>
      </c>
      <c r="C224" s="95"/>
    </row>
    <row r="225" spans="1:3">
      <c r="A225" s="100">
        <v>216</v>
      </c>
      <c r="B225" s="77" t="s">
        <v>221</v>
      </c>
      <c r="C225" s="95"/>
    </row>
    <row r="226" spans="1:3">
      <c r="A226" s="101" t="s">
        <v>222</v>
      </c>
      <c r="B226" s="74" t="s">
        <v>223</v>
      </c>
      <c r="C226" s="95"/>
    </row>
    <row r="227" spans="1:3">
      <c r="A227" s="102">
        <v>217</v>
      </c>
      <c r="B227" s="77" t="s">
        <v>224</v>
      </c>
      <c r="C227" s="95"/>
    </row>
    <row r="228" spans="1:3">
      <c r="A228" s="102">
        <v>218</v>
      </c>
      <c r="B228" s="77" t="s">
        <v>225</v>
      </c>
      <c r="C228" s="95"/>
    </row>
    <row r="229" spans="1:3">
      <c r="A229" s="102">
        <v>219</v>
      </c>
      <c r="B229" s="77" t="s">
        <v>226</v>
      </c>
      <c r="C229" s="95"/>
    </row>
    <row r="230" spans="1:3">
      <c r="A230" s="102">
        <v>220</v>
      </c>
      <c r="B230" s="77" t="s">
        <v>227</v>
      </c>
      <c r="C230" s="95"/>
    </row>
    <row r="231" spans="1:3">
      <c r="A231" s="102">
        <v>221</v>
      </c>
      <c r="B231" s="77" t="s">
        <v>228</v>
      </c>
      <c r="C231" s="95"/>
    </row>
    <row r="232" spans="1:3">
      <c r="A232" s="102">
        <v>222</v>
      </c>
      <c r="B232" s="77" t="s">
        <v>229</v>
      </c>
      <c r="C232" s="95"/>
    </row>
    <row r="233" spans="1:3">
      <c r="A233" s="102">
        <v>223</v>
      </c>
      <c r="B233" s="77" t="s">
        <v>230</v>
      </c>
      <c r="C233" s="95"/>
    </row>
    <row r="234" spans="1:3">
      <c r="A234" s="102">
        <v>224</v>
      </c>
      <c r="B234" s="77" t="s">
        <v>231</v>
      </c>
      <c r="C234" s="85"/>
    </row>
    <row r="235" spans="1:3">
      <c r="A235" s="102">
        <v>225</v>
      </c>
      <c r="B235" s="77" t="s">
        <v>232</v>
      </c>
      <c r="C235" s="85"/>
    </row>
    <row r="236" spans="1:3">
      <c r="A236" s="102">
        <v>226</v>
      </c>
      <c r="B236" s="77"/>
      <c r="C236" s="85"/>
    </row>
    <row r="237" spans="1:3">
      <c r="A237" s="101" t="s">
        <v>233</v>
      </c>
      <c r="B237" s="74" t="s">
        <v>234</v>
      </c>
      <c r="C237" s="85"/>
    </row>
    <row r="238" spans="1:3">
      <c r="A238" s="103">
        <v>227</v>
      </c>
      <c r="B238" s="77" t="s">
        <v>235</v>
      </c>
      <c r="C238" s="104"/>
    </row>
    <row r="239" spans="1:3">
      <c r="A239" s="103">
        <v>228</v>
      </c>
      <c r="B239" s="77" t="s">
        <v>236</v>
      </c>
      <c r="C239" s="104"/>
    </row>
    <row r="240" spans="1:3">
      <c r="A240" s="103">
        <v>229</v>
      </c>
      <c r="B240" s="77" t="s">
        <v>237</v>
      </c>
      <c r="C240" s="104"/>
    </row>
    <row r="241" spans="1:3">
      <c r="A241" s="103">
        <v>230</v>
      </c>
      <c r="B241" s="77" t="s">
        <v>238</v>
      </c>
      <c r="C241" s="104"/>
    </row>
    <row r="242" spans="1:3">
      <c r="A242" s="103">
        <v>231</v>
      </c>
      <c r="B242" s="77" t="s">
        <v>239</v>
      </c>
      <c r="C242" s="104"/>
    </row>
    <row r="243" spans="1:3">
      <c r="A243" s="103">
        <v>232</v>
      </c>
      <c r="B243" s="77" t="s">
        <v>89</v>
      </c>
      <c r="C243" s="104"/>
    </row>
    <row r="244" spans="1:3">
      <c r="A244" s="103">
        <v>233</v>
      </c>
      <c r="B244" s="77"/>
      <c r="C244" s="104"/>
    </row>
    <row r="245" spans="1:3">
      <c r="A245" s="101" t="s">
        <v>240</v>
      </c>
      <c r="B245" s="74" t="s">
        <v>241</v>
      </c>
      <c r="C245" s="85"/>
    </row>
    <row r="246" spans="1:3">
      <c r="A246" s="76">
        <v>236</v>
      </c>
      <c r="B246" s="77" t="s">
        <v>242</v>
      </c>
      <c r="C246" s="105"/>
    </row>
    <row r="247" spans="1:3">
      <c r="A247" s="76">
        <v>237</v>
      </c>
      <c r="B247" s="77" t="s">
        <v>242</v>
      </c>
      <c r="C247" s="105"/>
    </row>
    <row r="248" spans="1:3">
      <c r="A248" s="76">
        <v>238</v>
      </c>
      <c r="B248" s="77" t="s">
        <v>242</v>
      </c>
      <c r="C248" s="105"/>
    </row>
    <row r="249" spans="1:3">
      <c r="A249" s="76">
        <v>239</v>
      </c>
      <c r="B249" s="77" t="s">
        <v>242</v>
      </c>
      <c r="C249" s="105"/>
    </row>
    <row r="250" spans="1:3">
      <c r="A250" s="76">
        <v>240</v>
      </c>
      <c r="B250" s="77" t="s">
        <v>242</v>
      </c>
      <c r="C250" s="105"/>
    </row>
    <row r="251" spans="1:3">
      <c r="A251" s="76">
        <v>241</v>
      </c>
      <c r="B251" s="77" t="s">
        <v>242</v>
      </c>
      <c r="C251" s="105"/>
    </row>
    <row r="252" spans="1:3">
      <c r="A252" s="76">
        <v>242</v>
      </c>
      <c r="B252" s="77" t="s">
        <v>242</v>
      </c>
      <c r="C252" s="85"/>
    </row>
    <row r="253" spans="1:3">
      <c r="A253" s="76">
        <v>243</v>
      </c>
      <c r="B253" s="77" t="s">
        <v>242</v>
      </c>
      <c r="C253" s="105"/>
    </row>
    <row r="254" spans="1:3">
      <c r="A254" s="76">
        <v>244</v>
      </c>
      <c r="B254" s="77" t="s">
        <v>242</v>
      </c>
      <c r="C254" s="105"/>
    </row>
    <row r="255" spans="1:3">
      <c r="A255" s="76">
        <v>245</v>
      </c>
      <c r="B255" s="77" t="s">
        <v>242</v>
      </c>
      <c r="C255" s="105"/>
    </row>
    <row r="256" spans="1:3">
      <c r="A256" s="76">
        <v>246</v>
      </c>
      <c r="B256" s="77"/>
      <c r="C256" s="105"/>
    </row>
    <row r="257" spans="1:3">
      <c r="A257" s="76">
        <v>247</v>
      </c>
      <c r="B257" s="77"/>
      <c r="C257" s="105"/>
    </row>
    <row r="258" spans="1:3">
      <c r="A258" s="76">
        <v>248</v>
      </c>
      <c r="B258" s="77"/>
      <c r="C258" s="105"/>
    </row>
    <row r="259" spans="1:3">
      <c r="A259" s="76">
        <v>249</v>
      </c>
      <c r="B259" s="77" t="s">
        <v>243</v>
      </c>
      <c r="C259" s="105"/>
    </row>
    <row r="260" spans="1:3">
      <c r="A260" s="76">
        <v>250</v>
      </c>
      <c r="B260" s="77" t="s">
        <v>244</v>
      </c>
      <c r="C260" s="105"/>
    </row>
    <row r="261" spans="1:3">
      <c r="A261" s="76">
        <v>251</v>
      </c>
      <c r="B261" s="77" t="s">
        <v>245</v>
      </c>
      <c r="C261" s="105"/>
    </row>
    <row r="262" spans="1:3">
      <c r="A262" s="76">
        <v>252</v>
      </c>
      <c r="B262" s="77" t="s">
        <v>246</v>
      </c>
      <c r="C262" s="105"/>
    </row>
    <row r="263" spans="1:3">
      <c r="A263" s="76">
        <v>253</v>
      </c>
      <c r="B263" s="77" t="s">
        <v>247</v>
      </c>
      <c r="C263" s="105"/>
    </row>
    <row r="264" spans="1:3">
      <c r="A264" s="76">
        <v>254</v>
      </c>
      <c r="B264" s="77" t="s">
        <v>243</v>
      </c>
      <c r="C264" s="105"/>
    </row>
    <row r="265" spans="1:3">
      <c r="A265" s="76">
        <v>255</v>
      </c>
      <c r="B265" s="77"/>
      <c r="C265" s="85"/>
    </row>
    <row r="266" spans="1:3">
      <c r="A266" s="76">
        <v>256</v>
      </c>
      <c r="B266" s="77"/>
      <c r="C266" s="105"/>
    </row>
    <row r="267" spans="1:3">
      <c r="A267" s="76">
        <v>257</v>
      </c>
      <c r="B267" s="77"/>
      <c r="C267" s="105"/>
    </row>
    <row r="268" spans="1:3">
      <c r="A268" s="76">
        <v>258</v>
      </c>
      <c r="B268" s="77" t="s">
        <v>248</v>
      </c>
      <c r="C268" s="105"/>
    </row>
    <row r="269" spans="1:3">
      <c r="A269" s="76">
        <v>259</v>
      </c>
      <c r="B269" s="77"/>
      <c r="C269" s="105"/>
    </row>
    <row r="270" spans="1:3">
      <c r="A270" s="76">
        <v>260</v>
      </c>
      <c r="B270" s="77"/>
      <c r="C270" s="105"/>
    </row>
    <row r="271" spans="1:3">
      <c r="A271" s="76">
        <v>261</v>
      </c>
      <c r="B271" s="77" t="s">
        <v>249</v>
      </c>
      <c r="C271" s="105"/>
    </row>
    <row r="272" spans="1:3">
      <c r="A272" s="76">
        <v>262</v>
      </c>
      <c r="B272" s="77" t="s">
        <v>250</v>
      </c>
      <c r="C272" s="105"/>
    </row>
    <row r="273" spans="1:3">
      <c r="A273" s="76">
        <v>263</v>
      </c>
      <c r="B273" s="77" t="s">
        <v>250</v>
      </c>
      <c r="C273" s="105"/>
    </row>
    <row r="274" spans="1:3">
      <c r="A274" s="76">
        <v>264</v>
      </c>
      <c r="B274" s="77"/>
      <c r="C274" s="105"/>
    </row>
    <row r="275" spans="1:3">
      <c r="A275" s="76">
        <v>265</v>
      </c>
      <c r="B275" s="77" t="s">
        <v>251</v>
      </c>
      <c r="C275" s="105"/>
    </row>
    <row r="276" spans="1:3">
      <c r="A276" s="76">
        <v>266</v>
      </c>
      <c r="B276" s="77" t="s">
        <v>251</v>
      </c>
      <c r="C276" s="105"/>
    </row>
    <row r="277" spans="1:3">
      <c r="A277" s="76">
        <v>267</v>
      </c>
      <c r="B277" s="77"/>
      <c r="C277" s="105"/>
    </row>
    <row r="278" spans="1:3">
      <c r="A278" s="76">
        <v>268</v>
      </c>
      <c r="B278" s="77" t="s">
        <v>252</v>
      </c>
      <c r="C278" s="105"/>
    </row>
    <row r="279" spans="1:3">
      <c r="A279" s="76">
        <v>269</v>
      </c>
      <c r="B279" s="77" t="s">
        <v>253</v>
      </c>
      <c r="C279" s="105"/>
    </row>
    <row r="280" spans="1:3">
      <c r="A280" s="76">
        <v>270</v>
      </c>
      <c r="B280" s="77" t="s">
        <v>254</v>
      </c>
      <c r="C280" s="105"/>
    </row>
    <row r="281" spans="1:3">
      <c r="A281" s="101" t="s">
        <v>255</v>
      </c>
      <c r="B281" s="74" t="s">
        <v>256</v>
      </c>
      <c r="C281" s="85"/>
    </row>
    <row r="282" spans="1:3">
      <c r="A282" s="76">
        <v>271</v>
      </c>
      <c r="B282" s="82" t="s">
        <v>257</v>
      </c>
      <c r="C282" s="105"/>
    </row>
    <row r="283" spans="1:3">
      <c r="A283" s="76">
        <v>272</v>
      </c>
      <c r="B283" s="82" t="s">
        <v>258</v>
      </c>
      <c r="C283" s="105"/>
    </row>
    <row r="284" spans="1:3">
      <c r="A284" s="76">
        <v>273</v>
      </c>
      <c r="B284" s="82" t="s">
        <v>259</v>
      </c>
      <c r="C284" s="105"/>
    </row>
    <row r="285" spans="1:3">
      <c r="A285" s="76">
        <v>274</v>
      </c>
      <c r="B285" s="82" t="s">
        <v>256</v>
      </c>
      <c r="C285" s="105"/>
    </row>
    <row r="286" spans="1:3">
      <c r="A286" s="76">
        <v>275</v>
      </c>
      <c r="B286" s="77" t="s">
        <v>256</v>
      </c>
      <c r="C286" s="105"/>
    </row>
    <row r="287" spans="1:3">
      <c r="A287" s="76">
        <v>276</v>
      </c>
      <c r="B287" s="106"/>
      <c r="C287" s="105"/>
    </row>
    <row r="288" spans="1:3">
      <c r="A288" s="101" t="s">
        <v>260</v>
      </c>
      <c r="B288" s="74"/>
      <c r="C288" s="105"/>
    </row>
    <row r="289" spans="1:3">
      <c r="A289" s="76">
        <v>277</v>
      </c>
      <c r="B289" s="82"/>
      <c r="C289" s="105"/>
    </row>
    <row r="290" spans="1:3">
      <c r="A290" s="76">
        <v>278</v>
      </c>
      <c r="B290" s="82"/>
      <c r="C290" s="105"/>
    </row>
    <row r="291" spans="1:3">
      <c r="A291" s="76">
        <v>279</v>
      </c>
      <c r="B291" s="82"/>
      <c r="C291" s="105"/>
    </row>
    <row r="292" spans="1:3">
      <c r="A292" s="76">
        <v>280</v>
      </c>
      <c r="B292" s="82"/>
      <c r="C292" s="105"/>
    </row>
    <row r="293" spans="1:3">
      <c r="A293" s="76">
        <v>281</v>
      </c>
      <c r="B293" s="77"/>
      <c r="C293" s="105"/>
    </row>
    <row r="294" spans="1:3">
      <c r="A294" s="73" t="s">
        <v>261</v>
      </c>
      <c r="B294" s="74"/>
      <c r="C294" s="107"/>
    </row>
    <row r="295" spans="1:3">
      <c r="A295" s="76">
        <v>282</v>
      </c>
      <c r="B295" s="82"/>
      <c r="C295" s="108"/>
    </row>
    <row r="296" spans="1:3">
      <c r="A296" s="76">
        <v>283</v>
      </c>
      <c r="B296" s="82"/>
      <c r="C296" s="108"/>
    </row>
    <row r="297" spans="1:3">
      <c r="A297" s="76">
        <v>284</v>
      </c>
      <c r="B297" s="82"/>
      <c r="C297" s="108"/>
    </row>
    <row r="298" spans="1:3">
      <c r="A298" s="76">
        <v>285</v>
      </c>
      <c r="B298" s="82"/>
      <c r="C298" s="108"/>
    </row>
    <row r="299" spans="1:3">
      <c r="A299" s="76">
        <v>286</v>
      </c>
      <c r="B299" s="77"/>
      <c r="C299" s="108"/>
    </row>
    <row r="300" spans="1:3">
      <c r="A300" s="76">
        <v>287</v>
      </c>
      <c r="B300" s="77"/>
      <c r="C300" s="108"/>
    </row>
    <row r="301" spans="1:3">
      <c r="A301" s="76">
        <v>288</v>
      </c>
      <c r="B301" s="77"/>
      <c r="C301" s="75"/>
    </row>
    <row r="302" spans="1:3">
      <c r="A302" s="76">
        <v>289</v>
      </c>
      <c r="B302" s="77"/>
      <c r="C302" s="109"/>
    </row>
    <row r="303" spans="1:3">
      <c r="A303" s="76">
        <v>290</v>
      </c>
      <c r="B303" s="77"/>
      <c r="C303" s="75"/>
    </row>
    <row r="304" spans="1:3">
      <c r="A304" s="76">
        <v>291</v>
      </c>
      <c r="B304" s="110"/>
    </row>
    <row r="305" spans="1:2">
      <c r="A305" s="76">
        <v>292</v>
      </c>
      <c r="B305" s="110"/>
    </row>
    <row r="306" spans="1:2">
      <c r="A306" s="76">
        <v>293</v>
      </c>
      <c r="B306" s="110"/>
    </row>
    <row r="307" spans="1:2">
      <c r="A307" s="76">
        <v>294</v>
      </c>
      <c r="B307" s="110"/>
    </row>
    <row r="308" spans="1:2">
      <c r="A308" s="76">
        <v>295</v>
      </c>
      <c r="B308" s="110"/>
    </row>
    <row r="309" spans="1:2">
      <c r="A309" s="76">
        <v>296</v>
      </c>
      <c r="B309" s="96"/>
    </row>
    <row r="310" spans="1:2">
      <c r="A310" s="76">
        <v>297</v>
      </c>
      <c r="B310" s="77"/>
    </row>
    <row r="311" spans="1:2">
      <c r="A311" s="76">
        <v>298</v>
      </c>
      <c r="B311" s="77"/>
    </row>
    <row r="312" spans="1:2">
      <c r="A312" s="76">
        <v>299</v>
      </c>
      <c r="B312" s="77"/>
    </row>
    <row r="313" spans="1:2">
      <c r="A313" s="76">
        <v>300</v>
      </c>
      <c r="B313" s="77"/>
    </row>
    <row r="314" spans="1:2">
      <c r="A314" s="76">
        <v>301</v>
      </c>
      <c r="B314" s="77"/>
    </row>
    <row r="315" spans="1:2">
      <c r="A315" s="76">
        <v>302</v>
      </c>
      <c r="B315" s="77"/>
    </row>
    <row r="316" spans="1:2">
      <c r="A316" s="76">
        <v>303</v>
      </c>
      <c r="B316" s="77"/>
    </row>
    <row r="317" spans="1:2">
      <c r="A317" s="76">
        <v>304</v>
      </c>
      <c r="B317" s="77"/>
    </row>
    <row r="318" spans="1:2">
      <c r="A318" s="76">
        <v>305</v>
      </c>
      <c r="B318" s="77"/>
    </row>
    <row r="319" spans="1:2">
      <c r="A319" s="76">
        <v>306</v>
      </c>
      <c r="B319" s="77"/>
    </row>
    <row r="320" spans="1:2">
      <c r="A320" s="76">
        <v>307</v>
      </c>
      <c r="B320" s="77"/>
    </row>
    <row r="321" spans="1:2">
      <c r="A321" s="76">
        <v>308</v>
      </c>
      <c r="B321" s="77"/>
    </row>
    <row r="322" spans="1:2">
      <c r="A322" s="76">
        <v>309</v>
      </c>
      <c r="B322" s="77"/>
    </row>
    <row r="323" spans="1:2">
      <c r="A323" s="76">
        <v>310</v>
      </c>
      <c r="B323" s="77" t="s">
        <v>262</v>
      </c>
    </row>
    <row r="324" spans="1:2">
      <c r="A324" s="76">
        <v>311</v>
      </c>
      <c r="B324" s="77"/>
    </row>
    <row r="325" spans="1:2">
      <c r="A325" s="76">
        <v>312</v>
      </c>
      <c r="B325" s="77"/>
    </row>
    <row r="326" spans="1:2">
      <c r="A326" s="76">
        <v>313</v>
      </c>
      <c r="B326" s="77"/>
    </row>
    <row r="327" spans="1:2">
      <c r="A327" s="76">
        <v>314</v>
      </c>
      <c r="B327" s="77"/>
    </row>
    <row r="328" spans="1:2">
      <c r="A328" s="76">
        <v>315</v>
      </c>
      <c r="B328" s="77"/>
    </row>
    <row r="329" spans="1:2">
      <c r="A329" s="76">
        <v>316</v>
      </c>
      <c r="B329" s="77"/>
    </row>
    <row r="330" spans="1:2">
      <c r="A330" s="76">
        <v>317</v>
      </c>
      <c r="B330" s="77"/>
    </row>
    <row r="331" spans="1:2">
      <c r="A331" s="76">
        <v>318</v>
      </c>
      <c r="B331" s="77" t="s">
        <v>263</v>
      </c>
    </row>
    <row r="332" spans="1:2">
      <c r="A332" s="76">
        <v>319</v>
      </c>
      <c r="B332" s="77"/>
    </row>
    <row r="333" spans="1:2">
      <c r="A333" s="76">
        <v>320</v>
      </c>
      <c r="B333" s="77"/>
    </row>
    <row r="334" spans="1:2">
      <c r="A334" s="76">
        <v>321</v>
      </c>
      <c r="B334" s="77"/>
    </row>
    <row r="335" spans="1:2">
      <c r="A335" s="76">
        <v>322</v>
      </c>
      <c r="B335" s="77"/>
    </row>
    <row r="336" spans="1:2">
      <c r="A336" s="76">
        <v>323</v>
      </c>
      <c r="B336" s="77"/>
    </row>
    <row r="337" spans="1:2">
      <c r="A337" s="76">
        <v>324</v>
      </c>
      <c r="B337" s="77"/>
    </row>
    <row r="338" spans="1:2">
      <c r="A338" s="76">
        <v>325</v>
      </c>
      <c r="B338" s="77"/>
    </row>
    <row r="339" spans="1:2">
      <c r="A339" s="76">
        <v>326</v>
      </c>
      <c r="B339" s="77"/>
    </row>
    <row r="340" spans="1:2">
      <c r="A340" s="76">
        <v>327</v>
      </c>
      <c r="B340" s="77"/>
    </row>
    <row r="341" spans="1:2">
      <c r="A341" s="76">
        <v>328</v>
      </c>
      <c r="B341" s="77"/>
    </row>
    <row r="342" spans="1:2">
      <c r="A342" s="76">
        <v>329</v>
      </c>
      <c r="B342" s="77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0CE81-710D-CE40-807A-1705E369B8D2}">
  <dimension ref="B8:J359"/>
  <sheetViews>
    <sheetView zoomScale="56" workbookViewId="0">
      <selection activeCell="C21" sqref="C21"/>
    </sheetView>
  </sheetViews>
  <sheetFormatPr baseColWidth="10" defaultRowHeight="16"/>
  <cols>
    <col min="3" max="3" width="24.6640625" bestFit="1" customWidth="1"/>
    <col min="5" max="5" width="8.1640625" customWidth="1"/>
    <col min="6" max="6" width="31.33203125" customWidth="1"/>
    <col min="8" max="8" width="26.5" customWidth="1"/>
    <col min="9" max="9" width="21.83203125" customWidth="1"/>
    <col min="10" max="10" width="11.5" bestFit="1" customWidth="1"/>
  </cols>
  <sheetData>
    <row r="8" spans="2:9">
      <c r="B8" s="262"/>
      <c r="C8" s="297"/>
      <c r="D8" s="297"/>
      <c r="E8" s="262"/>
      <c r="F8" s="263"/>
      <c r="G8" s="262"/>
      <c r="H8" s="262"/>
      <c r="I8" s="264"/>
    </row>
    <row r="11" spans="2:9">
      <c r="B11" s="265"/>
      <c r="C11" s="15"/>
      <c r="D11" s="15"/>
      <c r="E11" s="265"/>
      <c r="F11" s="266"/>
    </row>
    <row r="18" spans="2:9">
      <c r="B18" s="267"/>
      <c r="C18" s="299"/>
      <c r="D18" s="299"/>
      <c r="E18" s="268"/>
      <c r="F18" s="268"/>
      <c r="G18" s="268"/>
      <c r="H18" s="268"/>
      <c r="I18" s="268"/>
    </row>
    <row r="19" spans="2:9">
      <c r="B19" s="262"/>
      <c r="C19" s="297"/>
      <c r="D19" s="297"/>
      <c r="E19" s="262"/>
      <c r="F19" s="262"/>
      <c r="G19" s="262"/>
      <c r="H19" s="262"/>
      <c r="I19" s="264"/>
    </row>
    <row r="20" spans="2:9">
      <c r="B20" s="262"/>
      <c r="C20" s="297"/>
      <c r="D20" s="297"/>
      <c r="E20" s="262"/>
      <c r="F20" s="263"/>
      <c r="G20" s="262"/>
      <c r="H20" s="262"/>
      <c r="I20" s="264"/>
    </row>
    <row r="21" spans="2:9">
      <c r="B21" s="262"/>
      <c r="C21" s="297"/>
      <c r="D21" s="297"/>
      <c r="E21" s="262"/>
      <c r="F21" s="262"/>
      <c r="G21" s="262"/>
      <c r="H21" s="262"/>
      <c r="I21" s="264"/>
    </row>
    <row r="22" spans="2:9">
      <c r="B22" s="262"/>
      <c r="C22" s="298"/>
      <c r="D22" s="298"/>
      <c r="E22" s="262"/>
      <c r="F22" s="262"/>
      <c r="G22" s="262"/>
      <c r="H22" s="262"/>
      <c r="I22" s="264"/>
    </row>
    <row r="23" spans="2:9">
      <c r="B23" s="262"/>
      <c r="C23" s="298"/>
      <c r="D23" s="298"/>
      <c r="E23" s="262"/>
      <c r="F23" s="262"/>
      <c r="G23" s="262"/>
      <c r="H23" s="262"/>
      <c r="I23" s="264"/>
    </row>
    <row r="24" spans="2:9">
      <c r="B24" s="262"/>
      <c r="C24" s="298"/>
      <c r="D24" s="298"/>
      <c r="E24" s="262"/>
      <c r="F24" s="262"/>
      <c r="G24" s="262"/>
      <c r="H24" s="262"/>
      <c r="I24" s="264"/>
    </row>
    <row r="25" spans="2:9">
      <c r="B25" s="262"/>
      <c r="C25" s="298"/>
      <c r="D25" s="298"/>
      <c r="E25" s="262"/>
      <c r="F25" s="262"/>
      <c r="G25" s="262"/>
      <c r="H25" s="262"/>
      <c r="I25" s="264"/>
    </row>
    <row r="26" spans="2:9">
      <c r="B26" s="262"/>
      <c r="C26" s="298"/>
      <c r="D26" s="298"/>
      <c r="E26" s="262"/>
      <c r="F26" s="262"/>
      <c r="G26" s="262"/>
      <c r="H26" s="262"/>
      <c r="I26" s="264"/>
    </row>
    <row r="27" spans="2:9">
      <c r="B27" s="262"/>
      <c r="C27" s="298"/>
      <c r="D27" s="298"/>
      <c r="E27" s="262"/>
      <c r="F27" s="262"/>
      <c r="G27" s="262"/>
      <c r="H27" s="262"/>
      <c r="I27" s="264"/>
    </row>
    <row r="28" spans="2:9">
      <c r="B28" s="262"/>
      <c r="C28" s="298"/>
      <c r="D28" s="298"/>
      <c r="E28" s="262"/>
      <c r="F28" s="262"/>
      <c r="G28" s="262"/>
      <c r="H28" s="262"/>
      <c r="I28" s="264"/>
    </row>
    <row r="29" spans="2:9">
      <c r="B29" s="262"/>
      <c r="C29" s="298"/>
      <c r="D29" s="298"/>
      <c r="E29" s="262"/>
      <c r="F29" s="262"/>
      <c r="G29" s="262"/>
      <c r="H29" s="262"/>
      <c r="I29" s="264"/>
    </row>
    <row r="30" spans="2:9">
      <c r="B30" s="269"/>
      <c r="C30" s="270"/>
      <c r="D30" s="269"/>
      <c r="E30" s="271"/>
      <c r="F30" s="270"/>
      <c r="G30" s="272"/>
      <c r="H30" s="262"/>
      <c r="I30" s="264"/>
    </row>
    <row r="31" spans="2:9">
      <c r="B31" s="269"/>
      <c r="C31" s="269"/>
      <c r="D31" s="269"/>
      <c r="E31" s="271"/>
      <c r="F31" s="269"/>
      <c r="G31" s="272"/>
      <c r="H31" s="262"/>
      <c r="I31" s="264"/>
    </row>
    <row r="32" spans="2:9">
      <c r="B32" s="269"/>
      <c r="C32" s="270"/>
      <c r="D32" s="269"/>
      <c r="E32" s="271"/>
      <c r="F32" s="270"/>
      <c r="G32" s="272"/>
      <c r="H32" s="262"/>
      <c r="I32" s="264"/>
    </row>
    <row r="33" spans="2:10">
      <c r="B33" s="269"/>
      <c r="C33" s="269"/>
      <c r="D33" s="269"/>
      <c r="E33" s="271"/>
      <c r="F33" s="269"/>
      <c r="G33" s="272"/>
      <c r="H33" s="262"/>
      <c r="I33" s="264"/>
    </row>
    <row r="34" spans="2:10">
      <c r="B34" s="269"/>
      <c r="C34" s="269"/>
      <c r="D34" s="269"/>
      <c r="E34" s="271"/>
      <c r="F34" s="269"/>
      <c r="G34" s="272"/>
      <c r="H34" s="262"/>
      <c r="I34" s="264"/>
    </row>
    <row r="35" spans="2:10">
      <c r="B35" s="269"/>
      <c r="C35" s="269"/>
      <c r="D35" s="269"/>
      <c r="E35" s="271"/>
      <c r="F35" s="269"/>
      <c r="G35" s="272"/>
      <c r="H35" s="273"/>
      <c r="I35" s="264"/>
    </row>
    <row r="36" spans="2:10">
      <c r="B36" s="269"/>
      <c r="C36" s="269"/>
      <c r="D36" s="269"/>
      <c r="E36" s="271"/>
      <c r="F36" s="269"/>
      <c r="G36" s="272"/>
      <c r="H36" s="273"/>
      <c r="I36" s="264"/>
    </row>
    <row r="37" spans="2:10">
      <c r="B37" s="269"/>
      <c r="C37" s="269"/>
      <c r="D37" s="269"/>
      <c r="E37" s="271"/>
      <c r="F37" s="269"/>
      <c r="G37" s="272"/>
    </row>
    <row r="38" spans="2:10">
      <c r="B38" s="269"/>
      <c r="C38" s="269"/>
      <c r="D38" s="269"/>
      <c r="E38" s="271"/>
      <c r="F38" s="269"/>
      <c r="G38" s="272"/>
    </row>
    <row r="39" spans="2:10">
      <c r="B39" s="269"/>
      <c r="C39" s="269"/>
      <c r="D39" s="269"/>
      <c r="E39" s="271"/>
      <c r="F39" s="269"/>
      <c r="G39" s="272"/>
    </row>
    <row r="40" spans="2:10">
      <c r="B40" s="269"/>
      <c r="C40" s="269"/>
      <c r="D40" s="269"/>
      <c r="E40" s="271"/>
      <c r="F40" s="269"/>
      <c r="G40" s="272"/>
      <c r="H40" s="265"/>
      <c r="I40" s="265"/>
      <c r="J40" s="14"/>
    </row>
    <row r="41" spans="2:10">
      <c r="B41" s="269"/>
      <c r="C41" s="269"/>
      <c r="D41" s="269"/>
      <c r="E41" s="271"/>
      <c r="F41" s="269"/>
      <c r="G41" s="272"/>
      <c r="H41" s="265"/>
      <c r="I41" s="265"/>
      <c r="J41" s="14"/>
    </row>
    <row r="42" spans="2:10">
      <c r="B42" s="269"/>
      <c r="C42" s="269"/>
      <c r="D42" s="269"/>
      <c r="E42" s="271"/>
      <c r="F42" s="269"/>
      <c r="G42" s="272"/>
      <c r="H42" s="265"/>
      <c r="I42" s="265"/>
      <c r="J42" s="14"/>
    </row>
    <row r="43" spans="2:10">
      <c r="B43" s="269"/>
      <c r="C43" s="269"/>
      <c r="D43" s="269"/>
      <c r="E43" s="271"/>
      <c r="F43" s="269"/>
      <c r="G43" s="272"/>
      <c r="H43" s="265"/>
      <c r="I43" s="265"/>
      <c r="J43" s="14"/>
    </row>
    <row r="44" spans="2:10">
      <c r="B44" s="269"/>
      <c r="C44" s="269"/>
      <c r="D44" s="269"/>
      <c r="E44" s="271"/>
      <c r="F44" s="269"/>
      <c r="G44" s="272"/>
      <c r="H44" s="265"/>
      <c r="I44" s="265"/>
      <c r="J44" s="14"/>
    </row>
    <row r="45" spans="2:10">
      <c r="B45" s="269"/>
      <c r="C45" s="269"/>
      <c r="D45" s="269"/>
      <c r="E45" s="271"/>
      <c r="F45" s="269"/>
      <c r="G45" s="272"/>
      <c r="H45" s="265"/>
      <c r="I45" s="265"/>
      <c r="J45" s="14"/>
    </row>
    <row r="46" spans="2:10">
      <c r="B46" s="269"/>
      <c r="C46" s="270"/>
      <c r="D46" s="269"/>
      <c r="E46" s="271"/>
      <c r="F46" s="270"/>
      <c r="G46" s="272"/>
      <c r="H46" s="265"/>
      <c r="I46" s="265"/>
      <c r="J46" s="14"/>
    </row>
    <row r="47" spans="2:10">
      <c r="B47" s="269"/>
      <c r="C47" s="270"/>
      <c r="D47" s="269"/>
      <c r="E47" s="271"/>
      <c r="F47" s="270"/>
      <c r="G47" s="272"/>
      <c r="H47" s="265"/>
      <c r="I47" s="265"/>
      <c r="J47" s="14"/>
    </row>
    <row r="48" spans="2:10">
      <c r="B48" s="269"/>
      <c r="C48" s="270"/>
      <c r="D48" s="269"/>
      <c r="E48" s="271"/>
      <c r="F48" s="270"/>
      <c r="G48" s="272"/>
      <c r="H48" s="265"/>
      <c r="I48" s="265"/>
      <c r="J48" s="14"/>
    </row>
    <row r="49" spans="2:10">
      <c r="B49" s="269"/>
      <c r="C49" s="270"/>
      <c r="D49" s="269"/>
      <c r="E49" s="271"/>
      <c r="F49" s="270"/>
      <c r="G49" s="272"/>
      <c r="H49" s="265"/>
      <c r="I49" s="265"/>
      <c r="J49" s="14"/>
    </row>
    <row r="50" spans="2:10">
      <c r="B50" s="269"/>
      <c r="C50" s="270"/>
      <c r="D50" s="269"/>
      <c r="E50" s="271"/>
      <c r="F50" s="270"/>
      <c r="G50" s="272"/>
      <c r="H50" s="265"/>
      <c r="I50" s="265"/>
      <c r="J50" s="14"/>
    </row>
    <row r="51" spans="2:10">
      <c r="B51" s="269"/>
      <c r="C51" s="270"/>
      <c r="D51" s="269"/>
      <c r="E51" s="271"/>
      <c r="F51" s="270"/>
      <c r="G51" s="272"/>
      <c r="H51" s="265"/>
      <c r="I51" s="265"/>
      <c r="J51" s="14"/>
    </row>
    <row r="52" spans="2:10">
      <c r="B52" s="269"/>
      <c r="C52" s="270"/>
      <c r="D52" s="269"/>
      <c r="E52" s="271"/>
      <c r="F52" s="270"/>
      <c r="G52" s="272"/>
      <c r="H52" s="265"/>
      <c r="I52" s="265"/>
      <c r="J52" s="14"/>
    </row>
    <row r="53" spans="2:10">
      <c r="B53" s="269"/>
      <c r="C53" s="270"/>
      <c r="D53" s="269"/>
      <c r="E53" s="271"/>
      <c r="F53" s="270"/>
      <c r="G53" s="272"/>
      <c r="H53" s="265"/>
      <c r="I53" s="265"/>
      <c r="J53" s="14"/>
    </row>
    <row r="54" spans="2:10">
      <c r="B54" s="269"/>
      <c r="C54" s="270"/>
      <c r="D54" s="269"/>
      <c r="E54" s="271"/>
      <c r="F54" s="270"/>
      <c r="G54" s="272"/>
      <c r="H54" s="265"/>
      <c r="I54" s="265"/>
      <c r="J54" s="14"/>
    </row>
    <row r="55" spans="2:10">
      <c r="B55" s="269"/>
      <c r="C55" s="270"/>
      <c r="D55" s="269"/>
      <c r="E55" s="271"/>
      <c r="F55" s="270"/>
      <c r="G55" s="272"/>
      <c r="H55" s="7"/>
      <c r="I55" s="14"/>
      <c r="J55" s="13"/>
    </row>
    <row r="56" spans="2:10">
      <c r="B56" s="269"/>
      <c r="C56" s="270"/>
      <c r="D56" s="269"/>
      <c r="E56" s="271"/>
      <c r="F56" s="270"/>
      <c r="G56" s="272"/>
      <c r="H56" s="7"/>
      <c r="I56" s="13"/>
      <c r="J56" s="14"/>
    </row>
    <row r="57" spans="2:10">
      <c r="B57" s="269"/>
      <c r="C57" s="270"/>
      <c r="D57" s="269"/>
      <c r="E57" s="271"/>
      <c r="F57" s="270"/>
      <c r="G57" s="272"/>
    </row>
    <row r="58" spans="2:10">
      <c r="B58" s="269"/>
      <c r="C58" s="270"/>
      <c r="D58" s="269"/>
      <c r="E58" s="271"/>
      <c r="F58" s="270"/>
      <c r="G58" s="272"/>
    </row>
    <row r="59" spans="2:10">
      <c r="B59" s="269"/>
      <c r="C59" s="269"/>
      <c r="D59" s="269"/>
      <c r="E59" s="271"/>
      <c r="F59" s="269"/>
      <c r="G59" s="272"/>
      <c r="H59" s="274"/>
      <c r="I59" s="274"/>
      <c r="J59" s="274"/>
    </row>
    <row r="60" spans="2:10">
      <c r="B60" s="269"/>
      <c r="C60" s="269"/>
      <c r="D60" s="269"/>
      <c r="E60" s="271"/>
      <c r="F60" s="269"/>
      <c r="G60" s="272"/>
      <c r="H60" s="265"/>
      <c r="I60" s="265"/>
      <c r="J60" s="14"/>
    </row>
    <row r="61" spans="2:10">
      <c r="B61" s="269"/>
      <c r="C61" s="269"/>
      <c r="D61" s="269"/>
      <c r="E61" s="271"/>
      <c r="F61" s="269"/>
      <c r="G61" s="272"/>
      <c r="H61" s="265"/>
      <c r="I61" s="265"/>
      <c r="J61" s="14"/>
    </row>
    <row r="62" spans="2:10">
      <c r="B62" s="269"/>
      <c r="C62" s="269"/>
      <c r="D62" s="269"/>
      <c r="E62" s="271"/>
      <c r="F62" s="269"/>
      <c r="G62" s="272"/>
      <c r="H62" s="265"/>
      <c r="I62" s="265"/>
      <c r="J62" s="14"/>
    </row>
    <row r="63" spans="2:10">
      <c r="B63" s="269"/>
      <c r="C63" s="269"/>
      <c r="D63" s="269"/>
      <c r="E63" s="271"/>
      <c r="F63" s="271"/>
      <c r="G63" s="269"/>
      <c r="H63" s="265"/>
      <c r="I63" s="265"/>
      <c r="J63" s="14"/>
    </row>
    <row r="64" spans="2:10">
      <c r="B64" s="269"/>
      <c r="C64" s="275"/>
      <c r="D64" s="269"/>
      <c r="E64" s="271"/>
      <c r="F64" s="269"/>
      <c r="G64" s="272"/>
      <c r="H64" s="265"/>
      <c r="I64" s="265"/>
      <c r="J64" s="14"/>
    </row>
    <row r="65" spans="2:10">
      <c r="B65" s="265"/>
      <c r="C65" s="296"/>
      <c r="D65" s="296"/>
      <c r="E65" s="265"/>
      <c r="F65" s="265"/>
      <c r="G65" s="265"/>
      <c r="H65" s="265"/>
      <c r="I65" s="265"/>
      <c r="J65" s="14"/>
    </row>
    <row r="66" spans="2:10">
      <c r="B66" s="265"/>
      <c r="C66" s="296"/>
      <c r="D66" s="296"/>
      <c r="E66" s="265"/>
      <c r="F66" s="265"/>
      <c r="G66" s="265"/>
      <c r="H66" s="265"/>
      <c r="I66" s="265"/>
      <c r="J66" s="14"/>
    </row>
    <row r="67" spans="2:10">
      <c r="B67" s="265"/>
      <c r="C67" s="296"/>
      <c r="D67" s="296"/>
      <c r="E67" s="265"/>
      <c r="F67" s="265"/>
      <c r="G67" s="265"/>
      <c r="H67" s="265"/>
      <c r="I67" s="265"/>
      <c r="J67" s="14"/>
    </row>
    <row r="68" spans="2:10">
      <c r="B68" s="265"/>
      <c r="C68" s="296"/>
      <c r="D68" s="296"/>
      <c r="E68" s="265"/>
      <c r="F68" s="265"/>
      <c r="G68" s="276"/>
      <c r="H68" s="265"/>
      <c r="I68" s="265"/>
      <c r="J68" s="14"/>
    </row>
    <row r="69" spans="2:10">
      <c r="B69" s="277"/>
      <c r="C69" s="296"/>
      <c r="D69" s="296"/>
      <c r="E69" s="265"/>
      <c r="F69" s="265"/>
      <c r="G69" s="265"/>
      <c r="H69" s="265"/>
      <c r="I69" s="265"/>
      <c r="J69" s="14"/>
    </row>
    <row r="70" spans="2:10">
      <c r="B70" s="265"/>
      <c r="C70" s="15"/>
      <c r="D70" s="15"/>
      <c r="E70" s="265"/>
      <c r="F70" s="266"/>
      <c r="G70" s="265"/>
      <c r="H70" s="265"/>
      <c r="I70" s="14"/>
      <c r="J70" s="14"/>
    </row>
    <row r="71" spans="2:10">
      <c r="B71" s="265"/>
      <c r="C71" s="296"/>
      <c r="D71" s="296"/>
      <c r="E71" s="265"/>
      <c r="F71" s="265"/>
      <c r="G71" s="265"/>
      <c r="H71" s="265"/>
      <c r="I71" s="265"/>
      <c r="J71" s="14"/>
    </row>
    <row r="72" spans="2:10">
      <c r="B72" s="265"/>
      <c r="C72" s="296"/>
      <c r="D72" s="296"/>
      <c r="E72" s="265"/>
      <c r="F72" s="265"/>
      <c r="G72" s="265"/>
      <c r="H72" s="265"/>
      <c r="I72" s="265"/>
      <c r="J72" s="14"/>
    </row>
    <row r="73" spans="2:10">
      <c r="B73" s="265"/>
      <c r="C73" s="296"/>
      <c r="D73" s="296"/>
      <c r="E73" s="265"/>
      <c r="F73" s="265"/>
      <c r="G73" s="265"/>
      <c r="H73" s="265"/>
      <c r="I73" s="265"/>
      <c r="J73" s="14"/>
    </row>
    <row r="74" spans="2:10">
      <c r="B74" s="265"/>
      <c r="C74" s="296"/>
      <c r="D74" s="296"/>
      <c r="E74" s="265"/>
      <c r="F74" s="265"/>
      <c r="G74" s="265"/>
      <c r="H74" s="265"/>
      <c r="I74" s="265"/>
      <c r="J74" s="14"/>
    </row>
    <row r="75" spans="2:10">
      <c r="B75" s="265"/>
      <c r="C75" s="296"/>
      <c r="D75" s="296"/>
      <c r="E75" s="265"/>
      <c r="F75" s="265"/>
      <c r="G75" s="265"/>
      <c r="H75" s="265"/>
      <c r="I75" s="265"/>
      <c r="J75" s="14"/>
    </row>
    <row r="76" spans="2:10">
      <c r="B76" s="15"/>
      <c r="C76" s="15"/>
      <c r="D76" s="15"/>
      <c r="E76" s="15"/>
      <c r="F76" s="15"/>
      <c r="G76" s="7"/>
      <c r="H76" s="7"/>
      <c r="I76" s="14"/>
      <c r="J76" s="13"/>
    </row>
    <row r="77" spans="2:10">
      <c r="B77" s="15"/>
      <c r="C77" s="15"/>
      <c r="D77" s="15"/>
      <c r="E77" s="15"/>
      <c r="F77" s="15"/>
      <c r="G77" s="7"/>
      <c r="H77" s="7"/>
      <c r="I77" s="14"/>
      <c r="J77" s="14"/>
    </row>
    <row r="80" spans="2:10">
      <c r="B80" s="111"/>
    </row>
    <row r="81" spans="2:9">
      <c r="B81" s="265"/>
      <c r="C81" s="15"/>
      <c r="D81" s="15"/>
      <c r="E81" s="265"/>
      <c r="F81" s="265"/>
      <c r="G81" s="265"/>
      <c r="H81" s="265"/>
      <c r="I81" s="14"/>
    </row>
    <row r="88" spans="2:9">
      <c r="B88" s="111"/>
    </row>
    <row r="89" spans="2:9">
      <c r="B89" s="265"/>
      <c r="C89" s="15"/>
      <c r="D89" s="15"/>
      <c r="E89" s="265"/>
      <c r="F89" s="265"/>
      <c r="G89" s="265"/>
      <c r="H89" s="265"/>
      <c r="I89" s="14"/>
    </row>
    <row r="90" spans="2:9">
      <c r="B90" s="265"/>
      <c r="C90" s="15"/>
      <c r="D90" s="15"/>
      <c r="E90" s="265"/>
      <c r="F90" s="265"/>
      <c r="G90" s="265"/>
      <c r="H90" s="265"/>
      <c r="I90" s="14"/>
    </row>
    <row r="91" spans="2:9">
      <c r="B91" s="265"/>
      <c r="C91" s="296"/>
      <c r="D91" s="296"/>
      <c r="E91" s="265"/>
      <c r="F91" s="265"/>
      <c r="G91" s="265"/>
      <c r="H91" s="265"/>
      <c r="I91" s="14"/>
    </row>
    <row r="92" spans="2:9">
      <c r="B92" s="265"/>
      <c r="C92" s="15"/>
      <c r="D92" s="15"/>
      <c r="E92" s="265"/>
      <c r="F92" s="265"/>
      <c r="G92" s="265"/>
      <c r="H92" s="265"/>
      <c r="I92" s="14"/>
    </row>
    <row r="93" spans="2:9">
      <c r="B93" s="265"/>
      <c r="C93" s="296"/>
      <c r="D93" s="296"/>
      <c r="E93" s="265"/>
      <c r="F93" s="265"/>
      <c r="G93" s="265"/>
      <c r="H93" s="265"/>
      <c r="I93" s="14"/>
    </row>
    <row r="94" spans="2:9">
      <c r="B94" s="265"/>
      <c r="C94" s="296"/>
      <c r="D94" s="296"/>
      <c r="E94" s="265"/>
      <c r="F94" s="265"/>
      <c r="G94" s="265"/>
      <c r="H94" s="265"/>
      <c r="I94" s="14"/>
    </row>
    <row r="95" spans="2:9">
      <c r="B95" s="265"/>
      <c r="C95" s="296"/>
      <c r="D95" s="296"/>
      <c r="E95" s="265"/>
      <c r="F95" s="265"/>
      <c r="G95" s="265"/>
      <c r="H95" s="265"/>
      <c r="I95" s="14"/>
    </row>
    <row r="96" spans="2:9">
      <c r="B96" s="265"/>
      <c r="C96" s="296"/>
      <c r="D96" s="296"/>
      <c r="E96" s="265"/>
      <c r="F96" s="265"/>
      <c r="G96" s="265"/>
      <c r="H96" s="265"/>
      <c r="I96" s="14"/>
    </row>
    <row r="97" spans="2:9">
      <c r="B97" s="265"/>
      <c r="C97" s="296"/>
      <c r="D97" s="296"/>
      <c r="E97" s="265"/>
      <c r="F97" s="265"/>
      <c r="G97" s="265"/>
      <c r="H97" s="265"/>
      <c r="I97" s="14"/>
    </row>
    <row r="98" spans="2:9">
      <c r="B98" s="265"/>
      <c r="C98" s="296"/>
      <c r="D98" s="296"/>
      <c r="E98" s="265"/>
      <c r="F98" s="265"/>
      <c r="G98" s="265"/>
      <c r="H98" s="265"/>
      <c r="I98" s="14"/>
    </row>
    <row r="99" spans="2:9">
      <c r="B99" s="265"/>
      <c r="C99" s="296"/>
      <c r="D99" s="296"/>
      <c r="E99" s="265"/>
      <c r="F99" s="265"/>
      <c r="G99" s="265"/>
      <c r="H99" s="265"/>
      <c r="I99" s="14"/>
    </row>
    <row r="100" spans="2:9">
      <c r="B100" s="265"/>
      <c r="C100" s="296"/>
      <c r="D100" s="296"/>
      <c r="E100" s="265"/>
      <c r="F100" s="265"/>
      <c r="G100" s="265"/>
      <c r="H100" s="265"/>
      <c r="I100" s="14"/>
    </row>
    <row r="101" spans="2:9">
      <c r="B101" s="265"/>
      <c r="C101" s="296"/>
      <c r="D101" s="296"/>
      <c r="E101" s="265"/>
      <c r="F101" s="265"/>
      <c r="G101" s="265"/>
      <c r="H101" s="265"/>
      <c r="I101" s="14"/>
    </row>
    <row r="102" spans="2:9">
      <c r="B102" s="265"/>
      <c r="C102" s="296"/>
      <c r="D102" s="296"/>
      <c r="E102" s="265"/>
      <c r="F102" s="265"/>
      <c r="G102" s="265"/>
      <c r="H102" s="265"/>
      <c r="I102" s="14"/>
    </row>
    <row r="103" spans="2:9">
      <c r="B103" s="265"/>
      <c r="C103" s="296"/>
      <c r="D103" s="296"/>
      <c r="E103" s="265"/>
      <c r="F103" s="265"/>
      <c r="G103" s="265"/>
      <c r="H103" s="265"/>
      <c r="I103" s="14"/>
    </row>
    <row r="104" spans="2:9">
      <c r="B104" s="15"/>
      <c r="C104" s="15"/>
      <c r="D104" s="15"/>
      <c r="E104" s="15"/>
      <c r="F104" s="15"/>
      <c r="G104" s="7"/>
      <c r="H104" s="7"/>
      <c r="I104" s="14"/>
    </row>
    <row r="105" spans="2:9">
      <c r="B105" s="15"/>
      <c r="C105" s="15"/>
      <c r="D105" s="15"/>
      <c r="E105" s="15"/>
      <c r="F105" s="15"/>
      <c r="G105" s="7"/>
      <c r="H105" s="7"/>
      <c r="I105" s="14"/>
    </row>
    <row r="109" spans="2:9">
      <c r="B109" s="111"/>
    </row>
    <row r="111" spans="2:9">
      <c r="B111" s="265"/>
      <c r="C111" s="15"/>
      <c r="D111" s="15"/>
      <c r="E111" s="265"/>
      <c r="F111" s="266"/>
      <c r="G111" s="265"/>
      <c r="H111" s="265"/>
      <c r="I111" s="14"/>
    </row>
    <row r="112" spans="2:9">
      <c r="B112" s="265"/>
      <c r="C112" s="15"/>
      <c r="D112" s="15"/>
      <c r="E112" s="265"/>
      <c r="F112" s="265"/>
      <c r="G112" s="265"/>
      <c r="H112" s="265"/>
      <c r="I112" s="14"/>
    </row>
    <row r="113" spans="2:9">
      <c r="B113" s="265"/>
      <c r="C113" s="296"/>
      <c r="D113" s="296"/>
      <c r="E113" s="265"/>
      <c r="F113" s="265"/>
      <c r="G113" s="265"/>
      <c r="H113" s="265"/>
      <c r="I113" s="14"/>
    </row>
    <row r="114" spans="2:9">
      <c r="B114" s="265"/>
      <c r="C114" s="296"/>
      <c r="D114" s="296"/>
      <c r="E114" s="265"/>
      <c r="F114" s="265"/>
      <c r="G114" s="265"/>
      <c r="H114" s="265"/>
      <c r="I114" s="14"/>
    </row>
    <row r="115" spans="2:9">
      <c r="B115" s="265"/>
      <c r="C115" s="296"/>
      <c r="D115" s="296"/>
      <c r="E115" s="265"/>
      <c r="F115" s="265"/>
      <c r="G115" s="265"/>
      <c r="H115" s="265"/>
      <c r="I115" s="14"/>
    </row>
    <row r="116" spans="2:9">
      <c r="B116" s="265"/>
      <c r="C116" s="296"/>
      <c r="D116" s="296"/>
      <c r="E116" s="265"/>
      <c r="F116" s="265"/>
      <c r="G116" s="265"/>
      <c r="H116" s="265"/>
      <c r="I116" s="14"/>
    </row>
    <row r="117" spans="2:9">
      <c r="B117" s="265"/>
      <c r="C117" s="296"/>
      <c r="D117" s="296"/>
      <c r="E117" s="265"/>
      <c r="F117" s="265"/>
      <c r="G117" s="265"/>
      <c r="H117" s="265"/>
      <c r="I117" s="14"/>
    </row>
    <row r="118" spans="2:9">
      <c r="B118" s="265"/>
      <c r="C118" s="296"/>
      <c r="D118" s="296"/>
      <c r="E118" s="265"/>
      <c r="F118" s="265"/>
      <c r="G118" s="265"/>
      <c r="H118" s="265"/>
      <c r="I118" s="14"/>
    </row>
    <row r="119" spans="2:9">
      <c r="B119" s="265"/>
      <c r="C119" s="296"/>
      <c r="D119" s="296"/>
      <c r="E119" s="265"/>
      <c r="F119" s="265"/>
      <c r="G119" s="265"/>
      <c r="H119" s="265"/>
      <c r="I119" s="14"/>
    </row>
    <row r="120" spans="2:9">
      <c r="B120" s="265"/>
      <c r="C120" s="296"/>
      <c r="D120" s="296"/>
      <c r="E120" s="265"/>
      <c r="F120" s="265"/>
      <c r="G120" s="265"/>
      <c r="H120" s="265"/>
      <c r="I120" s="14"/>
    </row>
    <row r="121" spans="2:9">
      <c r="B121" s="265"/>
      <c r="C121" s="296"/>
      <c r="D121" s="296"/>
      <c r="E121" s="265"/>
      <c r="F121" s="265"/>
      <c r="G121" s="265"/>
      <c r="H121" s="265"/>
      <c r="I121" s="14"/>
    </row>
    <row r="122" spans="2:9">
      <c r="B122" s="265"/>
      <c r="C122" s="296"/>
      <c r="D122" s="296"/>
      <c r="E122" s="265"/>
      <c r="F122" s="265"/>
      <c r="G122" s="265"/>
      <c r="H122" s="265"/>
      <c r="I122" s="14"/>
    </row>
    <row r="123" spans="2:9">
      <c r="B123" s="265"/>
      <c r="C123" s="296"/>
      <c r="D123" s="296"/>
      <c r="E123" s="265"/>
      <c r="F123" s="265"/>
      <c r="G123" s="265"/>
      <c r="H123" s="265"/>
      <c r="I123" s="14"/>
    </row>
    <row r="124" spans="2:9">
      <c r="B124" s="265"/>
      <c r="C124" s="296"/>
      <c r="D124" s="296"/>
      <c r="E124" s="265"/>
      <c r="F124" s="265"/>
      <c r="G124" s="265"/>
      <c r="H124" s="265"/>
      <c r="I124" s="14"/>
    </row>
    <row r="125" spans="2:9">
      <c r="B125" s="265"/>
      <c r="C125" s="296"/>
      <c r="D125" s="296"/>
      <c r="E125" s="265"/>
      <c r="F125" s="265"/>
      <c r="G125" s="265"/>
      <c r="H125" s="265"/>
      <c r="I125" s="14"/>
    </row>
    <row r="126" spans="2:9">
      <c r="B126" s="15"/>
      <c r="C126" s="15"/>
      <c r="D126" s="15"/>
      <c r="E126" s="15"/>
      <c r="F126" s="15"/>
      <c r="G126" s="7"/>
      <c r="H126" s="7"/>
      <c r="I126" s="14"/>
    </row>
    <row r="127" spans="2:9">
      <c r="B127" s="15"/>
      <c r="C127" s="15"/>
      <c r="D127" s="15"/>
      <c r="E127" s="15"/>
      <c r="F127" s="15"/>
      <c r="G127" s="7"/>
      <c r="H127" s="7"/>
      <c r="I127" s="14"/>
    </row>
    <row r="130" spans="2:9">
      <c r="B130" s="111"/>
    </row>
    <row r="131" spans="2:9">
      <c r="B131" s="265"/>
      <c r="C131" s="15"/>
      <c r="D131" s="15"/>
      <c r="E131" s="265"/>
      <c r="F131" s="266"/>
      <c r="G131" s="265"/>
      <c r="H131" s="265"/>
      <c r="I131" s="14"/>
    </row>
    <row r="132" spans="2:9">
      <c r="B132" s="265"/>
      <c r="C132" s="15"/>
      <c r="D132" s="15"/>
      <c r="E132" s="265"/>
      <c r="F132" s="265"/>
      <c r="G132" s="265"/>
      <c r="H132" s="265"/>
      <c r="I132" s="14"/>
    </row>
    <row r="135" spans="2:9">
      <c r="B135" s="111"/>
    </row>
    <row r="136" spans="2:9">
      <c r="B136" s="265"/>
      <c r="C136" s="15"/>
      <c r="D136" s="15"/>
      <c r="E136" s="265"/>
      <c r="F136" s="266"/>
      <c r="G136" s="265"/>
      <c r="H136" s="265"/>
      <c r="I136" s="14"/>
    </row>
    <row r="137" spans="2:9">
      <c r="B137" s="265"/>
      <c r="C137" s="15"/>
      <c r="D137" s="15"/>
      <c r="E137" s="265"/>
      <c r="F137" s="265"/>
      <c r="G137" s="265"/>
      <c r="H137" s="265"/>
      <c r="I137" s="14"/>
    </row>
    <row r="138" spans="2:9">
      <c r="B138" s="265"/>
      <c r="C138" s="296"/>
      <c r="D138" s="296"/>
      <c r="E138" s="265"/>
      <c r="F138" s="265"/>
      <c r="G138" s="265"/>
      <c r="H138" s="265"/>
      <c r="I138" s="14"/>
    </row>
    <row r="139" spans="2:9">
      <c r="B139" s="265"/>
      <c r="C139" s="296"/>
      <c r="D139" s="296"/>
      <c r="E139" s="265"/>
      <c r="F139" s="265"/>
      <c r="G139" s="265"/>
      <c r="H139" s="265"/>
      <c r="I139" s="14"/>
    </row>
    <row r="140" spans="2:9">
      <c r="B140" s="265"/>
      <c r="C140" s="296"/>
      <c r="D140" s="296"/>
      <c r="E140" s="265"/>
      <c r="F140" s="265"/>
      <c r="G140" s="265"/>
      <c r="H140" s="265"/>
      <c r="I140" s="14"/>
    </row>
    <row r="141" spans="2:9">
      <c r="B141" s="265"/>
      <c r="C141" s="296"/>
      <c r="D141" s="296"/>
      <c r="E141" s="265"/>
      <c r="F141" s="265"/>
      <c r="G141" s="265"/>
      <c r="H141" s="265"/>
      <c r="I141" s="14"/>
    </row>
    <row r="142" spans="2:9">
      <c r="B142" s="265"/>
      <c r="C142" s="296"/>
      <c r="D142" s="296"/>
      <c r="E142" s="265"/>
      <c r="F142" s="265"/>
      <c r="G142" s="265"/>
      <c r="H142" s="265"/>
      <c r="I142" s="14"/>
    </row>
    <row r="143" spans="2:9">
      <c r="B143" s="265"/>
      <c r="C143" s="296"/>
      <c r="D143" s="296"/>
      <c r="E143" s="265"/>
      <c r="F143" s="265"/>
      <c r="G143" s="265"/>
      <c r="H143" s="265"/>
      <c r="I143" s="14"/>
    </row>
    <row r="144" spans="2:9">
      <c r="B144" s="265"/>
      <c r="C144" s="296"/>
      <c r="D144" s="296"/>
      <c r="E144" s="265"/>
      <c r="F144" s="265"/>
      <c r="G144" s="265"/>
      <c r="H144" s="265"/>
      <c r="I144" s="14"/>
    </row>
    <row r="145" spans="2:10">
      <c r="B145" s="265"/>
      <c r="C145" s="296"/>
      <c r="D145" s="296"/>
      <c r="E145" s="265"/>
      <c r="F145" s="265"/>
      <c r="G145" s="265"/>
      <c r="H145" s="265"/>
      <c r="I145" s="14"/>
    </row>
    <row r="146" spans="2:10">
      <c r="B146" s="265"/>
      <c r="C146" s="296"/>
      <c r="D146" s="296"/>
      <c r="E146" s="265"/>
      <c r="F146" s="265"/>
      <c r="G146" s="265"/>
      <c r="H146" s="265"/>
      <c r="I146" s="14"/>
    </row>
    <row r="147" spans="2:10">
      <c r="B147" s="265"/>
      <c r="C147" s="296"/>
      <c r="D147" s="296"/>
      <c r="E147" s="265"/>
      <c r="F147" s="265"/>
      <c r="G147" s="265"/>
      <c r="H147" s="265"/>
      <c r="I147" s="14"/>
    </row>
    <row r="148" spans="2:10">
      <c r="B148" s="265"/>
      <c r="C148" s="296"/>
      <c r="D148" s="296"/>
      <c r="E148" s="265"/>
      <c r="F148" s="265"/>
      <c r="G148" s="265"/>
      <c r="H148" s="265"/>
      <c r="I148" s="14"/>
    </row>
    <row r="149" spans="2:10">
      <c r="B149" s="265"/>
      <c r="C149" s="296"/>
      <c r="D149" s="296"/>
      <c r="E149" s="265"/>
      <c r="F149" s="265"/>
      <c r="G149" s="265"/>
      <c r="H149" s="265"/>
      <c r="I149" s="14"/>
    </row>
    <row r="150" spans="2:10">
      <c r="B150" s="265"/>
      <c r="C150" s="296"/>
      <c r="D150" s="296"/>
      <c r="E150" s="265"/>
      <c r="F150" s="265"/>
      <c r="G150" s="265"/>
      <c r="H150" s="265"/>
      <c r="I150" s="14"/>
    </row>
    <row r="151" spans="2:10">
      <c r="B151" s="15"/>
      <c r="C151" s="15"/>
      <c r="D151" s="15"/>
      <c r="E151" s="15"/>
      <c r="F151" s="15"/>
      <c r="G151" s="7"/>
      <c r="H151" s="7"/>
      <c r="I151" s="14"/>
    </row>
    <row r="152" spans="2:10">
      <c r="B152" s="15"/>
      <c r="C152" s="15"/>
      <c r="D152" s="15"/>
      <c r="E152" s="15"/>
      <c r="F152" s="15"/>
      <c r="G152" s="7"/>
      <c r="H152" s="7"/>
      <c r="I152" s="14"/>
    </row>
    <row r="155" spans="2:10">
      <c r="B155" s="111"/>
    </row>
    <row r="156" spans="2:10">
      <c r="B156" s="13"/>
      <c r="C156" s="265"/>
      <c r="D156" s="15"/>
      <c r="E156" s="15"/>
      <c r="F156" s="265"/>
      <c r="G156" s="266"/>
      <c r="H156" s="265"/>
      <c r="I156" s="265"/>
      <c r="J156" s="14"/>
    </row>
    <row r="157" spans="2:10">
      <c r="B157" s="13"/>
      <c r="C157" s="265"/>
      <c r="D157" s="15"/>
      <c r="E157" s="15"/>
      <c r="F157" s="265"/>
      <c r="G157" s="265"/>
      <c r="H157" s="265"/>
      <c r="I157" s="265"/>
      <c r="J157" s="14"/>
    </row>
    <row r="158" spans="2:10">
      <c r="B158" s="13"/>
      <c r="C158" s="265"/>
      <c r="D158" s="296"/>
      <c r="E158" s="296"/>
      <c r="F158" s="265"/>
      <c r="G158" s="265"/>
      <c r="H158" s="265"/>
      <c r="I158" s="265"/>
      <c r="J158" s="14"/>
    </row>
    <row r="159" spans="2:10">
      <c r="B159" s="13"/>
      <c r="C159" s="265"/>
      <c r="D159" s="296"/>
      <c r="E159" s="296"/>
      <c r="F159" s="265"/>
      <c r="G159" s="265"/>
      <c r="H159" s="265"/>
      <c r="I159" s="265"/>
      <c r="J159" s="14"/>
    </row>
    <row r="160" spans="2:10">
      <c r="B160" s="13"/>
      <c r="C160" s="265"/>
      <c r="D160" s="296"/>
      <c r="E160" s="296"/>
      <c r="F160" s="265"/>
      <c r="G160" s="265"/>
      <c r="H160" s="265"/>
      <c r="I160" s="265"/>
      <c r="J160" s="14"/>
    </row>
    <row r="161" spans="2:10">
      <c r="B161" s="13"/>
      <c r="C161" s="265"/>
      <c r="D161" s="296"/>
      <c r="E161" s="296"/>
      <c r="F161" s="265"/>
      <c r="G161" s="265"/>
      <c r="H161" s="265"/>
      <c r="I161" s="265"/>
      <c r="J161" s="14"/>
    </row>
    <row r="162" spans="2:10">
      <c r="B162" s="13"/>
      <c r="C162" s="265"/>
      <c r="D162" s="296"/>
      <c r="E162" s="296"/>
      <c r="F162" s="265"/>
      <c r="G162" s="265"/>
      <c r="H162" s="265"/>
      <c r="I162" s="265"/>
      <c r="J162" s="14"/>
    </row>
    <row r="163" spans="2:10">
      <c r="B163" s="13"/>
      <c r="C163" s="265"/>
      <c r="D163" s="296"/>
      <c r="E163" s="296"/>
      <c r="F163" s="265"/>
      <c r="G163" s="265"/>
      <c r="H163" s="265"/>
      <c r="I163" s="265"/>
      <c r="J163" s="14"/>
    </row>
    <row r="164" spans="2:10">
      <c r="B164" s="13"/>
      <c r="C164" s="265"/>
      <c r="D164" s="296"/>
      <c r="E164" s="296"/>
      <c r="F164" s="265"/>
      <c r="G164" s="265"/>
      <c r="H164" s="265"/>
      <c r="I164" s="265"/>
      <c r="J164" s="14"/>
    </row>
    <row r="165" spans="2:10">
      <c r="B165" s="13"/>
      <c r="C165" s="265"/>
      <c r="D165" s="296"/>
      <c r="E165" s="296"/>
      <c r="F165" s="265"/>
      <c r="G165" s="265"/>
      <c r="H165" s="265"/>
      <c r="I165" s="265"/>
      <c r="J165" s="14"/>
    </row>
    <row r="166" spans="2:10">
      <c r="B166" s="13"/>
      <c r="C166" s="265"/>
      <c r="D166" s="296"/>
      <c r="E166" s="296"/>
      <c r="F166" s="265"/>
      <c r="G166" s="265"/>
      <c r="H166" s="265"/>
      <c r="I166" s="265"/>
      <c r="J166" s="14"/>
    </row>
    <row r="167" spans="2:10">
      <c r="B167" s="13"/>
      <c r="C167" s="265"/>
      <c r="D167" s="296"/>
      <c r="E167" s="296"/>
      <c r="F167" s="265"/>
      <c r="G167" s="265"/>
      <c r="H167" s="265"/>
      <c r="I167" s="265"/>
      <c r="J167" s="14"/>
    </row>
    <row r="168" spans="2:10">
      <c r="B168" s="13"/>
      <c r="C168" s="265"/>
      <c r="D168" s="296"/>
      <c r="E168" s="296"/>
      <c r="F168" s="265"/>
      <c r="G168" s="265"/>
      <c r="H168" s="265"/>
      <c r="I168" s="265"/>
      <c r="J168" s="14"/>
    </row>
    <row r="169" spans="2:10">
      <c r="B169" s="13"/>
      <c r="C169" s="265"/>
      <c r="D169" s="296"/>
      <c r="E169" s="296"/>
      <c r="F169" s="265"/>
      <c r="G169" s="265"/>
      <c r="H169" s="265"/>
      <c r="I169" s="265"/>
      <c r="J169" s="14"/>
    </row>
    <row r="170" spans="2:10">
      <c r="B170" s="13"/>
      <c r="C170" s="265"/>
      <c r="D170" s="296"/>
      <c r="E170" s="296"/>
      <c r="F170" s="265"/>
      <c r="G170" s="265"/>
      <c r="H170" s="265"/>
      <c r="I170" s="265"/>
      <c r="J170" s="14"/>
    </row>
    <row r="171" spans="2:10">
      <c r="B171" s="13"/>
      <c r="C171" s="15"/>
      <c r="D171" s="15"/>
      <c r="E171" s="15"/>
      <c r="F171" s="15"/>
      <c r="G171" s="15"/>
      <c r="H171" s="7"/>
      <c r="I171" s="7"/>
      <c r="J171" s="14"/>
    </row>
    <row r="172" spans="2:10">
      <c r="B172" s="13"/>
      <c r="C172" s="15"/>
      <c r="D172" s="15"/>
      <c r="E172" s="15"/>
      <c r="F172" s="15"/>
      <c r="G172" s="15"/>
      <c r="H172" s="7"/>
      <c r="I172" s="7"/>
      <c r="J172" s="14"/>
    </row>
    <row r="174" spans="2:10">
      <c r="B174" s="111"/>
    </row>
    <row r="175" spans="2:10">
      <c r="B175" s="265"/>
      <c r="C175" s="296"/>
      <c r="D175" s="296"/>
      <c r="E175" s="265"/>
      <c r="F175" s="265"/>
      <c r="G175" s="265"/>
      <c r="H175" s="265"/>
      <c r="I175" s="14"/>
    </row>
    <row r="179" spans="2:9">
      <c r="B179" s="111"/>
    </row>
    <row r="180" spans="2:9">
      <c r="B180" s="265"/>
      <c r="C180" s="15"/>
      <c r="D180" s="15"/>
      <c r="E180" s="265"/>
      <c r="F180" s="265"/>
      <c r="G180" s="265"/>
      <c r="H180" s="265"/>
      <c r="I180" s="14"/>
    </row>
    <row r="192" spans="2:9">
      <c r="B192" s="278"/>
      <c r="C192" s="278"/>
      <c r="D192" s="278"/>
      <c r="E192" s="278"/>
      <c r="F192" s="278"/>
      <c r="G192" s="278"/>
      <c r="H192" s="278"/>
      <c r="I192" s="278"/>
    </row>
    <row r="193" spans="2:9">
      <c r="B193" s="279"/>
      <c r="C193" s="280"/>
      <c r="D193" s="280"/>
      <c r="E193" s="280"/>
      <c r="F193" s="280"/>
      <c r="G193" s="280"/>
      <c r="H193" s="281"/>
      <c r="I193" s="282"/>
    </row>
    <row r="194" spans="2:9">
      <c r="B194" s="283"/>
      <c r="C194" s="283"/>
      <c r="D194" s="283"/>
      <c r="E194" s="284"/>
      <c r="F194" s="283"/>
      <c r="G194" s="285"/>
      <c r="H194" s="286"/>
    </row>
    <row r="195" spans="2:9">
      <c r="B195" s="283"/>
      <c r="C195" s="283"/>
      <c r="D195" s="283"/>
      <c r="E195" s="284"/>
      <c r="F195" s="283"/>
      <c r="G195" s="285"/>
      <c r="H195" s="286"/>
    </row>
    <row r="196" spans="2:9">
      <c r="B196" s="283"/>
      <c r="C196" s="283"/>
      <c r="D196" s="283"/>
      <c r="E196" s="284"/>
      <c r="F196" s="283"/>
      <c r="G196" s="285"/>
      <c r="H196" s="286"/>
    </row>
    <row r="197" spans="2:9">
      <c r="B197" s="283"/>
      <c r="C197" s="283"/>
      <c r="D197" s="283"/>
      <c r="E197" s="284"/>
      <c r="F197" s="283"/>
      <c r="G197" s="285"/>
      <c r="H197" s="286"/>
    </row>
    <row r="198" spans="2:9">
      <c r="B198" s="283"/>
      <c r="C198" s="283"/>
      <c r="D198" s="283"/>
      <c r="E198" s="284"/>
      <c r="F198" s="283"/>
      <c r="G198" s="285"/>
      <c r="H198" s="286"/>
    </row>
    <row r="199" spans="2:9">
      <c r="B199" s="283"/>
      <c r="C199" s="283"/>
      <c r="D199" s="283"/>
      <c r="E199" s="284"/>
      <c r="F199" s="283"/>
      <c r="G199" s="285"/>
      <c r="H199" s="286"/>
    </row>
    <row r="200" spans="2:9">
      <c r="B200" s="283"/>
      <c r="C200" s="283"/>
      <c r="D200" s="283"/>
      <c r="E200" s="284"/>
      <c r="F200" s="283"/>
      <c r="G200" s="285"/>
      <c r="H200" s="286"/>
    </row>
    <row r="201" spans="2:9">
      <c r="B201" s="283"/>
      <c r="C201" s="283"/>
      <c r="D201" s="283"/>
      <c r="E201" s="284"/>
      <c r="F201" s="283"/>
      <c r="G201" s="285"/>
      <c r="H201" s="286"/>
    </row>
    <row r="202" spans="2:9">
      <c r="B202" s="283"/>
      <c r="C202" s="283"/>
      <c r="D202" s="283"/>
      <c r="E202" s="284"/>
      <c r="F202" s="283"/>
      <c r="G202" s="285"/>
      <c r="H202" s="286"/>
    </row>
    <row r="203" spans="2:9">
      <c r="B203" s="283"/>
      <c r="C203" s="283"/>
      <c r="D203" s="283"/>
      <c r="E203" s="284"/>
      <c r="F203" s="283"/>
      <c r="G203" s="285"/>
      <c r="H203" s="286"/>
    </row>
    <row r="204" spans="2:9">
      <c r="B204" s="283"/>
      <c r="C204" s="283"/>
      <c r="D204" s="283"/>
      <c r="E204" s="284"/>
      <c r="F204" s="283"/>
      <c r="G204" s="285"/>
      <c r="H204" s="286"/>
    </row>
    <row r="205" spans="2:9">
      <c r="B205" s="283"/>
      <c r="C205" s="283"/>
      <c r="D205" s="283"/>
      <c r="E205" s="284"/>
      <c r="F205" s="283"/>
      <c r="G205" s="285"/>
      <c r="H205" s="286"/>
    </row>
    <row r="206" spans="2:9">
      <c r="B206" s="283"/>
      <c r="C206" s="287"/>
      <c r="D206" s="283"/>
      <c r="E206" s="284"/>
      <c r="F206" s="283"/>
      <c r="G206" s="285"/>
      <c r="H206" s="286"/>
    </row>
    <row r="210" spans="5:7">
      <c r="F210" s="111"/>
      <c r="G210" s="288"/>
    </row>
    <row r="216" spans="5:7">
      <c r="E216" s="289"/>
      <c r="F216" s="272"/>
    </row>
    <row r="217" spans="5:7">
      <c r="E217" s="289"/>
      <c r="F217" s="272"/>
    </row>
    <row r="218" spans="5:7">
      <c r="E218" s="289"/>
      <c r="F218" s="272"/>
    </row>
    <row r="219" spans="5:7">
      <c r="E219" s="289"/>
      <c r="F219" s="272"/>
    </row>
    <row r="220" spans="5:7">
      <c r="E220" s="289"/>
      <c r="F220" s="272"/>
    </row>
    <row r="221" spans="5:7">
      <c r="E221" s="289"/>
      <c r="F221" s="272"/>
    </row>
    <row r="222" spans="5:7">
      <c r="E222" s="289"/>
      <c r="F222" s="272"/>
    </row>
    <row r="223" spans="5:7">
      <c r="E223" s="289"/>
      <c r="F223" s="272"/>
    </row>
    <row r="224" spans="5:7">
      <c r="E224" s="289"/>
      <c r="F224" s="272"/>
    </row>
    <row r="225" spans="5:6">
      <c r="E225" s="289"/>
      <c r="F225" s="272"/>
    </row>
    <row r="226" spans="5:6">
      <c r="E226" s="289"/>
      <c r="F226" s="272"/>
    </row>
    <row r="227" spans="5:6">
      <c r="E227" s="289"/>
      <c r="F227" s="272"/>
    </row>
    <row r="228" spans="5:6">
      <c r="E228" s="289"/>
      <c r="F228" s="272"/>
    </row>
    <row r="229" spans="5:6">
      <c r="E229" s="269"/>
      <c r="F229" s="272"/>
    </row>
    <row r="230" spans="5:6">
      <c r="E230" s="269"/>
      <c r="F230" s="272"/>
    </row>
    <row r="231" spans="5:6">
      <c r="E231" s="269"/>
      <c r="F231" s="272"/>
    </row>
    <row r="232" spans="5:6">
      <c r="E232" s="269"/>
      <c r="F232" s="272"/>
    </row>
    <row r="233" spans="5:6">
      <c r="E233" s="269"/>
      <c r="F233" s="272"/>
    </row>
    <row r="234" spans="5:6">
      <c r="E234" s="269"/>
      <c r="F234" s="272"/>
    </row>
    <row r="235" spans="5:6">
      <c r="E235" s="269"/>
      <c r="F235" s="272"/>
    </row>
    <row r="236" spans="5:6">
      <c r="E236" s="269"/>
      <c r="F236" s="272"/>
    </row>
    <row r="237" spans="5:6">
      <c r="E237" s="269"/>
      <c r="F237" s="272"/>
    </row>
    <row r="238" spans="5:6">
      <c r="E238" s="269"/>
      <c r="F238" s="272"/>
    </row>
    <row r="239" spans="5:6">
      <c r="E239" s="269"/>
      <c r="F239" s="272"/>
    </row>
    <row r="241" spans="6:6">
      <c r="F241" s="288"/>
    </row>
    <row r="260" spans="8:9">
      <c r="H260" s="269"/>
    </row>
    <row r="261" spans="8:9">
      <c r="H261" s="269"/>
    </row>
    <row r="262" spans="8:9">
      <c r="H262" s="269"/>
    </row>
    <row r="263" spans="8:9">
      <c r="H263" s="269"/>
    </row>
    <row r="264" spans="8:9">
      <c r="H264" s="269"/>
    </row>
    <row r="265" spans="8:9">
      <c r="H265" s="289"/>
    </row>
    <row r="270" spans="8:9">
      <c r="H270" s="269"/>
      <c r="I270" s="272"/>
    </row>
    <row r="271" spans="8:9">
      <c r="H271" s="269"/>
      <c r="I271" s="272"/>
    </row>
    <row r="272" spans="8:9">
      <c r="H272" s="269"/>
      <c r="I272" s="272"/>
    </row>
    <row r="273" spans="6:10">
      <c r="H273" s="269"/>
      <c r="I273" s="272"/>
    </row>
    <row r="274" spans="6:10">
      <c r="H274" s="269"/>
      <c r="I274" s="272"/>
    </row>
    <row r="275" spans="6:10">
      <c r="H275" s="289"/>
      <c r="I275" s="272"/>
    </row>
    <row r="285" spans="6:10">
      <c r="F285" s="269"/>
      <c r="G285" s="269"/>
      <c r="H285" s="271"/>
      <c r="I285" s="269"/>
      <c r="J285" s="272"/>
    </row>
    <row r="286" spans="6:10">
      <c r="F286" s="269"/>
      <c r="G286" s="269"/>
      <c r="H286" s="271"/>
      <c r="I286" s="269"/>
      <c r="J286" s="272"/>
    </row>
    <row r="287" spans="6:10">
      <c r="F287" s="269"/>
      <c r="G287" s="269"/>
      <c r="H287" s="271"/>
      <c r="I287" s="269"/>
      <c r="J287" s="272"/>
    </row>
    <row r="288" spans="6:10">
      <c r="F288" s="269"/>
      <c r="G288" s="269"/>
      <c r="H288" s="271"/>
      <c r="I288" s="269"/>
      <c r="J288" s="272"/>
    </row>
    <row r="289" spans="6:10">
      <c r="F289" s="269"/>
      <c r="G289" s="269"/>
      <c r="H289" s="271"/>
      <c r="I289" s="269"/>
      <c r="J289" s="272"/>
    </row>
    <row r="290" spans="6:10">
      <c r="F290" s="269"/>
      <c r="G290" s="269"/>
      <c r="H290" s="271"/>
      <c r="I290" s="269"/>
      <c r="J290" s="272"/>
    </row>
    <row r="291" spans="6:10">
      <c r="F291" s="269"/>
      <c r="G291" s="269"/>
      <c r="H291" s="271"/>
      <c r="I291" s="269"/>
      <c r="J291" s="272"/>
    </row>
    <row r="292" spans="6:10">
      <c r="F292" s="269"/>
      <c r="G292" s="269"/>
      <c r="H292" s="271"/>
      <c r="I292" s="269"/>
      <c r="J292" s="272"/>
    </row>
    <row r="293" spans="6:10">
      <c r="F293" s="269"/>
      <c r="G293" s="269"/>
      <c r="H293" s="271"/>
      <c r="I293" s="269"/>
      <c r="J293" s="272"/>
    </row>
    <row r="294" spans="6:10">
      <c r="F294" s="269"/>
      <c r="G294" s="269"/>
      <c r="H294" s="271"/>
      <c r="I294" s="269"/>
      <c r="J294" s="272"/>
    </row>
    <row r="295" spans="6:10">
      <c r="F295" s="269"/>
      <c r="G295" s="269"/>
      <c r="H295" s="271"/>
      <c r="I295" s="269"/>
      <c r="J295" s="272"/>
    </row>
    <row r="296" spans="6:10">
      <c r="F296" s="269"/>
      <c r="G296" s="269"/>
      <c r="H296" s="271"/>
      <c r="I296" s="269"/>
      <c r="J296" s="272"/>
    </row>
    <row r="297" spans="6:10">
      <c r="F297" s="269"/>
      <c r="G297" s="269"/>
      <c r="H297" s="271"/>
      <c r="I297" s="269"/>
      <c r="J297" s="272"/>
    </row>
    <row r="298" spans="6:10">
      <c r="F298" s="269"/>
      <c r="G298" s="269"/>
      <c r="H298" s="271"/>
      <c r="I298" s="269"/>
      <c r="J298" s="272"/>
    </row>
    <row r="299" spans="6:10">
      <c r="F299" s="269"/>
      <c r="G299" s="269"/>
      <c r="H299" s="271"/>
      <c r="I299" s="269"/>
      <c r="J299" s="272"/>
    </row>
    <row r="300" spans="6:10">
      <c r="F300" s="269"/>
      <c r="G300" s="269"/>
      <c r="H300" s="271"/>
      <c r="I300" s="269"/>
      <c r="J300" s="272"/>
    </row>
    <row r="301" spans="6:10">
      <c r="F301" s="269"/>
      <c r="G301" s="269"/>
      <c r="H301" s="271"/>
      <c r="I301" s="269"/>
      <c r="J301" s="272"/>
    </row>
    <row r="302" spans="6:10">
      <c r="F302" s="269"/>
      <c r="G302" s="269"/>
      <c r="H302" s="271"/>
      <c r="I302" s="269"/>
      <c r="J302" s="272"/>
    </row>
    <row r="303" spans="6:10">
      <c r="F303" s="269"/>
      <c r="G303" s="269"/>
      <c r="H303" s="271"/>
      <c r="I303" s="269"/>
      <c r="J303" s="272"/>
    </row>
    <row r="304" spans="6:10">
      <c r="F304" s="269"/>
      <c r="G304" s="269"/>
      <c r="H304" s="271"/>
      <c r="I304" s="269"/>
      <c r="J304" s="272"/>
    </row>
    <row r="305" spans="6:10">
      <c r="F305" s="269"/>
      <c r="G305" s="269"/>
      <c r="H305" s="271"/>
      <c r="I305" s="269"/>
      <c r="J305" s="272"/>
    </row>
    <row r="306" spans="6:10">
      <c r="F306" s="269"/>
      <c r="G306" s="269"/>
      <c r="H306" s="271"/>
      <c r="I306" s="269"/>
      <c r="J306" s="272"/>
    </row>
    <row r="307" spans="6:10">
      <c r="F307" s="269"/>
      <c r="G307" s="269"/>
      <c r="H307" s="271"/>
      <c r="I307" s="269"/>
      <c r="J307" s="272"/>
    </row>
    <row r="308" spans="6:10">
      <c r="F308" s="269"/>
      <c r="G308" s="269"/>
      <c r="H308" s="271"/>
      <c r="I308" s="269"/>
      <c r="J308" s="272"/>
    </row>
    <row r="309" spans="6:10">
      <c r="F309" s="269"/>
      <c r="G309" s="269"/>
      <c r="H309" s="271"/>
      <c r="I309" s="269"/>
      <c r="J309" s="272"/>
    </row>
    <row r="310" spans="6:10">
      <c r="F310" s="269"/>
      <c r="G310" s="269"/>
      <c r="H310" s="271"/>
      <c r="I310" s="269"/>
      <c r="J310" s="272"/>
    </row>
    <row r="311" spans="6:10">
      <c r="F311" s="269"/>
      <c r="G311" s="269"/>
      <c r="H311" s="271"/>
      <c r="I311" s="269"/>
      <c r="J311" s="272"/>
    </row>
    <row r="312" spans="6:10">
      <c r="F312" s="269"/>
      <c r="G312" s="269"/>
      <c r="H312" s="271"/>
      <c r="I312" s="269"/>
      <c r="J312" s="272"/>
    </row>
    <row r="313" spans="6:10">
      <c r="F313" s="269"/>
      <c r="G313" s="269"/>
      <c r="H313" s="271"/>
      <c r="I313" s="269"/>
      <c r="J313" s="272"/>
    </row>
    <row r="314" spans="6:10">
      <c r="F314" s="269"/>
      <c r="G314" s="269"/>
      <c r="H314" s="271"/>
      <c r="I314" s="269"/>
      <c r="J314" s="272"/>
    </row>
    <row r="315" spans="6:10">
      <c r="F315" s="269"/>
      <c r="G315" s="269"/>
      <c r="H315" s="271"/>
      <c r="I315" s="269"/>
      <c r="J315" s="272"/>
    </row>
    <row r="316" spans="6:10">
      <c r="F316" s="269"/>
      <c r="G316" s="269"/>
      <c r="H316" s="271"/>
      <c r="I316" s="269"/>
      <c r="J316" s="272"/>
    </row>
    <row r="317" spans="6:10">
      <c r="F317" s="269"/>
      <c r="G317" s="269"/>
      <c r="H317" s="271"/>
      <c r="I317" s="269"/>
      <c r="J317" s="272"/>
    </row>
    <row r="318" spans="6:10">
      <c r="F318" s="269"/>
      <c r="G318" s="269"/>
      <c r="H318" s="271"/>
      <c r="I318" s="269"/>
      <c r="J318" s="272"/>
    </row>
    <row r="319" spans="6:10">
      <c r="F319" s="269"/>
      <c r="G319" s="269"/>
      <c r="H319" s="271"/>
      <c r="I319" s="269"/>
      <c r="J319" s="272"/>
    </row>
    <row r="320" spans="6:10">
      <c r="F320" s="269"/>
      <c r="G320" s="269"/>
      <c r="H320" s="271"/>
      <c r="I320" s="269"/>
      <c r="J320" s="272"/>
    </row>
    <row r="321" spans="6:10">
      <c r="F321" s="269"/>
      <c r="G321" s="269"/>
      <c r="H321" s="271"/>
      <c r="I321" s="269"/>
      <c r="J321" s="272"/>
    </row>
    <row r="322" spans="6:10">
      <c r="F322" s="269"/>
      <c r="G322" s="269"/>
      <c r="H322" s="271"/>
      <c r="I322" s="269"/>
      <c r="J322" s="272"/>
    </row>
    <row r="323" spans="6:10">
      <c r="F323" s="290"/>
      <c r="G323" s="269"/>
      <c r="H323" s="271"/>
      <c r="I323" s="269"/>
      <c r="J323" s="272"/>
    </row>
    <row r="324" spans="6:10">
      <c r="F324" s="290"/>
      <c r="G324" s="269"/>
      <c r="H324" s="271"/>
      <c r="I324" s="269"/>
      <c r="J324" s="272"/>
    </row>
    <row r="325" spans="6:10">
      <c r="F325" s="290"/>
      <c r="G325" s="269"/>
      <c r="H325" s="271"/>
      <c r="I325" s="269"/>
      <c r="J325" s="272"/>
    </row>
    <row r="326" spans="6:10">
      <c r="F326" s="269"/>
      <c r="G326" s="269"/>
      <c r="H326" s="271"/>
      <c r="I326" s="289"/>
      <c r="J326" s="272"/>
    </row>
    <row r="327" spans="6:10">
      <c r="F327" s="269"/>
      <c r="G327" s="269"/>
      <c r="H327" s="271"/>
      <c r="I327" s="289"/>
      <c r="J327" s="272"/>
    </row>
    <row r="328" spans="6:10">
      <c r="F328" s="269"/>
      <c r="G328" s="269"/>
      <c r="H328" s="271"/>
      <c r="I328" s="289"/>
      <c r="J328" s="272"/>
    </row>
    <row r="329" spans="6:10">
      <c r="F329" s="269"/>
      <c r="G329" s="269"/>
      <c r="H329" s="271"/>
      <c r="I329" s="289"/>
      <c r="J329" s="272"/>
    </row>
    <row r="330" spans="6:10">
      <c r="F330" s="269"/>
      <c r="G330" s="269"/>
      <c r="H330" s="271"/>
      <c r="I330" s="289"/>
      <c r="J330" s="272"/>
    </row>
    <row r="331" spans="6:10">
      <c r="F331" s="270"/>
      <c r="G331" s="269"/>
      <c r="H331" s="271"/>
      <c r="I331" s="289"/>
      <c r="J331" s="272"/>
    </row>
    <row r="332" spans="6:10">
      <c r="F332" s="269"/>
      <c r="G332" s="269"/>
      <c r="H332" s="271"/>
      <c r="I332" s="289"/>
      <c r="J332" s="272"/>
    </row>
    <row r="333" spans="6:10">
      <c r="F333" s="269"/>
      <c r="G333" s="269"/>
      <c r="H333" s="271"/>
      <c r="I333" s="289"/>
      <c r="J333" s="272"/>
    </row>
    <row r="334" spans="6:10">
      <c r="F334" s="269"/>
      <c r="G334" s="269"/>
      <c r="H334" s="271"/>
      <c r="I334" s="289"/>
      <c r="J334" s="272"/>
    </row>
    <row r="335" spans="6:10">
      <c r="F335" s="269"/>
      <c r="G335" s="269"/>
      <c r="H335" s="271"/>
      <c r="I335" s="289"/>
      <c r="J335" s="272"/>
    </row>
    <row r="336" spans="6:10">
      <c r="F336" s="269"/>
      <c r="G336" s="269"/>
      <c r="H336" s="271"/>
      <c r="I336" s="289"/>
      <c r="J336" s="272"/>
    </row>
    <row r="337" spans="6:10">
      <c r="F337" s="270"/>
      <c r="G337" s="269"/>
      <c r="H337" s="271"/>
      <c r="I337" s="289"/>
      <c r="J337" s="272"/>
    </row>
    <row r="338" spans="6:10">
      <c r="F338" s="269"/>
      <c r="G338" s="269"/>
      <c r="H338" s="271"/>
      <c r="I338" s="289"/>
      <c r="J338" s="272"/>
    </row>
    <row r="339" spans="6:10">
      <c r="F339" s="275"/>
      <c r="G339" s="275"/>
      <c r="H339" s="291"/>
      <c r="I339" s="289"/>
      <c r="J339" s="292"/>
    </row>
    <row r="340" spans="6:10">
      <c r="F340" s="269"/>
      <c r="G340" s="269"/>
      <c r="H340" s="271"/>
      <c r="I340" s="289"/>
      <c r="J340" s="272"/>
    </row>
    <row r="341" spans="6:10">
      <c r="F341" s="269"/>
      <c r="G341" s="269"/>
      <c r="H341" s="271"/>
      <c r="I341" s="289"/>
      <c r="J341" s="272"/>
    </row>
    <row r="342" spans="6:10">
      <c r="F342" s="269"/>
      <c r="G342" s="269"/>
      <c r="H342" s="271"/>
      <c r="I342" s="289"/>
      <c r="J342" s="272"/>
    </row>
    <row r="343" spans="6:10">
      <c r="F343" s="270"/>
      <c r="G343" s="293"/>
      <c r="H343" s="294"/>
      <c r="I343" s="289"/>
      <c r="J343" s="295"/>
    </row>
    <row r="344" spans="6:10">
      <c r="F344" s="269"/>
      <c r="G344" s="269"/>
      <c r="H344" s="271"/>
      <c r="I344" s="289"/>
      <c r="J344" s="272"/>
    </row>
    <row r="345" spans="6:10">
      <c r="F345" s="269"/>
      <c r="G345" s="269"/>
      <c r="H345" s="271"/>
      <c r="I345" s="289"/>
      <c r="J345" s="272"/>
    </row>
    <row r="346" spans="6:10">
      <c r="F346" s="290"/>
      <c r="G346" s="269"/>
      <c r="H346" s="271"/>
      <c r="I346" s="289"/>
      <c r="J346" s="272"/>
    </row>
    <row r="347" spans="6:10">
      <c r="F347" s="270"/>
      <c r="G347" s="293"/>
      <c r="H347" s="294"/>
      <c r="I347" s="289"/>
      <c r="J347" s="295"/>
    </row>
    <row r="348" spans="6:10">
      <c r="F348" s="275"/>
      <c r="G348" s="275"/>
      <c r="H348" s="291"/>
      <c r="I348" s="289"/>
      <c r="J348" s="292"/>
    </row>
    <row r="349" spans="6:10">
      <c r="F349" s="293"/>
      <c r="G349" s="293"/>
      <c r="H349" s="294"/>
      <c r="I349" s="289"/>
      <c r="J349" s="295"/>
    </row>
    <row r="350" spans="6:10">
      <c r="F350" s="269"/>
      <c r="G350" s="269"/>
      <c r="H350" s="271"/>
      <c r="I350" s="289"/>
      <c r="J350" s="272"/>
    </row>
    <row r="351" spans="6:10">
      <c r="F351" s="269"/>
      <c r="G351" s="269"/>
      <c r="H351" s="271"/>
      <c r="I351" s="289"/>
      <c r="J351" s="272"/>
    </row>
    <row r="352" spans="6:10">
      <c r="F352" s="269"/>
      <c r="G352" s="269"/>
      <c r="H352" s="271"/>
      <c r="I352" s="289"/>
      <c r="J352" s="272"/>
    </row>
    <row r="353" spans="6:10">
      <c r="F353" s="269"/>
      <c r="G353" s="269"/>
      <c r="H353" s="271"/>
      <c r="I353" s="289"/>
      <c r="J353" s="272"/>
    </row>
    <row r="354" spans="6:10">
      <c r="F354" s="269"/>
      <c r="G354" s="269"/>
      <c r="H354" s="271"/>
      <c r="I354" s="289"/>
      <c r="J354" s="272"/>
    </row>
    <row r="359" spans="6:10">
      <c r="J359" s="288"/>
    </row>
  </sheetData>
  <conditionalFormatting sqref="H194:H206">
    <cfRule type="cellIs" dxfId="12" priority="1" stopIfTrue="1" operator="equal">
      <formula>"zzzz"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49D7F-408D-824C-837A-35FFDAD13AF7}">
  <sheetPr codeName="Sheet2"/>
  <dimension ref="A1:H213"/>
  <sheetViews>
    <sheetView tabSelected="1" topLeftCell="A34" workbookViewId="0">
      <selection activeCell="F43" sqref="F43"/>
    </sheetView>
  </sheetViews>
  <sheetFormatPr baseColWidth="10" defaultRowHeight="16"/>
  <cols>
    <col min="1" max="1" width="8.1640625" customWidth="1"/>
    <col min="2" max="2" width="28.1640625" customWidth="1"/>
    <col min="4" max="4" width="10.83203125" customWidth="1"/>
    <col min="5" max="5" width="15.33203125" customWidth="1"/>
    <col min="6" max="6" width="26.6640625" customWidth="1"/>
    <col min="7" max="7" width="41.5" customWidth="1"/>
    <col min="8" max="8" width="20.33203125" customWidth="1"/>
  </cols>
  <sheetData>
    <row r="1" spans="1:8" ht="58" customHeight="1">
      <c r="A1" s="61"/>
      <c r="B1" s="61"/>
      <c r="C1" s="61"/>
      <c r="D1" s="61"/>
      <c r="E1" s="61"/>
      <c r="F1" s="61"/>
      <c r="G1" s="61"/>
      <c r="H1" s="61"/>
    </row>
    <row r="2" spans="1:8">
      <c r="A2" s="63"/>
      <c r="B2" s="63"/>
      <c r="C2" s="64"/>
      <c r="D2" s="65"/>
      <c r="E2" s="63"/>
      <c r="F2" s="66"/>
      <c r="G2" s="63"/>
      <c r="H2" s="62"/>
    </row>
    <row r="3" spans="1:8">
      <c r="A3" s="63"/>
      <c r="B3" s="63"/>
      <c r="C3" s="64"/>
      <c r="D3" s="65"/>
      <c r="E3" s="63"/>
      <c r="F3" s="66"/>
      <c r="G3" s="63"/>
      <c r="H3" s="62"/>
    </row>
    <row r="4" spans="1:8" ht="23">
      <c r="A4" s="334" t="s">
        <v>37</v>
      </c>
      <c r="B4" s="334"/>
      <c r="C4" s="334"/>
      <c r="D4" s="334"/>
      <c r="E4" s="334"/>
      <c r="F4" s="334"/>
      <c r="G4" s="334"/>
      <c r="H4" s="334"/>
    </row>
    <row r="5" spans="1:8">
      <c r="A5" s="67" t="str">
        <f>IF(TRIM(Job_Name)="", "", Job_Name)</f>
        <v>Goya</v>
      </c>
      <c r="B5" s="63"/>
      <c r="C5" s="64"/>
      <c r="D5" s="65"/>
      <c r="E5" s="63"/>
      <c r="F5" s="66"/>
      <c r="G5" s="64"/>
      <c r="H5" s="62"/>
    </row>
    <row r="6" spans="1:8">
      <c r="A6" s="63" t="str">
        <f>IF(TRIM(Job_Number)="", "", Job_Number)</f>
        <v>KS24-03</v>
      </c>
      <c r="B6" s="63"/>
      <c r="C6" s="68"/>
      <c r="D6" s="68"/>
      <c r="E6" s="68"/>
      <c r="F6" s="68"/>
      <c r="G6" s="64"/>
      <c r="H6" s="62"/>
    </row>
    <row r="7" spans="1:8">
      <c r="A7" s="69"/>
      <c r="B7" s="69"/>
      <c r="C7" s="70"/>
      <c r="D7" s="71"/>
      <c r="E7" s="69"/>
      <c r="F7" s="72"/>
      <c r="G7" s="69"/>
      <c r="H7" s="62"/>
    </row>
    <row r="8" spans="1:8">
      <c r="A8" s="139" t="s">
        <v>9</v>
      </c>
      <c r="B8" s="140" t="s">
        <v>38</v>
      </c>
      <c r="C8" s="140" t="s">
        <v>39</v>
      </c>
      <c r="D8" s="141" t="s">
        <v>30</v>
      </c>
      <c r="E8" s="140" t="s">
        <v>40</v>
      </c>
      <c r="F8" s="142" t="s">
        <v>264</v>
      </c>
      <c r="G8" s="143" t="s">
        <v>41</v>
      </c>
      <c r="H8" s="144" t="s">
        <v>42</v>
      </c>
    </row>
    <row r="9" spans="1:8">
      <c r="A9" s="136" t="s">
        <v>380</v>
      </c>
      <c r="B9" s="145" t="s">
        <v>1011</v>
      </c>
      <c r="C9" s="145" t="s">
        <v>276</v>
      </c>
      <c r="D9" s="146"/>
      <c r="E9" s="145"/>
      <c r="F9" s="147"/>
      <c r="G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Petty Cash Log</v>
      </c>
      <c r="H9" s="148" t="str">
        <f>PO_LOG[[#This Row],[LINE]]</f>
        <v>PC</v>
      </c>
    </row>
    <row r="10" spans="1:8">
      <c r="A10" s="137">
        <v>220</v>
      </c>
      <c r="B10" s="149" t="s">
        <v>717</v>
      </c>
      <c r="C10" s="145" t="s">
        <v>280</v>
      </c>
      <c r="D10" s="146">
        <v>45474</v>
      </c>
      <c r="E10" s="149" t="s">
        <v>497</v>
      </c>
      <c r="F10" s="150">
        <v>4659.6499999999996</v>
      </c>
      <c r="G1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DGA AD Letter</v>
      </c>
      <c r="H10" s="151"/>
    </row>
    <row r="11" spans="1:8">
      <c r="A11" s="136">
        <v>122</v>
      </c>
      <c r="B11" s="145" t="s">
        <v>494</v>
      </c>
      <c r="C11" s="145" t="s">
        <v>282</v>
      </c>
      <c r="D11" s="146">
        <v>45499</v>
      </c>
      <c r="E11" s="145" t="s">
        <v>495</v>
      </c>
      <c r="F11" s="147">
        <v>541.15</v>
      </c>
      <c r="G1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Camera Truck</v>
      </c>
      <c r="H11" s="148"/>
    </row>
    <row r="12" spans="1:8">
      <c r="A12" s="136">
        <v>123</v>
      </c>
      <c r="B12" s="145" t="s">
        <v>494</v>
      </c>
      <c r="C12" s="145" t="s">
        <v>282</v>
      </c>
      <c r="D12" s="146">
        <v>45499</v>
      </c>
      <c r="E12" s="145" t="s">
        <v>495</v>
      </c>
      <c r="F12" s="147">
        <v>434.32</v>
      </c>
      <c r="G1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Truck</v>
      </c>
      <c r="H12" s="148"/>
    </row>
    <row r="13" spans="1:8">
      <c r="A13" s="136">
        <v>126</v>
      </c>
      <c r="B13" s="145" t="s">
        <v>496</v>
      </c>
      <c r="C13" s="145" t="s">
        <v>282</v>
      </c>
      <c r="D13" s="146">
        <v>45499</v>
      </c>
      <c r="E13" s="145" t="s">
        <v>495</v>
      </c>
      <c r="F13" s="147">
        <v>1384.95</v>
      </c>
      <c r="G1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Van Rentals</v>
      </c>
      <c r="H13" s="148"/>
    </row>
    <row r="14" spans="1:8">
      <c r="A14" s="136">
        <v>193</v>
      </c>
      <c r="B14" s="145" t="s">
        <v>378</v>
      </c>
      <c r="C14" s="145" t="s">
        <v>283</v>
      </c>
      <c r="D14" s="146">
        <v>45494</v>
      </c>
      <c r="E14" s="145" t="s">
        <v>511</v>
      </c>
      <c r="F14" s="147">
        <v>17400.73</v>
      </c>
      <c r="G1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Camera Rental</v>
      </c>
      <c r="H14" s="148"/>
    </row>
    <row r="15" spans="1:8">
      <c r="A15" s="136">
        <v>210</v>
      </c>
      <c r="B15" s="145" t="s">
        <v>378</v>
      </c>
      <c r="C15" s="145" t="s">
        <v>283</v>
      </c>
      <c r="D15" s="146">
        <v>45494</v>
      </c>
      <c r="E15" s="145" t="s">
        <v>511</v>
      </c>
      <c r="F15" s="147">
        <v>13616.25</v>
      </c>
      <c r="G1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Phantom Camera Kit</v>
      </c>
      <c r="H15" s="148"/>
    </row>
    <row r="16" spans="1:8">
      <c r="A16" s="136">
        <v>112</v>
      </c>
      <c r="B16" s="145" t="s">
        <v>382</v>
      </c>
      <c r="C16" s="145" t="s">
        <v>284</v>
      </c>
      <c r="D16" s="146">
        <v>45505</v>
      </c>
      <c r="E16" s="145" t="s">
        <v>495</v>
      </c>
      <c r="F16" s="147">
        <v>-870.3</v>
      </c>
      <c r="G1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Pre Pro Meals</v>
      </c>
      <c r="H16" s="148"/>
    </row>
    <row r="17" spans="1:8">
      <c r="A17" s="136">
        <v>112</v>
      </c>
      <c r="B17" s="145" t="s">
        <v>382</v>
      </c>
      <c r="C17" s="145" t="s">
        <v>284</v>
      </c>
      <c r="D17" s="146">
        <v>45484</v>
      </c>
      <c r="E17" s="145" t="s">
        <v>495</v>
      </c>
      <c r="F17" s="147">
        <v>3864.6</v>
      </c>
      <c r="G1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Pre Pro Meals</v>
      </c>
      <c r="H17" s="148"/>
    </row>
    <row r="18" spans="1:8">
      <c r="A18" s="136">
        <v>119</v>
      </c>
      <c r="B18" s="145" t="s">
        <v>383</v>
      </c>
      <c r="C18" s="145" t="s">
        <v>285</v>
      </c>
      <c r="D18" s="146"/>
      <c r="E18" s="242" t="s">
        <v>999</v>
      </c>
      <c r="F18" s="147">
        <v>2438.66</v>
      </c>
      <c r="G18" s="172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Honeywagon/Restrooms</v>
      </c>
      <c r="H18" s="236"/>
    </row>
    <row r="19" spans="1:8">
      <c r="A19" s="136">
        <v>200</v>
      </c>
      <c r="B19" s="145" t="s">
        <v>384</v>
      </c>
      <c r="C19" s="145" t="s">
        <v>286</v>
      </c>
      <c r="D19" s="146"/>
      <c r="E19" s="242" t="s">
        <v>999</v>
      </c>
      <c r="F19" s="147">
        <v>1375</v>
      </c>
      <c r="G1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Walkie Talkie Rental</v>
      </c>
      <c r="H19" s="148"/>
    </row>
    <row r="20" spans="1:8">
      <c r="A20" s="136">
        <v>195</v>
      </c>
      <c r="B20" s="145" t="s">
        <v>386</v>
      </c>
      <c r="C20" s="145" t="s">
        <v>287</v>
      </c>
      <c r="D20" s="146"/>
      <c r="E20" s="242" t="s">
        <v>999</v>
      </c>
      <c r="F20" s="147">
        <v>14277.5</v>
      </c>
      <c r="G2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Lighting Rental</v>
      </c>
      <c r="H20" s="148"/>
    </row>
    <row r="21" spans="1:8">
      <c r="A21" s="136">
        <v>196</v>
      </c>
      <c r="B21" s="145" t="s">
        <v>386</v>
      </c>
      <c r="C21" s="145" t="s">
        <v>287</v>
      </c>
      <c r="D21" s="146"/>
      <c r="E21" s="242" t="s">
        <v>999</v>
      </c>
      <c r="F21" s="147">
        <v>8190.54</v>
      </c>
      <c r="G2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Grip Rental</v>
      </c>
      <c r="H21" s="148"/>
    </row>
    <row r="22" spans="1:8">
      <c r="A22" s="136">
        <v>197</v>
      </c>
      <c r="B22" s="145" t="s">
        <v>386</v>
      </c>
      <c r="C22" s="145" t="s">
        <v>287</v>
      </c>
      <c r="D22" s="146"/>
      <c r="E22" s="242" t="s">
        <v>999</v>
      </c>
      <c r="F22" s="147">
        <v>1720</v>
      </c>
      <c r="G2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Generator Rental</v>
      </c>
      <c r="H22" s="151"/>
    </row>
    <row r="23" spans="1:8">
      <c r="A23" s="136">
        <v>204</v>
      </c>
      <c r="B23" s="145" t="s">
        <v>386</v>
      </c>
      <c r="C23" s="145" t="s">
        <v>287</v>
      </c>
      <c r="D23" s="146"/>
      <c r="E23" s="242" t="s">
        <v>999</v>
      </c>
      <c r="F23" s="147">
        <v>1554</v>
      </c>
      <c r="G2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Supplies</v>
      </c>
      <c r="H23" s="148"/>
    </row>
    <row r="24" spans="1:8">
      <c r="A24" s="136">
        <v>209</v>
      </c>
      <c r="B24" s="145" t="s">
        <v>386</v>
      </c>
      <c r="C24" s="145" t="s">
        <v>287</v>
      </c>
      <c r="D24" s="146"/>
      <c r="E24" s="242" t="s">
        <v>999</v>
      </c>
      <c r="F24" s="147">
        <v>7810</v>
      </c>
      <c r="G2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Package Truck</v>
      </c>
      <c r="H24" s="148"/>
    </row>
    <row r="25" spans="1:8">
      <c r="A25" s="154">
        <v>42</v>
      </c>
      <c r="B25" s="163" t="s">
        <v>385</v>
      </c>
      <c r="C25" s="163" t="s">
        <v>288</v>
      </c>
      <c r="D25" s="164"/>
      <c r="E25" s="163" t="s">
        <v>435</v>
      </c>
      <c r="F25" s="163">
        <v>700</v>
      </c>
      <c r="G2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25" s="159"/>
    </row>
    <row r="26" spans="1:8">
      <c r="A26" s="154">
        <v>93</v>
      </c>
      <c r="B26" s="155" t="s">
        <v>385</v>
      </c>
      <c r="C26" s="156" t="s">
        <v>288</v>
      </c>
      <c r="D26" s="305"/>
      <c r="E26" s="155" t="s">
        <v>435</v>
      </c>
      <c r="F26" s="155">
        <v>522.9</v>
      </c>
      <c r="G2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26" s="151"/>
    </row>
    <row r="27" spans="1:8">
      <c r="A27" s="154">
        <v>94</v>
      </c>
      <c r="B27" s="155" t="s">
        <v>385</v>
      </c>
      <c r="C27" s="156" t="s">
        <v>288</v>
      </c>
      <c r="D27" s="158"/>
      <c r="E27" s="155" t="s">
        <v>435</v>
      </c>
      <c r="F27" s="155">
        <v>457.23</v>
      </c>
      <c r="G2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Assistant</v>
      </c>
      <c r="H27" s="148"/>
    </row>
    <row r="28" spans="1:8">
      <c r="A28" s="154">
        <v>102</v>
      </c>
      <c r="B28" s="155" t="s">
        <v>385</v>
      </c>
      <c r="C28" s="156" t="s">
        <v>288</v>
      </c>
      <c r="D28" s="158"/>
      <c r="E28" s="155" t="s">
        <v>435</v>
      </c>
      <c r="F28" s="155">
        <v>875</v>
      </c>
      <c r="G2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Client Agency - Giftbags, Dinner, Gifts</v>
      </c>
      <c r="H28" s="148"/>
    </row>
    <row r="29" spans="1:8">
      <c r="A29" s="154">
        <v>130</v>
      </c>
      <c r="B29" s="166" t="s">
        <v>385</v>
      </c>
      <c r="C29" s="166" t="s">
        <v>288</v>
      </c>
      <c r="D29" s="167"/>
      <c r="E29" s="166" t="s">
        <v>435</v>
      </c>
      <c r="F29" s="166">
        <v>2887.5</v>
      </c>
      <c r="G2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Breakfast</v>
      </c>
      <c r="H29" s="157"/>
    </row>
    <row r="30" spans="1:8">
      <c r="A30" s="154">
        <v>131</v>
      </c>
      <c r="B30" s="155" t="s">
        <v>385</v>
      </c>
      <c r="C30" s="156" t="s">
        <v>288</v>
      </c>
      <c r="D30" s="158"/>
      <c r="E30" s="155" t="s">
        <v>435</v>
      </c>
      <c r="F30" s="155">
        <v>1339.8</v>
      </c>
      <c r="G3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Lunch</v>
      </c>
      <c r="H30" s="148"/>
    </row>
    <row r="31" spans="1:8">
      <c r="A31" s="154">
        <v>131</v>
      </c>
      <c r="B31" s="166" t="s">
        <v>387</v>
      </c>
      <c r="C31" s="166" t="s">
        <v>288</v>
      </c>
      <c r="D31" s="167"/>
      <c r="E31" s="166" t="s">
        <v>435</v>
      </c>
      <c r="F31" s="166">
        <v>2887.5</v>
      </c>
      <c r="G3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Lunch</v>
      </c>
      <c r="H31" s="159"/>
    </row>
    <row r="32" spans="1:8">
      <c r="A32" s="154">
        <v>139</v>
      </c>
      <c r="B32" s="163" t="s">
        <v>385</v>
      </c>
      <c r="C32" s="163" t="s">
        <v>288</v>
      </c>
      <c r="D32" s="164"/>
      <c r="E32" s="163" t="s">
        <v>435</v>
      </c>
      <c r="F32" s="163">
        <v>3630</v>
      </c>
      <c r="G3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32" s="157"/>
    </row>
    <row r="33" spans="1:8">
      <c r="A33" s="154">
        <v>139</v>
      </c>
      <c r="B33" s="155" t="s">
        <v>385</v>
      </c>
      <c r="C33" s="156" t="s">
        <v>288</v>
      </c>
      <c r="D33" s="158"/>
      <c r="E33" s="155" t="s">
        <v>435</v>
      </c>
      <c r="F33" s="155">
        <v>700</v>
      </c>
      <c r="G3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33" s="148"/>
    </row>
    <row r="34" spans="1:8">
      <c r="A34" s="154">
        <v>139</v>
      </c>
      <c r="B34" s="155" t="s">
        <v>385</v>
      </c>
      <c r="C34" s="156" t="s">
        <v>288</v>
      </c>
      <c r="D34" s="158"/>
      <c r="E34" s="155" t="s">
        <v>435</v>
      </c>
      <c r="F34" s="155">
        <v>64</v>
      </c>
      <c r="G3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34" s="148"/>
    </row>
    <row r="35" spans="1:8">
      <c r="A35" s="136">
        <v>124</v>
      </c>
      <c r="B35" s="145" t="s">
        <v>388</v>
      </c>
      <c r="C35" s="145" t="s">
        <v>290</v>
      </c>
      <c r="D35" s="146"/>
      <c r="E35" s="145" t="s">
        <v>495</v>
      </c>
      <c r="F35" s="147">
        <v>994.17</v>
      </c>
      <c r="G3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Truck</v>
      </c>
      <c r="H35" s="148"/>
    </row>
    <row r="36" spans="1:8">
      <c r="A36" s="136">
        <v>190</v>
      </c>
      <c r="B36" s="145" t="s">
        <v>539</v>
      </c>
      <c r="C36" s="145" t="s">
        <v>290</v>
      </c>
      <c r="D36" s="146"/>
      <c r="E36" s="145" t="s">
        <v>495</v>
      </c>
      <c r="F36" s="147">
        <v>4788.83</v>
      </c>
      <c r="G3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Art Dept Trucking</v>
      </c>
      <c r="H36" s="148"/>
    </row>
    <row r="37" spans="1:8">
      <c r="A37" s="136">
        <v>186</v>
      </c>
      <c r="B37" s="145" t="s">
        <v>389</v>
      </c>
      <c r="C37" s="145" t="s">
        <v>291</v>
      </c>
      <c r="D37" s="146" t="s">
        <v>971</v>
      </c>
      <c r="E37" s="308" t="s">
        <v>989</v>
      </c>
      <c r="F37" s="147">
        <v>5088</v>
      </c>
      <c r="G3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Truck</v>
      </c>
      <c r="H37" s="148"/>
    </row>
    <row r="38" spans="1:8">
      <c r="A38" s="136">
        <v>127</v>
      </c>
      <c r="B38" s="145" t="s">
        <v>390</v>
      </c>
      <c r="C38" s="145" t="s">
        <v>293</v>
      </c>
      <c r="D38" s="146">
        <v>45492</v>
      </c>
      <c r="E38" s="145" t="s">
        <v>538</v>
      </c>
      <c r="F38" s="310">
        <v>6684.5</v>
      </c>
      <c r="G3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Van Rentals - Client/Agency/Chauffers</v>
      </c>
      <c r="H38" s="148"/>
    </row>
    <row r="39" spans="1:8">
      <c r="A39" s="136">
        <v>199</v>
      </c>
      <c r="B39" s="145" t="s">
        <v>391</v>
      </c>
      <c r="C39" s="145" t="s">
        <v>294</v>
      </c>
      <c r="D39" s="146"/>
      <c r="E39" s="229" t="s">
        <v>863</v>
      </c>
      <c r="F39" s="147">
        <v>5950</v>
      </c>
      <c r="G3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VTR Rental</v>
      </c>
      <c r="H39" s="148"/>
    </row>
    <row r="40" spans="1:8">
      <c r="A40" s="136">
        <v>110</v>
      </c>
      <c r="B40" s="145" t="s">
        <v>392</v>
      </c>
      <c r="C40" s="145" t="s">
        <v>295</v>
      </c>
      <c r="D40" s="146" t="s">
        <v>971</v>
      </c>
      <c r="E40" s="308" t="s">
        <v>989</v>
      </c>
      <c r="F40" s="147">
        <v>8500</v>
      </c>
      <c r="G4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Casting Director</v>
      </c>
      <c r="H40" s="148"/>
    </row>
    <row r="41" spans="1:8">
      <c r="A41" s="136">
        <v>111</v>
      </c>
      <c r="B41" s="145" t="s">
        <v>393</v>
      </c>
      <c r="C41" s="145" t="s">
        <v>296</v>
      </c>
      <c r="D41" s="146" t="s">
        <v>971</v>
      </c>
      <c r="E41" s="308" t="s">
        <v>989</v>
      </c>
      <c r="F41" s="147">
        <v>2500</v>
      </c>
      <c r="G4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Casting Facilities</v>
      </c>
      <c r="H41" s="148"/>
    </row>
    <row r="42" spans="1:8">
      <c r="A42" s="136">
        <v>217</v>
      </c>
      <c r="B42" s="145" t="s">
        <v>394</v>
      </c>
      <c r="C42" s="145" t="s">
        <v>297</v>
      </c>
      <c r="D42" s="146">
        <v>45485</v>
      </c>
      <c r="E42" s="145" t="s">
        <v>548</v>
      </c>
      <c r="F42" s="147">
        <v>595</v>
      </c>
      <c r="G4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Storage Space</v>
      </c>
      <c r="H42" s="148"/>
    </row>
    <row r="43" spans="1:8">
      <c r="A43" s="325">
        <v>217</v>
      </c>
      <c r="B43" s="326" t="s">
        <v>395</v>
      </c>
      <c r="C43" s="326" t="s">
        <v>298</v>
      </c>
      <c r="D43" s="256">
        <v>45484</v>
      </c>
      <c r="E43" s="326" t="s">
        <v>581</v>
      </c>
      <c r="F43" s="327">
        <v>1039.6500000000001</v>
      </c>
      <c r="G43" s="32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Storage Space</v>
      </c>
      <c r="H43" s="188"/>
    </row>
    <row r="44" spans="1:8">
      <c r="A44" s="136">
        <v>123</v>
      </c>
      <c r="B44" s="145" t="s">
        <v>396</v>
      </c>
      <c r="C44" s="145" t="s">
        <v>299</v>
      </c>
      <c r="D44" s="146"/>
      <c r="E44" s="146" t="s">
        <v>548</v>
      </c>
      <c r="F44" s="145">
        <v>712.55</v>
      </c>
      <c r="G4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Truck</v>
      </c>
      <c r="H44" s="148"/>
    </row>
    <row r="45" spans="1:8">
      <c r="A45" s="136">
        <v>126</v>
      </c>
      <c r="B45" s="145" t="s">
        <v>396</v>
      </c>
      <c r="C45" s="145" t="s">
        <v>299</v>
      </c>
      <c r="D45" s="146"/>
      <c r="E45" s="146" t="s">
        <v>548</v>
      </c>
      <c r="F45" s="145">
        <v>1046.0999999999999</v>
      </c>
      <c r="G4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Van Rentals</v>
      </c>
      <c r="H45" s="148"/>
    </row>
    <row r="46" spans="1:8">
      <c r="A46" s="136">
        <v>189</v>
      </c>
      <c r="B46" s="145" t="s">
        <v>396</v>
      </c>
      <c r="C46" s="145" t="s">
        <v>299</v>
      </c>
      <c r="D46" s="146"/>
      <c r="E46" s="146" t="s">
        <v>548</v>
      </c>
      <c r="F46" s="145">
        <v>1435.84</v>
      </c>
      <c r="G4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Stylist Ground Transport</v>
      </c>
      <c r="H46" s="148"/>
    </row>
    <row r="47" spans="1:8">
      <c r="A47" s="137">
        <v>114</v>
      </c>
      <c r="B47" s="145" t="s">
        <v>559</v>
      </c>
      <c r="C47" s="145" t="s">
        <v>300</v>
      </c>
      <c r="D47" s="152">
        <v>45495</v>
      </c>
      <c r="E47" s="145" t="s">
        <v>1030</v>
      </c>
      <c r="F47" s="147">
        <v>10000</v>
      </c>
      <c r="G4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Fees - House/Grocery Store</v>
      </c>
      <c r="H47" s="151"/>
    </row>
    <row r="48" spans="1:8">
      <c r="A48" s="136">
        <v>114</v>
      </c>
      <c r="B48" s="145" t="s">
        <v>560</v>
      </c>
      <c r="C48" s="145" t="s">
        <v>301</v>
      </c>
      <c r="D48" s="152">
        <v>45495</v>
      </c>
      <c r="E48" s="145" t="s">
        <v>568</v>
      </c>
      <c r="F48" s="272">
        <v>14125</v>
      </c>
      <c r="G4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Fees - House/Grocery Store</v>
      </c>
      <c r="H48" s="148"/>
    </row>
    <row r="49" spans="1:8">
      <c r="A49" s="136">
        <v>204</v>
      </c>
      <c r="B49" s="244" t="s">
        <v>1023</v>
      </c>
      <c r="C49" s="145" t="s">
        <v>302</v>
      </c>
      <c r="D49" s="304"/>
      <c r="E49" s="312" t="s">
        <v>1029</v>
      </c>
      <c r="F49" s="317">
        <v>2924.03</v>
      </c>
      <c r="G4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Supplies</v>
      </c>
      <c r="H49" s="148"/>
    </row>
    <row r="50" spans="1:8">
      <c r="A50" s="136">
        <v>108</v>
      </c>
      <c r="B50" s="244" t="s">
        <v>1022</v>
      </c>
      <c r="C50" s="145" t="s">
        <v>303</v>
      </c>
      <c r="D50" s="304"/>
      <c r="E50" s="312" t="s">
        <v>1029</v>
      </c>
      <c r="F50" s="147">
        <v>734.68</v>
      </c>
      <c r="G5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Working Meals</v>
      </c>
      <c r="H50" s="148"/>
    </row>
    <row r="51" spans="1:8">
      <c r="A51" s="136">
        <v>120</v>
      </c>
      <c r="B51" s="244" t="s">
        <v>1022</v>
      </c>
      <c r="C51" s="145" t="s">
        <v>303</v>
      </c>
      <c r="D51" s="146"/>
      <c r="E51" s="312" t="s">
        <v>1029</v>
      </c>
      <c r="F51" s="147">
        <v>213.4</v>
      </c>
      <c r="G5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Parking, Tolls, &amp; Gas</v>
      </c>
      <c r="H51" s="148"/>
    </row>
    <row r="52" spans="1:8">
      <c r="A52" s="136">
        <v>204</v>
      </c>
      <c r="B52" s="244" t="s">
        <v>1022</v>
      </c>
      <c r="C52" s="145" t="s">
        <v>303</v>
      </c>
      <c r="D52" s="146"/>
      <c r="E52" s="312" t="s">
        <v>1029</v>
      </c>
      <c r="F52" s="147">
        <v>22.72</v>
      </c>
      <c r="G5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Supplies</v>
      </c>
      <c r="H52" s="148"/>
    </row>
    <row r="53" spans="1:8">
      <c r="A53" s="136">
        <v>220</v>
      </c>
      <c r="B53" s="244" t="s">
        <v>1022</v>
      </c>
      <c r="C53" s="145" t="s">
        <v>303</v>
      </c>
      <c r="D53" s="146"/>
      <c r="E53" s="312" t="s">
        <v>1029</v>
      </c>
      <c r="F53" s="147">
        <v>539.37</v>
      </c>
      <c r="G5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DGA AD Letter</v>
      </c>
      <c r="H53" s="148"/>
    </row>
    <row r="54" spans="1:8">
      <c r="A54" s="136">
        <v>205</v>
      </c>
      <c r="B54" s="145" t="s">
        <v>397</v>
      </c>
      <c r="C54" s="145" t="s">
        <v>304</v>
      </c>
      <c r="D54" s="304"/>
      <c r="E54" s="242" t="s">
        <v>999</v>
      </c>
      <c r="F54" s="147">
        <v>2553.1999999999998</v>
      </c>
      <c r="G5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Supplies</v>
      </c>
      <c r="H54" s="148"/>
    </row>
    <row r="55" spans="1:8">
      <c r="A55" s="136">
        <v>182</v>
      </c>
      <c r="B55" s="145" t="s">
        <v>569</v>
      </c>
      <c r="C55" s="145" t="s">
        <v>305</v>
      </c>
      <c r="D55" s="146"/>
      <c r="E55" s="246" t="s">
        <v>999</v>
      </c>
      <c r="F55" s="147">
        <v>853</v>
      </c>
      <c r="G5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Set Dressing Rentals &amp; Purchases</v>
      </c>
      <c r="H55" s="151"/>
    </row>
    <row r="56" spans="1:8">
      <c r="A56" s="136">
        <v>211</v>
      </c>
      <c r="B56" s="145" t="s">
        <v>398</v>
      </c>
      <c r="C56" s="145" t="s">
        <v>306</v>
      </c>
      <c r="D56" s="146">
        <v>45495</v>
      </c>
      <c r="E56" s="145" t="s">
        <v>548</v>
      </c>
      <c r="F56" s="147">
        <v>1620</v>
      </c>
      <c r="G5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Hard Drives</v>
      </c>
      <c r="H56" s="148"/>
    </row>
    <row r="57" spans="1:8">
      <c r="A57" s="136">
        <v>195</v>
      </c>
      <c r="B57" s="145" t="s">
        <v>400</v>
      </c>
      <c r="C57" s="145" t="s">
        <v>307</v>
      </c>
      <c r="D57" s="146"/>
      <c r="E57" s="242" t="s">
        <v>999</v>
      </c>
      <c r="F57" s="147">
        <v>94.8</v>
      </c>
      <c r="G5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Lighting Rental</v>
      </c>
      <c r="H57" s="148"/>
    </row>
    <row r="58" spans="1:8">
      <c r="A58" s="136">
        <v>120</v>
      </c>
      <c r="B58" s="145" t="s">
        <v>561</v>
      </c>
      <c r="C58" s="145" t="s">
        <v>308</v>
      </c>
      <c r="D58" s="146">
        <v>45499</v>
      </c>
      <c r="E58" s="251" t="s">
        <v>379</v>
      </c>
      <c r="F58" s="147">
        <v>41</v>
      </c>
      <c r="G5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Parking, Tolls, &amp; Gas</v>
      </c>
      <c r="H58" s="148"/>
    </row>
    <row r="59" spans="1:8">
      <c r="A59" s="136">
        <v>114</v>
      </c>
      <c r="B59" s="145" t="s">
        <v>562</v>
      </c>
      <c r="C59" s="145" t="s">
        <v>309</v>
      </c>
      <c r="D59" s="146"/>
      <c r="E59" s="242" t="s">
        <v>999</v>
      </c>
      <c r="F59" s="147">
        <v>765.8</v>
      </c>
      <c r="G5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Fees - House/Grocery Store</v>
      </c>
      <c r="H59" s="148"/>
    </row>
    <row r="60" spans="1:8">
      <c r="A60" s="136">
        <v>71</v>
      </c>
      <c r="B60" s="145" t="s">
        <v>870</v>
      </c>
      <c r="C60" s="145" t="s">
        <v>310</v>
      </c>
      <c r="D60" s="146"/>
      <c r="E60" s="229" t="s">
        <v>863</v>
      </c>
      <c r="F60" s="147">
        <v>1300</v>
      </c>
      <c r="G6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Sound Mixer</v>
      </c>
      <c r="H60" s="148"/>
    </row>
    <row r="61" spans="1:8">
      <c r="A61" s="136">
        <v>194</v>
      </c>
      <c r="B61" s="145" t="s">
        <v>870</v>
      </c>
      <c r="C61" s="145" t="s">
        <v>310</v>
      </c>
      <c r="D61" s="146"/>
      <c r="E61" s="229" t="s">
        <v>863</v>
      </c>
      <c r="F61" s="147">
        <v>900</v>
      </c>
      <c r="G6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Sound Rental</v>
      </c>
      <c r="H61" s="148"/>
    </row>
    <row r="62" spans="1:8">
      <c r="A62" s="136">
        <v>217</v>
      </c>
      <c r="B62" s="145" t="s">
        <v>402</v>
      </c>
      <c r="C62" s="145" t="s">
        <v>311</v>
      </c>
      <c r="D62" s="256"/>
      <c r="E62" s="246" t="s">
        <v>999</v>
      </c>
      <c r="F62" s="147">
        <v>318.99</v>
      </c>
      <c r="G6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Storage Space</v>
      </c>
      <c r="H62" s="148"/>
    </row>
    <row r="63" spans="1:8">
      <c r="A63" s="136">
        <v>114</v>
      </c>
      <c r="B63" s="145" t="s">
        <v>577</v>
      </c>
      <c r="C63" s="145" t="s">
        <v>312</v>
      </c>
      <c r="D63" s="146"/>
      <c r="E63" s="242" t="s">
        <v>999</v>
      </c>
      <c r="F63" s="147">
        <v>2270</v>
      </c>
      <c r="G6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Fees - House/Grocery Store</v>
      </c>
      <c r="H63" s="148"/>
    </row>
    <row r="64" spans="1:8">
      <c r="A64" s="136">
        <v>205</v>
      </c>
      <c r="B64" s="145" t="s">
        <v>577</v>
      </c>
      <c r="C64" s="145" t="s">
        <v>312</v>
      </c>
      <c r="D64" s="146"/>
      <c r="E64" s="246" t="s">
        <v>999</v>
      </c>
      <c r="F64" s="147">
        <v>1025.2</v>
      </c>
      <c r="G6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Supplies</v>
      </c>
      <c r="H64" s="148"/>
    </row>
    <row r="65" spans="1:8">
      <c r="A65" s="136">
        <v>102</v>
      </c>
      <c r="B65" s="145" t="s">
        <v>401</v>
      </c>
      <c r="C65" s="145" t="s">
        <v>313</v>
      </c>
      <c r="D65" s="146"/>
      <c r="E65" s="217" t="s">
        <v>548</v>
      </c>
      <c r="F65" s="147">
        <v>1793</v>
      </c>
      <c r="G6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Client Agency - Giftbags, Dinner, Gifts</v>
      </c>
      <c r="H65" s="148"/>
    </row>
    <row r="66" spans="1:8">
      <c r="A66" s="136">
        <v>222</v>
      </c>
      <c r="B66" s="145" t="s">
        <v>399</v>
      </c>
      <c r="C66" s="145" t="s">
        <v>314</v>
      </c>
      <c r="D66" s="146"/>
      <c r="E66" s="246" t="s">
        <v>999</v>
      </c>
      <c r="F66" s="147">
        <v>380</v>
      </c>
      <c r="G6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Portable Wifi</v>
      </c>
      <c r="H66" s="148"/>
    </row>
    <row r="67" spans="1:8">
      <c r="A67" s="136">
        <v>204</v>
      </c>
      <c r="B67" s="145" t="s">
        <v>563</v>
      </c>
      <c r="C67" s="145" t="s">
        <v>315</v>
      </c>
      <c r="D67" s="152"/>
      <c r="E67" s="149" t="s">
        <v>548</v>
      </c>
      <c r="F67" s="147">
        <v>136</v>
      </c>
      <c r="G6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Supplies</v>
      </c>
      <c r="H67" s="151"/>
    </row>
    <row r="68" spans="1:8">
      <c r="A68" s="136">
        <v>200</v>
      </c>
      <c r="B68" s="145" t="s">
        <v>590</v>
      </c>
      <c r="C68" s="145" t="s">
        <v>316</v>
      </c>
      <c r="D68" s="256"/>
      <c r="E68" s="246" t="s">
        <v>999</v>
      </c>
      <c r="F68" s="147">
        <v>965</v>
      </c>
      <c r="G6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Walkie Talkie Rental</v>
      </c>
      <c r="H68" s="148"/>
    </row>
    <row r="69" spans="1:8">
      <c r="A69" s="136">
        <v>113</v>
      </c>
      <c r="B69" s="145" t="s">
        <v>970</v>
      </c>
      <c r="C69" s="145" t="s">
        <v>317</v>
      </c>
      <c r="D69" s="146">
        <v>45493</v>
      </c>
      <c r="E69" s="145" t="s">
        <v>548</v>
      </c>
      <c r="F69" s="147">
        <v>76.67</v>
      </c>
      <c r="G6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Scouting Expenses</v>
      </c>
      <c r="H69" s="148"/>
    </row>
    <row r="70" spans="1:8">
      <c r="A70" s="136">
        <v>115</v>
      </c>
      <c r="B70" s="145" t="s">
        <v>992</v>
      </c>
      <c r="C70" s="145" t="s">
        <v>318</v>
      </c>
      <c r="D70" s="146">
        <v>45490</v>
      </c>
      <c r="E70" s="145" t="s">
        <v>548</v>
      </c>
      <c r="F70" s="147">
        <v>423</v>
      </c>
      <c r="G7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Permit Fees</v>
      </c>
      <c r="H70" s="148"/>
    </row>
    <row r="71" spans="1:8">
      <c r="A71" s="136">
        <v>5</v>
      </c>
      <c r="B71" s="145" t="s">
        <v>759</v>
      </c>
      <c r="C71" s="145" t="s">
        <v>319</v>
      </c>
      <c r="D71" s="212"/>
      <c r="E71" s="226" t="s">
        <v>755</v>
      </c>
      <c r="F71" s="147">
        <v>686.9</v>
      </c>
      <c r="G7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1st AC</v>
      </c>
      <c r="H71" s="148"/>
    </row>
    <row r="72" spans="1:8">
      <c r="A72" s="136">
        <v>55</v>
      </c>
      <c r="B72" s="145" t="s">
        <v>759</v>
      </c>
      <c r="C72" s="145" t="s">
        <v>319</v>
      </c>
      <c r="D72" s="212"/>
      <c r="E72" s="226" t="s">
        <v>755</v>
      </c>
      <c r="F72" s="147">
        <v>1785.96</v>
      </c>
      <c r="G7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1st AC</v>
      </c>
      <c r="H72" s="148"/>
    </row>
    <row r="73" spans="1:8">
      <c r="A73" s="136">
        <v>193</v>
      </c>
      <c r="B73" s="145" t="s">
        <v>759</v>
      </c>
      <c r="C73" s="145" t="s">
        <v>319</v>
      </c>
      <c r="D73" s="146"/>
      <c r="E73" s="206" t="s">
        <v>755</v>
      </c>
      <c r="F73" s="147">
        <v>2115</v>
      </c>
      <c r="G7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Camera Rental</v>
      </c>
      <c r="H73" s="148"/>
    </row>
    <row r="74" spans="1:8">
      <c r="A74" s="136">
        <v>149</v>
      </c>
      <c r="B74" s="145" t="s">
        <v>1025</v>
      </c>
      <c r="C74" s="145" t="s">
        <v>320</v>
      </c>
      <c r="D74" s="146">
        <v>45512</v>
      </c>
      <c r="E74" s="145" t="s">
        <v>1028</v>
      </c>
      <c r="F74" s="147">
        <v>5757.95</v>
      </c>
      <c r="G7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Misc. Costs</v>
      </c>
      <c r="H74" s="148"/>
    </row>
    <row r="75" spans="1:8">
      <c r="A75" s="137">
        <v>27</v>
      </c>
      <c r="B75" s="145" t="s">
        <v>673</v>
      </c>
      <c r="C75" s="145" t="s">
        <v>321</v>
      </c>
      <c r="D75" s="195"/>
      <c r="E75" s="196" t="s">
        <v>676</v>
      </c>
      <c r="F75" s="147">
        <v>420</v>
      </c>
      <c r="G7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Stylist Assistant</v>
      </c>
      <c r="H75" s="148"/>
    </row>
    <row r="76" spans="1:8">
      <c r="A76" s="137">
        <v>77</v>
      </c>
      <c r="B76" s="145" t="s">
        <v>673</v>
      </c>
      <c r="C76" s="145" t="s">
        <v>321</v>
      </c>
      <c r="D76" s="195"/>
      <c r="E76" s="196" t="s">
        <v>676</v>
      </c>
      <c r="F76" s="147">
        <v>751.51</v>
      </c>
      <c r="G7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Stylist Assistant</v>
      </c>
      <c r="H76" s="148"/>
    </row>
    <row r="77" spans="1:8">
      <c r="A77" s="137">
        <v>57</v>
      </c>
      <c r="B77" s="145" t="s">
        <v>564</v>
      </c>
      <c r="C77" s="145" t="s">
        <v>322</v>
      </c>
      <c r="D77" s="195"/>
      <c r="E77" s="196" t="s">
        <v>676</v>
      </c>
      <c r="F77" s="147">
        <v>1228.5</v>
      </c>
      <c r="G7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Phantom Tech</v>
      </c>
      <c r="H77" s="148"/>
    </row>
    <row r="78" spans="1:8">
      <c r="A78" s="136">
        <v>4</v>
      </c>
      <c r="B78" s="145" t="s">
        <v>597</v>
      </c>
      <c r="C78" s="145" t="s">
        <v>323</v>
      </c>
      <c r="D78" s="195"/>
      <c r="E78" s="196" t="s">
        <v>676</v>
      </c>
      <c r="F78" s="147">
        <v>4200</v>
      </c>
      <c r="G7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2nd Unit DP</v>
      </c>
      <c r="H78" s="148"/>
    </row>
    <row r="79" spans="1:8">
      <c r="A79" s="136">
        <v>54</v>
      </c>
      <c r="B79" s="145" t="s">
        <v>597</v>
      </c>
      <c r="C79" s="145" t="s">
        <v>323</v>
      </c>
      <c r="D79" s="195"/>
      <c r="E79" s="196" t="s">
        <v>676</v>
      </c>
      <c r="F79" s="147">
        <v>6965</v>
      </c>
      <c r="G7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2nd Unit DP</v>
      </c>
      <c r="H79" s="148"/>
    </row>
    <row r="80" spans="1:8">
      <c r="A80" s="136">
        <v>193</v>
      </c>
      <c r="B80" s="145" t="s">
        <v>597</v>
      </c>
      <c r="C80" s="145" t="s">
        <v>323</v>
      </c>
      <c r="D80" s="195"/>
      <c r="E80" s="196" t="s">
        <v>676</v>
      </c>
      <c r="F80" s="147">
        <v>200</v>
      </c>
      <c r="G8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Camera Rental</v>
      </c>
      <c r="H80" s="148"/>
    </row>
    <row r="81" spans="1:8">
      <c r="A81" s="136">
        <v>99</v>
      </c>
      <c r="B81" s="145" t="s">
        <v>598</v>
      </c>
      <c r="C81" s="145" t="s">
        <v>324</v>
      </c>
      <c r="D81" s="195"/>
      <c r="E81" s="196" t="s">
        <v>676</v>
      </c>
      <c r="F81" s="147">
        <v>685.42</v>
      </c>
      <c r="G8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81" s="148"/>
    </row>
    <row r="82" spans="1:8">
      <c r="A82" s="136">
        <v>39</v>
      </c>
      <c r="B82" s="145" t="s">
        <v>683</v>
      </c>
      <c r="C82" s="145" t="s">
        <v>325</v>
      </c>
      <c r="D82" s="195"/>
      <c r="E82" s="196" t="s">
        <v>676</v>
      </c>
      <c r="F82" s="147">
        <v>4600</v>
      </c>
      <c r="G8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Commercial Coordinator</v>
      </c>
      <c r="H82" s="148"/>
    </row>
    <row r="83" spans="1:8">
      <c r="A83" s="136">
        <v>89</v>
      </c>
      <c r="B83" s="145" t="s">
        <v>683</v>
      </c>
      <c r="C83" s="145" t="s">
        <v>325</v>
      </c>
      <c r="D83" s="195"/>
      <c r="E83" s="196" t="s">
        <v>676</v>
      </c>
      <c r="F83" s="147">
        <v>1500</v>
      </c>
      <c r="G8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Commercial Coordinator</v>
      </c>
      <c r="H83" s="148"/>
    </row>
    <row r="84" spans="1:8">
      <c r="A84" s="136">
        <v>49</v>
      </c>
      <c r="B84" s="145" t="s">
        <v>421</v>
      </c>
      <c r="C84" s="145" t="s">
        <v>326</v>
      </c>
      <c r="D84" s="192"/>
      <c r="E84" s="193" t="s">
        <v>672</v>
      </c>
      <c r="F84" s="147">
        <v>595</v>
      </c>
      <c r="G8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84" s="148"/>
    </row>
    <row r="85" spans="1:8">
      <c r="A85" s="136">
        <v>99</v>
      </c>
      <c r="B85" s="145" t="s">
        <v>421</v>
      </c>
      <c r="C85" s="145" t="s">
        <v>326</v>
      </c>
      <c r="D85" s="192"/>
      <c r="E85" s="193" t="s">
        <v>672</v>
      </c>
      <c r="F85" s="147">
        <v>420</v>
      </c>
      <c r="G8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85" s="148"/>
    </row>
    <row r="86" spans="1:8">
      <c r="A86" s="137">
        <v>49</v>
      </c>
      <c r="B86" s="149" t="s">
        <v>671</v>
      </c>
      <c r="C86" s="145" t="s">
        <v>327</v>
      </c>
      <c r="D86" s="321"/>
      <c r="E86" s="233" t="s">
        <v>672</v>
      </c>
      <c r="F86" s="150">
        <v>1120</v>
      </c>
      <c r="G8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86" s="148"/>
    </row>
    <row r="87" spans="1:8">
      <c r="A87" s="137">
        <v>99</v>
      </c>
      <c r="B87" s="149" t="s">
        <v>671</v>
      </c>
      <c r="C87" s="145" t="s">
        <v>327</v>
      </c>
      <c r="D87" s="194"/>
      <c r="E87" s="193" t="s">
        <v>672</v>
      </c>
      <c r="F87" s="150">
        <v>956.67</v>
      </c>
      <c r="G8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87" s="148"/>
    </row>
    <row r="88" spans="1:8">
      <c r="A88" s="136">
        <v>68</v>
      </c>
      <c r="B88" s="145" t="s">
        <v>789</v>
      </c>
      <c r="C88" s="145" t="s">
        <v>328</v>
      </c>
      <c r="D88" s="210"/>
      <c r="E88" s="213" t="s">
        <v>755</v>
      </c>
      <c r="F88" s="147">
        <v>1470.8</v>
      </c>
      <c r="G8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3rd Grip</v>
      </c>
      <c r="H88" s="148"/>
    </row>
    <row r="89" spans="1:8">
      <c r="A89" s="136">
        <v>173</v>
      </c>
      <c r="B89" s="145" t="s">
        <v>403</v>
      </c>
      <c r="C89" s="145" t="s">
        <v>277</v>
      </c>
      <c r="D89" s="301"/>
      <c r="E89" s="234" t="s">
        <v>676</v>
      </c>
      <c r="F89" s="147">
        <v>1166</v>
      </c>
      <c r="G8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Set Dresser</v>
      </c>
      <c r="H89" s="148"/>
    </row>
    <row r="90" spans="1:8">
      <c r="A90" s="136">
        <v>179</v>
      </c>
      <c r="B90" s="145" t="s">
        <v>404</v>
      </c>
      <c r="C90" s="145" t="s">
        <v>329</v>
      </c>
      <c r="D90" s="301"/>
      <c r="E90" s="234" t="s">
        <v>676</v>
      </c>
      <c r="F90" s="147">
        <v>1233.75</v>
      </c>
      <c r="G9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Stylist Assists</v>
      </c>
      <c r="H90" s="148"/>
    </row>
    <row r="91" spans="1:8">
      <c r="A91" s="136">
        <v>11</v>
      </c>
      <c r="B91" s="145" t="s">
        <v>405</v>
      </c>
      <c r="C91" s="145" t="s">
        <v>330</v>
      </c>
      <c r="D91" s="210"/>
      <c r="E91" s="213" t="s">
        <v>755</v>
      </c>
      <c r="F91" s="147">
        <v>605</v>
      </c>
      <c r="G9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Gaffer</v>
      </c>
      <c r="H91" s="148"/>
    </row>
    <row r="92" spans="1:8">
      <c r="A92" s="136">
        <v>61</v>
      </c>
      <c r="B92" s="145" t="s">
        <v>405</v>
      </c>
      <c r="C92" s="145" t="s">
        <v>330</v>
      </c>
      <c r="D92" s="208"/>
      <c r="E92" s="209" t="s">
        <v>755</v>
      </c>
      <c r="F92" s="147">
        <v>1693.8</v>
      </c>
      <c r="G9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Gaffer</v>
      </c>
      <c r="H92" s="148"/>
    </row>
    <row r="93" spans="1:8">
      <c r="A93" s="136">
        <v>174</v>
      </c>
      <c r="B93" s="145" t="s">
        <v>406</v>
      </c>
      <c r="C93" s="145" t="s">
        <v>331</v>
      </c>
      <c r="D93" s="195"/>
      <c r="E93" s="196" t="s">
        <v>676</v>
      </c>
      <c r="F93" s="147">
        <v>829</v>
      </c>
      <c r="G9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Set Dresser</v>
      </c>
      <c r="H93" s="148"/>
    </row>
    <row r="94" spans="1:8">
      <c r="A94" s="136">
        <v>63</v>
      </c>
      <c r="B94" s="145" t="s">
        <v>407</v>
      </c>
      <c r="C94" s="145" t="s">
        <v>332</v>
      </c>
      <c r="D94" s="210"/>
      <c r="E94" s="209" t="s">
        <v>755</v>
      </c>
      <c r="F94" s="147">
        <v>1418.2</v>
      </c>
      <c r="G9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3rd Electric</v>
      </c>
      <c r="H94" s="148"/>
    </row>
    <row r="95" spans="1:8">
      <c r="A95" s="136">
        <v>97</v>
      </c>
      <c r="B95" s="145" t="s">
        <v>408</v>
      </c>
      <c r="C95" s="145" t="s">
        <v>333</v>
      </c>
      <c r="D95" s="195"/>
      <c r="E95" s="196" t="s">
        <v>676</v>
      </c>
      <c r="F95" s="205">
        <v>632.20000000000005</v>
      </c>
      <c r="G9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Teamsters</v>
      </c>
      <c r="H95" s="148"/>
    </row>
    <row r="96" spans="1:8">
      <c r="A96" s="136">
        <v>65</v>
      </c>
      <c r="B96" s="145" t="s">
        <v>409</v>
      </c>
      <c r="C96" s="145" t="s">
        <v>334</v>
      </c>
      <c r="D96" s="195"/>
      <c r="E96" s="196" t="s">
        <v>676</v>
      </c>
      <c r="F96" s="205">
        <v>250</v>
      </c>
      <c r="G9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Package Truck Driver</v>
      </c>
      <c r="H96" s="148"/>
    </row>
    <row r="97" spans="1:8">
      <c r="A97" s="136">
        <v>56</v>
      </c>
      <c r="B97" s="145" t="s">
        <v>869</v>
      </c>
      <c r="C97" s="145" t="s">
        <v>335</v>
      </c>
      <c r="D97" s="146"/>
      <c r="E97" s="245" t="s">
        <v>863</v>
      </c>
      <c r="F97" s="147">
        <v>1178.8</v>
      </c>
      <c r="G9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2nd AC</v>
      </c>
      <c r="H97" s="148"/>
    </row>
    <row r="98" spans="1:8">
      <c r="A98" s="136">
        <v>73</v>
      </c>
      <c r="B98" s="145" t="s">
        <v>410</v>
      </c>
      <c r="C98" s="145" t="s">
        <v>336</v>
      </c>
      <c r="D98" s="195"/>
      <c r="E98" s="196" t="s">
        <v>676</v>
      </c>
      <c r="F98" s="147">
        <v>1280</v>
      </c>
      <c r="G9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Key Hair/Makeup</v>
      </c>
      <c r="H98" s="148"/>
    </row>
    <row r="99" spans="1:8">
      <c r="A99" s="136">
        <v>62</v>
      </c>
      <c r="B99" s="145" t="s">
        <v>693</v>
      </c>
      <c r="C99" s="145" t="s">
        <v>337</v>
      </c>
      <c r="D99" s="195"/>
      <c r="E99" s="196" t="s">
        <v>676</v>
      </c>
      <c r="F99" s="147">
        <v>1415.92</v>
      </c>
      <c r="G9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BB Electric</v>
      </c>
      <c r="H99" s="148"/>
    </row>
    <row r="100" spans="1:8">
      <c r="A100" s="136">
        <v>174</v>
      </c>
      <c r="B100" s="145" t="s">
        <v>411</v>
      </c>
      <c r="C100" s="145" t="s">
        <v>338</v>
      </c>
      <c r="D100" s="195"/>
      <c r="E100" s="196" t="s">
        <v>676</v>
      </c>
      <c r="F100" s="147">
        <v>734</v>
      </c>
      <c r="G10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Set Dresser</v>
      </c>
      <c r="H100" s="148"/>
    </row>
    <row r="101" spans="1:8">
      <c r="A101" s="136">
        <v>65</v>
      </c>
      <c r="B101" s="145" t="s">
        <v>696</v>
      </c>
      <c r="C101" s="145" t="s">
        <v>339</v>
      </c>
      <c r="D101" s="195"/>
      <c r="E101" s="196" t="s">
        <v>676</v>
      </c>
      <c r="F101" s="147">
        <v>1210</v>
      </c>
      <c r="G10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Package Truck Driver</v>
      </c>
      <c r="H101" s="148"/>
    </row>
    <row r="102" spans="1:8">
      <c r="A102" s="136">
        <v>177</v>
      </c>
      <c r="B102" s="145" t="s">
        <v>412</v>
      </c>
      <c r="C102" s="145" t="s">
        <v>340</v>
      </c>
      <c r="D102" s="195"/>
      <c r="E102" s="196" t="s">
        <v>676</v>
      </c>
      <c r="F102" s="147">
        <v>440</v>
      </c>
      <c r="G10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Stylist Assistant Prep Day</v>
      </c>
      <c r="H102" s="148"/>
    </row>
    <row r="103" spans="1:8">
      <c r="A103" s="136">
        <v>179</v>
      </c>
      <c r="B103" s="145" t="s">
        <v>412</v>
      </c>
      <c r="C103" s="145" t="s">
        <v>340</v>
      </c>
      <c r="D103" s="195"/>
      <c r="E103" s="196" t="s">
        <v>676</v>
      </c>
      <c r="F103" s="147">
        <v>1265</v>
      </c>
      <c r="G10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Stylist Assists</v>
      </c>
      <c r="H103" s="148"/>
    </row>
    <row r="104" spans="1:8">
      <c r="A104" s="136">
        <v>91</v>
      </c>
      <c r="B104" s="145" t="s">
        <v>413</v>
      </c>
      <c r="C104" s="145" t="s">
        <v>341</v>
      </c>
      <c r="D104" s="195"/>
      <c r="E104" s="196" t="s">
        <v>676</v>
      </c>
      <c r="F104" s="147">
        <v>1300</v>
      </c>
      <c r="G10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2nd AD</v>
      </c>
      <c r="H104" s="148"/>
    </row>
    <row r="105" spans="1:8">
      <c r="A105" s="136">
        <v>3</v>
      </c>
      <c r="B105" s="145" t="s">
        <v>414</v>
      </c>
      <c r="C105" s="145" t="s">
        <v>342</v>
      </c>
      <c r="D105" s="320"/>
      <c r="E105" s="324" t="s">
        <v>996</v>
      </c>
      <c r="F105" s="147">
        <v>8750</v>
      </c>
      <c r="G10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Director of Photography</v>
      </c>
      <c r="H105" s="148"/>
    </row>
    <row r="106" spans="1:8">
      <c r="A106" s="136">
        <v>53</v>
      </c>
      <c r="B106" s="145" t="s">
        <v>414</v>
      </c>
      <c r="C106" s="145" t="s">
        <v>342</v>
      </c>
      <c r="D106" s="320"/>
      <c r="E106" s="324" t="s">
        <v>996</v>
      </c>
      <c r="F106" s="147">
        <v>8750</v>
      </c>
      <c r="G10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Director of Photography</v>
      </c>
      <c r="H106" s="148"/>
    </row>
    <row r="107" spans="1:8">
      <c r="A107" s="136">
        <v>5</v>
      </c>
      <c r="B107" s="145" t="s">
        <v>415</v>
      </c>
      <c r="C107" s="145" t="s">
        <v>343</v>
      </c>
      <c r="D107" s="207"/>
      <c r="E107" s="226" t="s">
        <v>755</v>
      </c>
      <c r="F107" s="147">
        <v>686.9</v>
      </c>
      <c r="G10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1st AC</v>
      </c>
      <c r="H107" s="148"/>
    </row>
    <row r="108" spans="1:8">
      <c r="A108" s="136">
        <v>55</v>
      </c>
      <c r="B108" s="145" t="s">
        <v>415</v>
      </c>
      <c r="C108" s="145" t="s">
        <v>343</v>
      </c>
      <c r="D108" s="207"/>
      <c r="E108" s="206" t="s">
        <v>755</v>
      </c>
      <c r="F108" s="147">
        <v>1528.36</v>
      </c>
      <c r="G10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1st AC</v>
      </c>
      <c r="H108" s="148"/>
    </row>
    <row r="109" spans="1:8">
      <c r="A109" s="136">
        <v>193</v>
      </c>
      <c r="B109" s="145" t="s">
        <v>415</v>
      </c>
      <c r="C109" s="145" t="s">
        <v>343</v>
      </c>
      <c r="D109" s="207"/>
      <c r="E109" s="206" t="s">
        <v>755</v>
      </c>
      <c r="F109" s="147">
        <v>1525</v>
      </c>
      <c r="G10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Camera Rental</v>
      </c>
      <c r="H109" s="148"/>
    </row>
    <row r="110" spans="1:8">
      <c r="A110" s="136">
        <v>180</v>
      </c>
      <c r="B110" s="145" t="s">
        <v>416</v>
      </c>
      <c r="C110" s="145" t="s">
        <v>344</v>
      </c>
      <c r="D110" s="212"/>
      <c r="E110" s="229" t="s">
        <v>863</v>
      </c>
      <c r="F110" s="147">
        <v>726.12</v>
      </c>
      <c r="G11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SPFX Asst</v>
      </c>
      <c r="H110" s="148"/>
    </row>
    <row r="111" spans="1:8">
      <c r="A111" s="136">
        <v>169</v>
      </c>
      <c r="B111" s="145" t="s">
        <v>697</v>
      </c>
      <c r="C111" s="145" t="s">
        <v>345</v>
      </c>
      <c r="D111" s="195"/>
      <c r="E111" s="196" t="s">
        <v>676</v>
      </c>
      <c r="F111" s="147">
        <v>3122</v>
      </c>
      <c r="G11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Buyer/Shopper</v>
      </c>
      <c r="H111" s="148"/>
    </row>
    <row r="112" spans="1:8">
      <c r="A112" s="136">
        <v>68</v>
      </c>
      <c r="B112" s="145" t="s">
        <v>698</v>
      </c>
      <c r="C112" s="145" t="s">
        <v>346</v>
      </c>
      <c r="D112" s="195"/>
      <c r="E112" s="196" t="s">
        <v>676</v>
      </c>
      <c r="F112" s="147">
        <v>1375.47</v>
      </c>
      <c r="G11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3rd Grip</v>
      </c>
      <c r="H112" s="148"/>
    </row>
    <row r="113" spans="1:8">
      <c r="A113" s="136">
        <v>62</v>
      </c>
      <c r="B113" s="145" t="s">
        <v>757</v>
      </c>
      <c r="C113" s="145" t="s">
        <v>347</v>
      </c>
      <c r="D113" s="216"/>
      <c r="E113" s="213" t="s">
        <v>755</v>
      </c>
      <c r="F113" s="147">
        <v>1510.32</v>
      </c>
      <c r="G11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BB Electric</v>
      </c>
      <c r="H113" s="148"/>
    </row>
    <row r="114" spans="1:8">
      <c r="A114" s="136">
        <v>195</v>
      </c>
      <c r="B114" s="145" t="s">
        <v>757</v>
      </c>
      <c r="C114" s="145" t="s">
        <v>347</v>
      </c>
      <c r="D114" s="216"/>
      <c r="E114" s="213" t="s">
        <v>755</v>
      </c>
      <c r="F114" s="147">
        <v>150</v>
      </c>
      <c r="G11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Lighting Rental</v>
      </c>
      <c r="H114" s="148"/>
    </row>
    <row r="115" spans="1:8">
      <c r="A115" s="136">
        <v>99</v>
      </c>
      <c r="B115" s="145" t="s">
        <v>599</v>
      </c>
      <c r="C115" s="145" t="s">
        <v>348</v>
      </c>
      <c r="D115" s="303"/>
      <c r="E115" s="193" t="s">
        <v>672</v>
      </c>
      <c r="F115" s="147">
        <v>350</v>
      </c>
      <c r="G11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15" s="148"/>
    </row>
    <row r="116" spans="1:8">
      <c r="A116" s="136">
        <v>36</v>
      </c>
      <c r="B116" s="145" t="s">
        <v>734</v>
      </c>
      <c r="C116" s="145" t="s">
        <v>349</v>
      </c>
      <c r="D116" s="211"/>
      <c r="E116" s="203" t="s">
        <v>718</v>
      </c>
      <c r="F116" s="147">
        <v>750</v>
      </c>
      <c r="G11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ALM</v>
      </c>
      <c r="H116" s="148"/>
    </row>
    <row r="117" spans="1:8">
      <c r="A117" s="136">
        <v>86</v>
      </c>
      <c r="B117" s="145" t="s">
        <v>734</v>
      </c>
      <c r="C117" s="145" t="s">
        <v>349</v>
      </c>
      <c r="D117" s="211"/>
      <c r="E117" s="203" t="s">
        <v>718</v>
      </c>
      <c r="F117" s="147">
        <v>2500</v>
      </c>
      <c r="G11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ALM</v>
      </c>
      <c r="H117" s="148"/>
    </row>
    <row r="118" spans="1:8">
      <c r="A118" s="136">
        <v>37</v>
      </c>
      <c r="B118" s="145" t="s">
        <v>417</v>
      </c>
      <c r="C118" s="145" t="s">
        <v>350</v>
      </c>
      <c r="D118" s="201"/>
      <c r="E118" s="203" t="s">
        <v>718</v>
      </c>
      <c r="F118" s="147">
        <v>5250</v>
      </c>
      <c r="G11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Manager</v>
      </c>
      <c r="H118" s="148"/>
    </row>
    <row r="119" spans="1:8">
      <c r="A119" s="136">
        <v>87</v>
      </c>
      <c r="B119" s="145" t="s">
        <v>417</v>
      </c>
      <c r="C119" s="145" t="s">
        <v>350</v>
      </c>
      <c r="D119" s="201"/>
      <c r="E119" s="203" t="s">
        <v>718</v>
      </c>
      <c r="F119" s="147">
        <v>2250</v>
      </c>
      <c r="G11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Manager</v>
      </c>
      <c r="H119" s="148"/>
    </row>
    <row r="120" spans="1:8">
      <c r="A120" s="136">
        <v>16</v>
      </c>
      <c r="B120" s="145" t="s">
        <v>756</v>
      </c>
      <c r="C120" s="145" t="s">
        <v>351</v>
      </c>
      <c r="D120" s="216"/>
      <c r="E120" s="213" t="s">
        <v>755</v>
      </c>
      <c r="F120" s="147">
        <v>605.1</v>
      </c>
      <c r="G12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Key Grip</v>
      </c>
      <c r="H120" s="148"/>
    </row>
    <row r="121" spans="1:8">
      <c r="A121" s="136">
        <v>66</v>
      </c>
      <c r="B121" s="145" t="s">
        <v>756</v>
      </c>
      <c r="C121" s="145" t="s">
        <v>351</v>
      </c>
      <c r="D121" s="208"/>
      <c r="E121" s="213" t="s">
        <v>755</v>
      </c>
      <c r="F121" s="147">
        <v>1694.28</v>
      </c>
      <c r="G12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Key Grip</v>
      </c>
      <c r="H121" s="148"/>
    </row>
    <row r="122" spans="1:8">
      <c r="A122" s="136">
        <v>196</v>
      </c>
      <c r="B122" s="145" t="s">
        <v>756</v>
      </c>
      <c r="C122" s="145" t="s">
        <v>351</v>
      </c>
      <c r="D122" s="210"/>
      <c r="E122" s="213" t="s">
        <v>755</v>
      </c>
      <c r="F122" s="147">
        <v>625</v>
      </c>
      <c r="G12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Grip Rental</v>
      </c>
      <c r="H122" s="148"/>
    </row>
    <row r="123" spans="1:8">
      <c r="A123" s="136">
        <v>78</v>
      </c>
      <c r="B123" s="244" t="s">
        <v>868</v>
      </c>
      <c r="C123" s="145" t="s">
        <v>352</v>
      </c>
      <c r="D123" s="202"/>
      <c r="E123" s="245" t="s">
        <v>863</v>
      </c>
      <c r="F123" s="147">
        <v>1437.12</v>
      </c>
      <c r="G12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Script Supervisor</v>
      </c>
      <c r="H123" s="148"/>
    </row>
    <row r="124" spans="1:8">
      <c r="A124" s="136"/>
      <c r="B124" s="145"/>
      <c r="C124" s="145" t="s">
        <v>352</v>
      </c>
      <c r="D124" s="202"/>
      <c r="E124" s="145"/>
      <c r="F124" s="147"/>
      <c r="G12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24" s="148"/>
    </row>
    <row r="125" spans="1:8">
      <c r="A125" s="136">
        <v>172</v>
      </c>
      <c r="B125" s="145" t="s">
        <v>739</v>
      </c>
      <c r="C125" s="145" t="s">
        <v>353</v>
      </c>
      <c r="D125" s="211"/>
      <c r="E125" s="214" t="s">
        <v>718</v>
      </c>
      <c r="F125" s="147">
        <v>1960</v>
      </c>
      <c r="G12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Driver/Set Dresser</v>
      </c>
      <c r="H125" s="148"/>
    </row>
    <row r="126" spans="1:8">
      <c r="A126" s="136">
        <v>81</v>
      </c>
      <c r="B126" s="145" t="s">
        <v>419</v>
      </c>
      <c r="C126" s="145" t="s">
        <v>354</v>
      </c>
      <c r="D126" s="201"/>
      <c r="E126" s="203" t="s">
        <v>718</v>
      </c>
      <c r="F126" s="147">
        <v>1543.02</v>
      </c>
      <c r="G12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VTR Operator</v>
      </c>
      <c r="H126" s="148"/>
    </row>
    <row r="127" spans="1:8">
      <c r="A127" s="136">
        <v>175</v>
      </c>
      <c r="B127" s="145" t="s">
        <v>758</v>
      </c>
      <c r="C127" s="145" t="s">
        <v>355</v>
      </c>
      <c r="D127" s="216"/>
      <c r="E127" s="228" t="s">
        <v>755</v>
      </c>
      <c r="F127" s="147">
        <v>1518</v>
      </c>
      <c r="G12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Prop Assistant</v>
      </c>
      <c r="H127" s="148"/>
    </row>
    <row r="128" spans="1:8">
      <c r="A128" s="145">
        <v>176</v>
      </c>
      <c r="B128" s="145" t="s">
        <v>420</v>
      </c>
      <c r="C128" s="145" t="s">
        <v>356</v>
      </c>
      <c r="D128" s="201"/>
      <c r="E128" s="203" t="s">
        <v>718</v>
      </c>
      <c r="F128" s="147">
        <v>1713.26</v>
      </c>
      <c r="G12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Art Dept Coordinator</v>
      </c>
      <c r="H128" s="148"/>
    </row>
    <row r="129" spans="1:8">
      <c r="A129" s="145">
        <v>68</v>
      </c>
      <c r="B129" s="145" t="s">
        <v>607</v>
      </c>
      <c r="C129" s="145" t="s">
        <v>357</v>
      </c>
      <c r="D129" s="211"/>
      <c r="E129" s="214" t="s">
        <v>718</v>
      </c>
      <c r="F129" s="147">
        <v>1418.2</v>
      </c>
      <c r="G12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3rd Grip</v>
      </c>
      <c r="H129" s="148"/>
    </row>
    <row r="130" spans="1:8">
      <c r="A130" s="145"/>
      <c r="B130" s="145" t="s">
        <v>422</v>
      </c>
      <c r="C130" s="145" t="s">
        <v>358</v>
      </c>
      <c r="D130" s="146"/>
      <c r="E130" s="217"/>
      <c r="F130" s="147"/>
      <c r="G13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30" s="311"/>
    </row>
    <row r="131" spans="1:8">
      <c r="A131" s="145">
        <v>171</v>
      </c>
      <c r="B131" s="145" t="s">
        <v>423</v>
      </c>
      <c r="C131" s="145" t="s">
        <v>359</v>
      </c>
      <c r="D131" s="216"/>
      <c r="E131" s="228" t="s">
        <v>755</v>
      </c>
      <c r="F131" s="147">
        <v>1753.26</v>
      </c>
      <c r="G13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Leadman</v>
      </c>
      <c r="H131" s="148"/>
    </row>
    <row r="132" spans="1:8">
      <c r="A132" s="145">
        <v>187</v>
      </c>
      <c r="B132" s="145" t="s">
        <v>424</v>
      </c>
      <c r="C132" s="145" t="s">
        <v>360</v>
      </c>
      <c r="D132" s="197"/>
      <c r="E132" s="198" t="s">
        <v>718</v>
      </c>
      <c r="F132" s="147">
        <v>1771.25</v>
      </c>
      <c r="G13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Props</v>
      </c>
      <c r="H132" s="148"/>
    </row>
    <row r="133" spans="1:8">
      <c r="A133" s="145">
        <v>202</v>
      </c>
      <c r="B133" s="145" t="s">
        <v>867</v>
      </c>
      <c r="C133" s="145" t="s">
        <v>361</v>
      </c>
      <c r="D133" s="146"/>
      <c r="E133" s="245" t="s">
        <v>863</v>
      </c>
      <c r="F133" s="147">
        <v>500</v>
      </c>
      <c r="G13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Slider</v>
      </c>
      <c r="H133" s="148"/>
    </row>
    <row r="134" spans="1:8">
      <c r="A134" s="136">
        <v>63</v>
      </c>
      <c r="B134" s="145" t="s">
        <v>425</v>
      </c>
      <c r="C134" s="145" t="s">
        <v>362</v>
      </c>
      <c r="D134" s="201"/>
      <c r="E134" s="203" t="s">
        <v>718</v>
      </c>
      <c r="F134" s="147">
        <v>1370.88</v>
      </c>
      <c r="G13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3rd Electric</v>
      </c>
      <c r="H134" s="148"/>
    </row>
    <row r="135" spans="1:8">
      <c r="A135" s="145">
        <v>67</v>
      </c>
      <c r="B135" s="145" t="s">
        <v>426</v>
      </c>
      <c r="C135" s="145" t="s">
        <v>363</v>
      </c>
      <c r="D135" s="216"/>
      <c r="E135" s="213" t="s">
        <v>755</v>
      </c>
      <c r="F135" s="147">
        <v>1543.01</v>
      </c>
      <c r="G13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BB Grip</v>
      </c>
      <c r="H135" s="148"/>
    </row>
    <row r="136" spans="1:8">
      <c r="A136" s="136">
        <v>196</v>
      </c>
      <c r="B136" s="145" t="s">
        <v>426</v>
      </c>
      <c r="C136" s="145" t="s">
        <v>363</v>
      </c>
      <c r="D136" s="216"/>
      <c r="E136" s="213" t="s">
        <v>755</v>
      </c>
      <c r="F136" s="147">
        <v>405</v>
      </c>
      <c r="G13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Grip Rental</v>
      </c>
      <c r="H136" s="148"/>
    </row>
    <row r="137" spans="1:8">
      <c r="A137" s="136">
        <v>172</v>
      </c>
      <c r="B137" s="145" t="s">
        <v>427</v>
      </c>
      <c r="C137" s="145" t="s">
        <v>364</v>
      </c>
      <c r="D137" s="201"/>
      <c r="E137" s="203" t="s">
        <v>718</v>
      </c>
      <c r="F137" s="147">
        <v>362</v>
      </c>
      <c r="G13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Driver/Set Dresser</v>
      </c>
      <c r="H137" s="148"/>
    </row>
    <row r="138" spans="1:8">
      <c r="A138" s="136">
        <v>172</v>
      </c>
      <c r="B138" s="145" t="s">
        <v>428</v>
      </c>
      <c r="C138" s="145" t="s">
        <v>365</v>
      </c>
      <c r="D138" s="201"/>
      <c r="E138" s="203" t="s">
        <v>718</v>
      </c>
      <c r="F138" s="147">
        <v>397</v>
      </c>
      <c r="G13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Driver/Set Dresser</v>
      </c>
      <c r="H138" s="148"/>
    </row>
    <row r="139" spans="1:8">
      <c r="A139" s="136">
        <v>93</v>
      </c>
      <c r="B139" s="145" t="s">
        <v>429</v>
      </c>
      <c r="C139" s="145" t="s">
        <v>366</v>
      </c>
      <c r="D139" s="202"/>
      <c r="E139" s="312" t="s">
        <v>1029</v>
      </c>
      <c r="F139" s="147">
        <v>522.9</v>
      </c>
      <c r="G13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139" s="148"/>
    </row>
    <row r="140" spans="1:8">
      <c r="A140" s="136">
        <v>94</v>
      </c>
      <c r="B140" s="145" t="s">
        <v>1005</v>
      </c>
      <c r="C140" s="145" t="s">
        <v>367</v>
      </c>
      <c r="D140" s="202"/>
      <c r="E140" s="312" t="s">
        <v>1029</v>
      </c>
      <c r="F140" s="147">
        <v>434.38</v>
      </c>
      <c r="G14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Assistant</v>
      </c>
      <c r="H140" s="148"/>
    </row>
    <row r="141" spans="1:8">
      <c r="A141" s="136">
        <v>65</v>
      </c>
      <c r="B141" s="145" t="s">
        <v>731</v>
      </c>
      <c r="C141" s="145" t="s">
        <v>368</v>
      </c>
      <c r="D141" s="201"/>
      <c r="E141" s="203" t="s">
        <v>718</v>
      </c>
      <c r="F141" s="147">
        <v>1694.13</v>
      </c>
      <c r="G14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Package Truck Driver</v>
      </c>
      <c r="H141" s="148"/>
    </row>
    <row r="142" spans="1:8">
      <c r="A142" s="136">
        <v>56</v>
      </c>
      <c r="B142" s="145" t="s">
        <v>430</v>
      </c>
      <c r="C142" s="145" t="s">
        <v>369</v>
      </c>
      <c r="D142" s="201"/>
      <c r="E142" s="203" t="s">
        <v>718</v>
      </c>
      <c r="F142" s="147">
        <v>1456.38</v>
      </c>
      <c r="G14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2nd AC</v>
      </c>
      <c r="H142" s="148"/>
    </row>
    <row r="143" spans="1:8">
      <c r="A143" s="136">
        <v>72</v>
      </c>
      <c r="B143" s="145" t="s">
        <v>431</v>
      </c>
      <c r="C143" s="145" t="s">
        <v>370</v>
      </c>
      <c r="D143" s="201"/>
      <c r="E143" s="203" t="s">
        <v>718</v>
      </c>
      <c r="F143" s="147">
        <v>1410</v>
      </c>
      <c r="G14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Boom Operator</v>
      </c>
      <c r="H143" s="148"/>
    </row>
    <row r="144" spans="1:8">
      <c r="A144" s="136">
        <v>48</v>
      </c>
      <c r="B144" s="145" t="s">
        <v>602</v>
      </c>
      <c r="C144" s="145" t="s">
        <v>371</v>
      </c>
      <c r="D144" s="192"/>
      <c r="E144" s="193" t="s">
        <v>672</v>
      </c>
      <c r="F144" s="147">
        <v>1500</v>
      </c>
      <c r="G14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44" s="148"/>
    </row>
    <row r="145" spans="1:8">
      <c r="A145" s="136">
        <v>172</v>
      </c>
      <c r="B145" s="145" t="s">
        <v>725</v>
      </c>
      <c r="C145" s="145" t="s">
        <v>372</v>
      </c>
      <c r="D145" s="201"/>
      <c r="E145" s="203" t="s">
        <v>718</v>
      </c>
      <c r="F145" s="147">
        <v>362</v>
      </c>
      <c r="G14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Driver/Set Dresser</v>
      </c>
      <c r="H145" s="148"/>
    </row>
    <row r="146" spans="1:8">
      <c r="A146" s="136">
        <v>64</v>
      </c>
      <c r="B146" s="145" t="s">
        <v>719</v>
      </c>
      <c r="C146" s="145" t="s">
        <v>373</v>
      </c>
      <c r="D146" s="197"/>
      <c r="E146" s="198" t="s">
        <v>718</v>
      </c>
      <c r="F146" s="147">
        <v>707.71</v>
      </c>
      <c r="G14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4th Electric</v>
      </c>
      <c r="H146" s="148"/>
    </row>
    <row r="147" spans="1:8">
      <c r="A147" s="136">
        <v>69</v>
      </c>
      <c r="B147" s="145" t="s">
        <v>719</v>
      </c>
      <c r="C147" s="145" t="s">
        <v>373</v>
      </c>
      <c r="D147" s="201"/>
      <c r="E147" s="203" t="s">
        <v>718</v>
      </c>
      <c r="F147" s="147">
        <v>581.78</v>
      </c>
      <c r="G14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4th Grip</v>
      </c>
      <c r="H147" s="148"/>
    </row>
    <row r="148" spans="1:8">
      <c r="A148" s="136">
        <v>49</v>
      </c>
      <c r="B148" s="145" t="s">
        <v>603</v>
      </c>
      <c r="C148" s="145" t="s">
        <v>374</v>
      </c>
      <c r="D148" s="303"/>
      <c r="E148" s="258" t="s">
        <v>672</v>
      </c>
      <c r="F148" s="147">
        <v>280</v>
      </c>
      <c r="G14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48" s="148"/>
    </row>
    <row r="149" spans="1:8">
      <c r="A149" s="136">
        <v>99</v>
      </c>
      <c r="B149" s="145" t="s">
        <v>603</v>
      </c>
      <c r="C149" s="145" t="s">
        <v>374</v>
      </c>
      <c r="D149" s="192"/>
      <c r="E149" s="193" t="s">
        <v>672</v>
      </c>
      <c r="F149" s="147">
        <v>840</v>
      </c>
      <c r="G14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49" s="148"/>
    </row>
    <row r="150" spans="1:8">
      <c r="A150" s="136">
        <v>39</v>
      </c>
      <c r="B150" s="145" t="s">
        <v>604</v>
      </c>
      <c r="C150" s="145" t="s">
        <v>375</v>
      </c>
      <c r="D150" s="146"/>
      <c r="E150" s="200" t="s">
        <v>996</v>
      </c>
      <c r="F150" s="147">
        <v>5000</v>
      </c>
      <c r="G15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Commercial Coordinator</v>
      </c>
      <c r="H150" s="148"/>
    </row>
    <row r="151" spans="1:8">
      <c r="A151" s="136">
        <v>99</v>
      </c>
      <c r="B151" s="145" t="s">
        <v>605</v>
      </c>
      <c r="C151" s="145" t="s">
        <v>376</v>
      </c>
      <c r="D151" s="192"/>
      <c r="E151" s="233" t="s">
        <v>672</v>
      </c>
      <c r="F151" s="147">
        <v>840</v>
      </c>
      <c r="G15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51" s="148"/>
    </row>
    <row r="152" spans="1:8">
      <c r="A152" s="137">
        <v>38</v>
      </c>
      <c r="B152" s="145" t="s">
        <v>606</v>
      </c>
      <c r="C152" s="145" t="s">
        <v>377</v>
      </c>
      <c r="D152" s="199"/>
      <c r="E152" s="324" t="s">
        <v>996</v>
      </c>
      <c r="F152" s="147">
        <v>16924.95</v>
      </c>
      <c r="G15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Supervisor</v>
      </c>
      <c r="H152" s="151"/>
    </row>
    <row r="153" spans="1:8">
      <c r="A153" s="136">
        <v>88</v>
      </c>
      <c r="B153" s="145" t="s">
        <v>606</v>
      </c>
      <c r="C153" s="145" t="s">
        <v>377</v>
      </c>
      <c r="D153" s="199"/>
      <c r="E153" s="200" t="s">
        <v>996</v>
      </c>
      <c r="F153" s="147">
        <v>2986.76</v>
      </c>
      <c r="G15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Supervisor</v>
      </c>
      <c r="H153" s="148"/>
    </row>
    <row r="154" spans="1:8">
      <c r="A154" s="136">
        <v>2</v>
      </c>
      <c r="B154" s="218" t="s">
        <v>827</v>
      </c>
      <c r="C154" s="145" t="s">
        <v>615</v>
      </c>
      <c r="D154" s="146"/>
      <c r="E154" s="245" t="s">
        <v>863</v>
      </c>
      <c r="F154" s="227">
        <v>2678</v>
      </c>
      <c r="G15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Assistant Director</v>
      </c>
      <c r="H154" s="148"/>
    </row>
    <row r="155" spans="1:8">
      <c r="A155" s="136">
        <v>52</v>
      </c>
      <c r="B155" s="145" t="s">
        <v>827</v>
      </c>
      <c r="C155" s="145" t="s">
        <v>615</v>
      </c>
      <c r="D155" s="202"/>
      <c r="E155" s="259" t="s">
        <v>863</v>
      </c>
      <c r="F155" s="227">
        <v>3000</v>
      </c>
      <c r="G15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Assistant Director</v>
      </c>
      <c r="H155" s="148"/>
    </row>
    <row r="156" spans="1:8">
      <c r="A156" s="136">
        <v>49</v>
      </c>
      <c r="B156" s="145" t="s">
        <v>608</v>
      </c>
      <c r="C156" s="145" t="s">
        <v>616</v>
      </c>
      <c r="D156" s="195"/>
      <c r="E156" s="196" t="s">
        <v>676</v>
      </c>
      <c r="F156" s="147">
        <v>289</v>
      </c>
      <c r="G15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56" s="148"/>
    </row>
    <row r="157" spans="1:8">
      <c r="A157" s="136">
        <v>189</v>
      </c>
      <c r="B157" s="145" t="s">
        <v>609</v>
      </c>
      <c r="C157" s="145" t="s">
        <v>617</v>
      </c>
      <c r="D157" s="201"/>
      <c r="E157" s="203" t="s">
        <v>718</v>
      </c>
      <c r="F157" s="147">
        <v>1686.43</v>
      </c>
      <c r="G15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Food Stylist Ground Transport</v>
      </c>
      <c r="H157" s="148"/>
    </row>
    <row r="158" spans="1:8">
      <c r="A158" s="136">
        <v>99</v>
      </c>
      <c r="B158" s="145" t="s">
        <v>610</v>
      </c>
      <c r="C158" s="145" t="s">
        <v>618</v>
      </c>
      <c r="D158" s="192"/>
      <c r="E158" s="193" t="s">
        <v>672</v>
      </c>
      <c r="F158" s="147">
        <v>840</v>
      </c>
      <c r="G15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58" s="148"/>
    </row>
    <row r="159" spans="1:8">
      <c r="A159" s="136">
        <v>48</v>
      </c>
      <c r="B159" s="145" t="s">
        <v>611</v>
      </c>
      <c r="C159" s="145" t="s">
        <v>619</v>
      </c>
      <c r="D159" s="306"/>
      <c r="E159" s="233" t="s">
        <v>672</v>
      </c>
      <c r="F159" s="147">
        <v>280</v>
      </c>
      <c r="G15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59" s="148"/>
    </row>
    <row r="160" spans="1:8">
      <c r="A160" s="136">
        <v>49</v>
      </c>
      <c r="B160" s="145" t="s">
        <v>611</v>
      </c>
      <c r="C160" s="145" t="s">
        <v>619</v>
      </c>
      <c r="D160" s="306"/>
      <c r="E160" s="233" t="s">
        <v>672</v>
      </c>
      <c r="F160" s="147">
        <v>280</v>
      </c>
      <c r="G16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0" s="148"/>
    </row>
    <row r="161" spans="1:8">
      <c r="A161" s="136">
        <v>99</v>
      </c>
      <c r="B161" s="145" t="s">
        <v>611</v>
      </c>
      <c r="C161" s="145" t="s">
        <v>619</v>
      </c>
      <c r="D161" s="192"/>
      <c r="E161" s="193" t="s">
        <v>672</v>
      </c>
      <c r="F161" s="147">
        <v>863.33</v>
      </c>
      <c r="G16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1" s="148"/>
    </row>
    <row r="162" spans="1:8">
      <c r="A162" s="136">
        <v>99</v>
      </c>
      <c r="B162" s="145" t="s">
        <v>612</v>
      </c>
      <c r="C162" s="145" t="s">
        <v>620</v>
      </c>
      <c r="D162" s="192"/>
      <c r="E162" s="193" t="s">
        <v>672</v>
      </c>
      <c r="F162" s="147">
        <v>840</v>
      </c>
      <c r="G16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2" s="148"/>
    </row>
    <row r="163" spans="1:8">
      <c r="A163" s="136">
        <v>97</v>
      </c>
      <c r="B163" s="145" t="s">
        <v>613</v>
      </c>
      <c r="C163" s="145" t="s">
        <v>621</v>
      </c>
      <c r="D163" s="146"/>
      <c r="E163" s="245" t="s">
        <v>863</v>
      </c>
      <c r="F163" s="147">
        <v>481.05</v>
      </c>
      <c r="G16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Teamsters</v>
      </c>
      <c r="H163" s="148"/>
    </row>
    <row r="164" spans="1:8">
      <c r="A164" s="136">
        <v>48</v>
      </c>
      <c r="B164" s="145" t="s">
        <v>614</v>
      </c>
      <c r="C164" s="145" t="s">
        <v>622</v>
      </c>
      <c r="D164" s="192"/>
      <c r="E164" s="193" t="s">
        <v>672</v>
      </c>
      <c r="F164" s="147">
        <v>600</v>
      </c>
      <c r="G16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4" s="148"/>
    </row>
    <row r="165" spans="1:8">
      <c r="A165" s="219">
        <v>99</v>
      </c>
      <c r="B165" s="219" t="s">
        <v>614</v>
      </c>
      <c r="C165" s="219" t="s">
        <v>622</v>
      </c>
      <c r="D165" s="319"/>
      <c r="E165" s="323" t="s">
        <v>672</v>
      </c>
      <c r="F165" s="221">
        <v>1037.5</v>
      </c>
      <c r="G165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5" s="148"/>
    </row>
    <row r="166" spans="1:8">
      <c r="A166" s="219">
        <v>49</v>
      </c>
      <c r="B166" s="219" t="s">
        <v>418</v>
      </c>
      <c r="C166" s="219" t="s">
        <v>600</v>
      </c>
      <c r="D166" s="319"/>
      <c r="E166" s="323" t="s">
        <v>672</v>
      </c>
      <c r="F166" s="221">
        <v>840</v>
      </c>
      <c r="G166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6" s="148"/>
    </row>
    <row r="167" spans="1:8">
      <c r="A167" s="219">
        <v>99</v>
      </c>
      <c r="B167" s="219" t="s">
        <v>418</v>
      </c>
      <c r="C167" s="219" t="s">
        <v>600</v>
      </c>
      <c r="D167" s="319"/>
      <c r="E167" s="323" t="s">
        <v>672</v>
      </c>
      <c r="F167" s="221">
        <v>711.67</v>
      </c>
      <c r="G167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Assistants</v>
      </c>
      <c r="H167" s="148"/>
    </row>
    <row r="168" spans="1:8">
      <c r="A168" s="219">
        <v>58</v>
      </c>
      <c r="B168" s="220" t="s">
        <v>760</v>
      </c>
      <c r="C168" s="219" t="s">
        <v>623</v>
      </c>
      <c r="D168" s="302"/>
      <c r="E168" s="307" t="s">
        <v>755</v>
      </c>
      <c r="F168" s="221">
        <v>1998.03</v>
      </c>
      <c r="G168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DIT</v>
      </c>
      <c r="H168" s="148"/>
    </row>
    <row r="169" spans="1:8" s="215" customFormat="1">
      <c r="A169" s="219">
        <v>207</v>
      </c>
      <c r="B169" s="220" t="s">
        <v>760</v>
      </c>
      <c r="C169" s="219" t="s">
        <v>624</v>
      </c>
      <c r="D169" s="302"/>
      <c r="E169" s="307" t="s">
        <v>755</v>
      </c>
      <c r="F169" s="221">
        <v>1450</v>
      </c>
      <c r="G169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DIT Equipment</v>
      </c>
      <c r="H169" s="148"/>
    </row>
    <row r="170" spans="1:8">
      <c r="A170" s="219">
        <v>213</v>
      </c>
      <c r="B170" s="220" t="s">
        <v>760</v>
      </c>
      <c r="C170" s="219" t="s">
        <v>624</v>
      </c>
      <c r="D170" s="302"/>
      <c r="E170" s="307" t="s">
        <v>755</v>
      </c>
      <c r="F170" s="221">
        <v>725</v>
      </c>
      <c r="G170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Slingshot Dailies</v>
      </c>
      <c r="H170" s="148"/>
    </row>
    <row r="171" spans="1:8">
      <c r="A171" s="219">
        <v>1</v>
      </c>
      <c r="B171" s="300" t="s">
        <v>796</v>
      </c>
      <c r="C171" s="219" t="s">
        <v>625</v>
      </c>
      <c r="D171" s="222"/>
      <c r="E171" s="300" t="s">
        <v>435</v>
      </c>
      <c r="F171" s="221">
        <v>12000</v>
      </c>
      <c r="G171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Line Producer</v>
      </c>
      <c r="H171" s="148"/>
    </row>
    <row r="172" spans="1:8">
      <c r="A172" s="219">
        <v>51</v>
      </c>
      <c r="B172" s="300" t="s">
        <v>797</v>
      </c>
      <c r="C172" s="219" t="s">
        <v>625</v>
      </c>
      <c r="D172" s="222"/>
      <c r="E172" s="300" t="s">
        <v>435</v>
      </c>
      <c r="F172" s="221">
        <v>2400</v>
      </c>
      <c r="G172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Line Producer</v>
      </c>
      <c r="H172" s="148"/>
    </row>
    <row r="173" spans="1:8">
      <c r="A173" s="219">
        <v>26</v>
      </c>
      <c r="B173" s="300" t="s">
        <v>795</v>
      </c>
      <c r="C173" s="219" t="s">
        <v>626</v>
      </c>
      <c r="D173" s="222"/>
      <c r="E173" s="300" t="s">
        <v>435</v>
      </c>
      <c r="F173" s="221">
        <v>2700</v>
      </c>
      <c r="G173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Key Stylist</v>
      </c>
      <c r="H173" s="148"/>
    </row>
    <row r="174" spans="1:8">
      <c r="A174" s="219">
        <v>76</v>
      </c>
      <c r="B174" s="300" t="s">
        <v>795</v>
      </c>
      <c r="C174" s="219" t="s">
        <v>626</v>
      </c>
      <c r="D174" s="302"/>
      <c r="E174" s="300" t="s">
        <v>435</v>
      </c>
      <c r="F174" s="221">
        <v>2720</v>
      </c>
      <c r="G174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Key Stylist</v>
      </c>
      <c r="H174" s="148"/>
    </row>
    <row r="175" spans="1:8">
      <c r="A175" s="219">
        <v>142</v>
      </c>
      <c r="B175" s="300" t="s">
        <v>820</v>
      </c>
      <c r="C175" s="219" t="s">
        <v>627</v>
      </c>
      <c r="D175" s="222"/>
      <c r="E175" s="300" t="s">
        <v>435</v>
      </c>
      <c r="F175" s="221">
        <v>6000</v>
      </c>
      <c r="G175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75" s="148"/>
    </row>
    <row r="176" spans="1:8">
      <c r="A176" s="219">
        <v>142</v>
      </c>
      <c r="B176" s="244" t="s">
        <v>820</v>
      </c>
      <c r="C176" s="219" t="s">
        <v>628</v>
      </c>
      <c r="D176" s="222"/>
      <c r="E176" s="251"/>
      <c r="F176" s="221">
        <v>0</v>
      </c>
      <c r="G176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76" s="148"/>
    </row>
    <row r="177" spans="1:8">
      <c r="A177" s="219">
        <v>142</v>
      </c>
      <c r="B177" s="223" t="s">
        <v>820</v>
      </c>
      <c r="C177" s="219" t="s">
        <v>629</v>
      </c>
      <c r="D177" s="222"/>
      <c r="E177" s="223"/>
      <c r="F177" s="221">
        <v>0</v>
      </c>
      <c r="G177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77" s="148"/>
    </row>
    <row r="178" spans="1:8">
      <c r="A178" s="219">
        <v>142</v>
      </c>
      <c r="B178" s="223" t="s">
        <v>820</v>
      </c>
      <c r="C178" s="219" t="s">
        <v>629</v>
      </c>
      <c r="D178" s="222"/>
      <c r="E178" s="223"/>
      <c r="F178" s="221">
        <v>0</v>
      </c>
      <c r="G178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78" s="148"/>
    </row>
    <row r="179" spans="1:8">
      <c r="A179" s="219">
        <v>142</v>
      </c>
      <c r="B179" s="223" t="s">
        <v>820</v>
      </c>
      <c r="C179" s="219" t="s">
        <v>630</v>
      </c>
      <c r="D179" s="222"/>
      <c r="E179" s="223"/>
      <c r="F179" s="221">
        <v>0</v>
      </c>
      <c r="G179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79" s="148"/>
    </row>
    <row r="180" spans="1:8">
      <c r="A180" s="219">
        <v>199</v>
      </c>
      <c r="B180" s="219" t="s">
        <v>866</v>
      </c>
      <c r="C180" s="219" t="s">
        <v>630</v>
      </c>
      <c r="D180" s="222"/>
      <c r="E180" s="309" t="s">
        <v>863</v>
      </c>
      <c r="F180" s="221">
        <v>2248.15</v>
      </c>
      <c r="G180" s="136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VTR Rental</v>
      </c>
      <c r="H180" s="148"/>
    </row>
    <row r="181" spans="1:8">
      <c r="A181" s="219"/>
      <c r="B181" s="223"/>
      <c r="C181" s="219"/>
      <c r="D181" s="257"/>
      <c r="E181" s="223"/>
      <c r="F181" s="221"/>
      <c r="G18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81" s="148"/>
    </row>
    <row r="182" spans="1:8">
      <c r="A182" s="136">
        <v>142</v>
      </c>
      <c r="B182" s="223" t="s">
        <v>820</v>
      </c>
      <c r="C182" s="219" t="s">
        <v>632</v>
      </c>
      <c r="D182" s="146"/>
      <c r="E182" s="223" t="s">
        <v>435</v>
      </c>
      <c r="F182" s="147">
        <v>0</v>
      </c>
      <c r="G18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82" s="148"/>
    </row>
    <row r="183" spans="1:8">
      <c r="A183" s="136">
        <v>142</v>
      </c>
      <c r="B183" s="223" t="s">
        <v>820</v>
      </c>
      <c r="C183" s="219" t="s">
        <v>633</v>
      </c>
      <c r="D183" s="146"/>
      <c r="E183" s="251" t="s">
        <v>435</v>
      </c>
      <c r="F183" s="147">
        <v>0</v>
      </c>
      <c r="G18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83" s="148"/>
    </row>
    <row r="184" spans="1:8">
      <c r="A184" s="136">
        <v>142</v>
      </c>
      <c r="B184" s="223" t="s">
        <v>820</v>
      </c>
      <c r="C184" s="219" t="s">
        <v>634</v>
      </c>
      <c r="D184" s="146"/>
      <c r="E184" s="223" t="s">
        <v>435</v>
      </c>
      <c r="F184" s="147">
        <v>0</v>
      </c>
      <c r="G18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Wardrobe Rentals</v>
      </c>
      <c r="H184" s="148"/>
    </row>
    <row r="185" spans="1:8">
      <c r="A185" s="136">
        <v>168</v>
      </c>
      <c r="B185" s="219" t="s">
        <v>1031</v>
      </c>
      <c r="C185" s="219" t="s">
        <v>799</v>
      </c>
      <c r="D185" s="146">
        <v>45516</v>
      </c>
      <c r="E185" s="312" t="s">
        <v>1029</v>
      </c>
      <c r="F185" s="221">
        <v>21250</v>
      </c>
      <c r="G18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Designer</v>
      </c>
      <c r="H185" s="148"/>
    </row>
    <row r="186" spans="1:8">
      <c r="A186" s="136">
        <v>169</v>
      </c>
      <c r="B186" s="223" t="s">
        <v>865</v>
      </c>
      <c r="C186" s="219" t="s">
        <v>800</v>
      </c>
      <c r="D186" s="146"/>
      <c r="E186" s="309" t="s">
        <v>863</v>
      </c>
      <c r="F186" s="221">
        <v>6910</v>
      </c>
      <c r="G18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Buyer/Shopper</v>
      </c>
      <c r="H186" s="148"/>
    </row>
    <row r="187" spans="1:8">
      <c r="A187" s="136"/>
      <c r="B187" s="219" t="s">
        <v>997</v>
      </c>
      <c r="C187" s="219" t="s">
        <v>801</v>
      </c>
      <c r="D187" s="146"/>
      <c r="E187" s="219"/>
      <c r="F187" s="221"/>
      <c r="G18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87" s="148"/>
    </row>
    <row r="188" spans="1:8">
      <c r="A188" s="136"/>
      <c r="B188" s="219" t="s">
        <v>997</v>
      </c>
      <c r="C188" s="219" t="s">
        <v>802</v>
      </c>
      <c r="D188" s="146"/>
      <c r="E188" s="219"/>
      <c r="F188" s="221"/>
      <c r="G18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88" s="148"/>
    </row>
    <row r="189" spans="1:8">
      <c r="A189" s="136"/>
      <c r="B189" s="219" t="s">
        <v>601</v>
      </c>
      <c r="C189" s="219" t="s">
        <v>803</v>
      </c>
      <c r="D189" s="146"/>
      <c r="E189" s="219"/>
      <c r="F189" s="221"/>
      <c r="G18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89" s="148"/>
    </row>
    <row r="190" spans="1:8">
      <c r="A190" s="136">
        <v>111</v>
      </c>
      <c r="B190" s="223" t="s">
        <v>987</v>
      </c>
      <c r="C190" s="219" t="s">
        <v>805</v>
      </c>
      <c r="D190" s="146">
        <v>45514</v>
      </c>
      <c r="E190" s="223" t="s">
        <v>581</v>
      </c>
      <c r="F190" s="221">
        <v>210.51</v>
      </c>
      <c r="G19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Casting Facilities</v>
      </c>
      <c r="H190" s="148"/>
    </row>
    <row r="191" spans="1:8">
      <c r="A191" s="136">
        <v>174</v>
      </c>
      <c r="B191" s="219" t="s">
        <v>864</v>
      </c>
      <c r="C191" s="219" t="s">
        <v>806</v>
      </c>
      <c r="D191" s="146"/>
      <c r="E191" s="309" t="s">
        <v>863</v>
      </c>
      <c r="F191" s="221">
        <v>1538</v>
      </c>
      <c r="G19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Set Dresser</v>
      </c>
      <c r="H191" s="148"/>
    </row>
    <row r="192" spans="1:8">
      <c r="A192" s="136">
        <v>38</v>
      </c>
      <c r="B192" s="300" t="s">
        <v>998</v>
      </c>
      <c r="C192" s="219" t="s">
        <v>808</v>
      </c>
      <c r="D192" s="146"/>
      <c r="E192" s="300" t="s">
        <v>435</v>
      </c>
      <c r="F192" s="300">
        <v>1600</v>
      </c>
      <c r="G19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Production Supervisor</v>
      </c>
      <c r="H192" s="148"/>
    </row>
    <row r="193" spans="1:8">
      <c r="A193" s="154">
        <v>139</v>
      </c>
      <c r="B193" s="155" t="s">
        <v>385</v>
      </c>
      <c r="C193" s="156" t="s">
        <v>289</v>
      </c>
      <c r="D193" s="158"/>
      <c r="E193" s="155" t="s">
        <v>435</v>
      </c>
      <c r="F193" s="155">
        <v>64</v>
      </c>
      <c r="G19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Craft Service</v>
      </c>
      <c r="H193" s="148"/>
    </row>
    <row r="194" spans="1:8">
      <c r="A194" s="136">
        <v>113</v>
      </c>
      <c r="B194" s="219" t="s">
        <v>1035</v>
      </c>
      <c r="C194" s="219" t="s">
        <v>631</v>
      </c>
      <c r="D194" s="146">
        <v>45503</v>
      </c>
      <c r="E194" s="223" t="s">
        <v>1036</v>
      </c>
      <c r="F194" s="223">
        <v>605.72</v>
      </c>
      <c r="G19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Location Scouting Expenses</v>
      </c>
      <c r="H194" s="148"/>
    </row>
    <row r="195" spans="1:8">
      <c r="A195" s="136"/>
      <c r="B195" s="219"/>
      <c r="C195" s="219"/>
      <c r="D195" s="146"/>
      <c r="E195" s="223"/>
      <c r="F195" s="221"/>
      <c r="G19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95" s="148"/>
    </row>
    <row r="196" spans="1:8">
      <c r="A196" s="136"/>
      <c r="B196" s="219"/>
      <c r="C196" s="219"/>
      <c r="D196" s="146"/>
      <c r="E196" s="223"/>
      <c r="F196" s="221"/>
      <c r="G19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96" s="148"/>
    </row>
    <row r="197" spans="1:8">
      <c r="A197" s="136"/>
      <c r="B197" s="145"/>
      <c r="C197" s="219"/>
      <c r="D197" s="146"/>
      <c r="E197" s="223"/>
      <c r="F197" s="147"/>
      <c r="G19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97" s="148"/>
    </row>
    <row r="198" spans="1:8">
      <c r="A198" s="136"/>
      <c r="B198" s="145"/>
      <c r="C198" s="219"/>
      <c r="D198" s="146"/>
      <c r="E198" s="223"/>
      <c r="F198" s="147"/>
      <c r="G19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98" s="148"/>
    </row>
    <row r="199" spans="1:8">
      <c r="A199" s="136"/>
      <c r="B199" s="145"/>
      <c r="C199" s="219"/>
      <c r="D199" s="146"/>
      <c r="E199" s="223"/>
      <c r="F199" s="147"/>
      <c r="G19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199" s="148"/>
    </row>
    <row r="200" spans="1:8">
      <c r="A200" s="136"/>
      <c r="B200" s="145"/>
      <c r="C200" s="219"/>
      <c r="D200" s="146"/>
      <c r="E200" s="322"/>
      <c r="F200" s="147"/>
      <c r="G20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0" s="148"/>
    </row>
    <row r="201" spans="1:8">
      <c r="A201" s="136"/>
      <c r="B201" s="145"/>
      <c r="C201" s="219"/>
      <c r="D201" s="146"/>
      <c r="E201" s="322"/>
      <c r="F201" s="147"/>
      <c r="G20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1" s="148"/>
    </row>
    <row r="202" spans="1:8">
      <c r="A202" s="136"/>
      <c r="B202" s="145"/>
      <c r="C202" s="219"/>
      <c r="D202" s="146"/>
      <c r="E202" s="322"/>
      <c r="F202" s="147"/>
      <c r="G202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2" s="148"/>
    </row>
    <row r="203" spans="1:8">
      <c r="A203" s="248"/>
      <c r="B203" s="248"/>
      <c r="C203" s="219"/>
      <c r="D203" s="250"/>
      <c r="E203" s="249"/>
      <c r="F203" s="260"/>
      <c r="G203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3" s="148"/>
    </row>
    <row r="204" spans="1:8">
      <c r="A204" s="230">
        <v>102</v>
      </c>
      <c r="B204" s="231" t="s">
        <v>821</v>
      </c>
      <c r="C204" s="318" t="s">
        <v>828</v>
      </c>
      <c r="D204" s="232"/>
      <c r="E204" s="230"/>
      <c r="F204" s="235">
        <v>-1620</v>
      </c>
      <c r="G204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Client Agency - Giftbags, Dinner, Gifts</v>
      </c>
      <c r="H204" s="148"/>
    </row>
    <row r="205" spans="1:8">
      <c r="A205" s="230">
        <v>127</v>
      </c>
      <c r="B205" s="231" t="s">
        <v>821</v>
      </c>
      <c r="C205" s="230" t="s">
        <v>828</v>
      </c>
      <c r="D205" s="232"/>
      <c r="E205" s="230"/>
      <c r="F205" s="235">
        <v>-3000</v>
      </c>
      <c r="G205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Van Rentals - Client/Agency/Chauffers</v>
      </c>
      <c r="H205" s="148"/>
    </row>
    <row r="206" spans="1:8">
      <c r="A206" s="237">
        <v>128</v>
      </c>
      <c r="B206" s="243" t="s">
        <v>821</v>
      </c>
      <c r="C206" s="316" t="s">
        <v>828</v>
      </c>
      <c r="D206" s="238"/>
      <c r="E206" s="316"/>
      <c r="F206" s="247">
        <v>-900</v>
      </c>
      <c r="G206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Client/Agency - Craft Service</v>
      </c>
      <c r="H206" s="148"/>
    </row>
    <row r="207" spans="1:8">
      <c r="A207" s="237">
        <v>221</v>
      </c>
      <c r="B207" s="243" t="s">
        <v>821</v>
      </c>
      <c r="C207" s="316" t="s">
        <v>828</v>
      </c>
      <c r="D207" s="238"/>
      <c r="E207" s="316"/>
      <c r="F207" s="247">
        <v>-4883.82</v>
      </c>
      <c r="G207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>Work Permits / LMIA</v>
      </c>
      <c r="H207" s="148"/>
    </row>
    <row r="208" spans="1:8">
      <c r="A208" s="136"/>
      <c r="B208" s="244"/>
      <c r="C208" s="145"/>
      <c r="D208" s="146"/>
      <c r="E208" s="244"/>
      <c r="F208" s="147"/>
      <c r="G208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8" s="148"/>
    </row>
    <row r="209" spans="1:8">
      <c r="A209" s="313"/>
      <c r="B209" s="314"/>
      <c r="C209" s="314"/>
      <c r="D209" s="304"/>
      <c r="E209" s="145"/>
      <c r="F209" s="315"/>
      <c r="G209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09" s="148"/>
    </row>
    <row r="210" spans="1:8">
      <c r="A210" s="313"/>
      <c r="B210" s="314"/>
      <c r="C210" s="314"/>
      <c r="D210" s="304"/>
      <c r="E210" s="145"/>
      <c r="F210" s="315"/>
      <c r="G210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10" s="148"/>
    </row>
    <row r="211" spans="1:8">
      <c r="A211" s="136"/>
      <c r="B211" s="145"/>
      <c r="C211" s="145"/>
      <c r="D211" s="146"/>
      <c r="E211" s="261"/>
      <c r="F211" s="147"/>
      <c r="G211" s="145" t="str">
        <f>IF(ISBLANK(PO_LOG[[#This Row],[LINE]]), "",
   IF(COUNTIF('Line No'!$A$1:$A$342, PO_LOG[[#This Row],[LINE]]) &gt; 0,
      INDEX('Line No'!$B$1:$B$342, MATCH(PO_LOG[[#This Row],[LINE]], 'Line No'!$A$1:$A$342, 0)),
      IF(PO_LOG[[#This Row],[LINE]]="PC", "Petty Cash Log",
      IF(PO_LOG[[#This Row],[LINE]]="PR", "Payroll Log",
      "LINE CODE NOT VALID"))))</f>
        <v/>
      </c>
      <c r="H211" s="148"/>
    </row>
    <row r="213" spans="1:8">
      <c r="E213" s="153" t="s">
        <v>43</v>
      </c>
      <c r="F213" s="138">
        <f>SUM('PO Log'!$F$9:$F$211)</f>
        <v>391804.9700000002</v>
      </c>
    </row>
  </sheetData>
  <mergeCells count="1">
    <mergeCell ref="A4:H4"/>
  </mergeCells>
  <conditionalFormatting sqref="G9:G211">
    <cfRule type="containsText" dxfId="11" priority="1" operator="containsText" text="zzzz">
      <formula>NOT(ISERROR(SEARCH("zzzz",G9)))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3" name="Button 5">
              <controlPr defaultSize="0" print="0" autoFill="0" autoPict="0" macro="[0]!InsertNewRow">
                <anchor moveWithCells="1" sizeWithCells="1">
                  <from>
                    <xdr:col>6</xdr:col>
                    <xdr:colOff>660400</xdr:colOff>
                    <xdr:row>0</xdr:row>
                    <xdr:rowOff>279400</xdr:rowOff>
                  </from>
                  <to>
                    <xdr:col>6</xdr:col>
                    <xdr:colOff>2184400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Button 6">
              <controlPr defaultSize="0" print="0" autoFill="0" autoPict="0" macro="[0]!DeleteLastRow">
                <anchor moveWithCells="1" sizeWithCells="1">
                  <from>
                    <xdr:col>2</xdr:col>
                    <xdr:colOff>609600</xdr:colOff>
                    <xdr:row>0</xdr:row>
                    <xdr:rowOff>241300</xdr:rowOff>
                  </from>
                  <to>
                    <xdr:col>4</xdr:col>
                    <xdr:colOff>482600</xdr:colOff>
                    <xdr:row>0</xdr:row>
                    <xdr:rowOff>622300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075C-EB0E-8B4F-85C4-CA1785943305}">
  <sheetPr codeName="Sheet6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265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C48:D48"/>
    <mergeCell ref="C51:D51"/>
    <mergeCell ref="E51:F51"/>
    <mergeCell ref="B53:I53"/>
    <mergeCell ref="C40:D40"/>
    <mergeCell ref="C34:D34"/>
    <mergeCell ref="C35:D35"/>
    <mergeCell ref="C39:D39"/>
    <mergeCell ref="C41:D41"/>
    <mergeCell ref="C36:D36"/>
    <mergeCell ref="C37:D37"/>
    <mergeCell ref="C38:D38"/>
    <mergeCell ref="C33:D33"/>
    <mergeCell ref="G16:I16"/>
    <mergeCell ref="B24:I24"/>
    <mergeCell ref="C25:D25"/>
    <mergeCell ref="F14:I14"/>
    <mergeCell ref="C17:E17"/>
    <mergeCell ref="C27:D27"/>
    <mergeCell ref="I21:I22"/>
    <mergeCell ref="C28:D28"/>
    <mergeCell ref="C29:D29"/>
    <mergeCell ref="C30:D30"/>
    <mergeCell ref="C31:D31"/>
    <mergeCell ref="C32:D32"/>
    <mergeCell ref="C9:D9"/>
    <mergeCell ref="F9:I9"/>
    <mergeCell ref="C10:D10"/>
    <mergeCell ref="F10:I10"/>
    <mergeCell ref="C26:D26"/>
    <mergeCell ref="C11:D11"/>
    <mergeCell ref="C12:D12"/>
    <mergeCell ref="C13:D13"/>
    <mergeCell ref="F13:I13"/>
    <mergeCell ref="C14:D14"/>
    <mergeCell ref="F17:I17"/>
    <mergeCell ref="C21:C22"/>
    <mergeCell ref="D21:D22"/>
    <mergeCell ref="E21:E22"/>
    <mergeCell ref="F21:F22"/>
    <mergeCell ref="G21:G22"/>
    <mergeCell ref="B4:G4"/>
    <mergeCell ref="B5:C5"/>
    <mergeCell ref="B6:C6"/>
    <mergeCell ref="E5:H6"/>
    <mergeCell ref="B7:C7"/>
    <mergeCell ref="D7:E7"/>
    <mergeCell ref="J3:K3"/>
    <mergeCell ref="C1:F1"/>
    <mergeCell ref="G1:I1"/>
    <mergeCell ref="B2:C2"/>
    <mergeCell ref="D2:G2"/>
    <mergeCell ref="G3:I3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819CB-9380-F143-8B2E-8236B391168E}">
  <sheetPr codeName="Sheet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276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45474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Void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PO_LOG[[#All],[PO]], 0)), "No match found")</f>
        <v>VISA 2617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A517-BA0C-E048-9408-58EA4212E6D7}">
  <sheetPr codeName="Sheet8">
    <pageSetUpPr fitToPage="1"/>
  </sheetPr>
  <dimension ref="B1:L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1640625" style="1" customWidth="1"/>
    <col min="6" max="6" width="13.5" style="1" customWidth="1"/>
    <col min="7" max="7" width="11.6640625" style="1" bestFit="1" customWidth="1"/>
    <col min="8" max="8" width="12.33203125" style="1" customWidth="1"/>
    <col min="9" max="9" width="22.33203125" style="1" customWidth="1"/>
    <col min="10" max="10" width="13.33203125" style="1" customWidth="1"/>
    <col min="11" max="16384" width="8.83203125" style="1"/>
  </cols>
  <sheetData>
    <row r="1" spans="2:12" ht="45" customHeight="1">
      <c r="B1" s="60"/>
      <c r="C1" s="336" t="s">
        <v>36</v>
      </c>
      <c r="D1" s="336"/>
      <c r="E1" s="336"/>
      <c r="F1" s="336"/>
      <c r="G1" s="336"/>
      <c r="H1" s="337"/>
      <c r="I1" s="337"/>
      <c r="J1" s="337"/>
    </row>
    <row r="2" spans="2:12" ht="12.75" customHeight="1">
      <c r="B2" s="338"/>
      <c r="C2" s="339"/>
      <c r="D2" s="340"/>
      <c r="E2" s="340"/>
      <c r="F2" s="340"/>
      <c r="G2" s="340"/>
      <c r="H2" s="340"/>
    </row>
    <row r="3" spans="2:12" ht="22">
      <c r="B3" s="59" t="s">
        <v>35</v>
      </c>
      <c r="C3" s="58"/>
      <c r="D3" s="57"/>
      <c r="E3" s="57"/>
      <c r="F3" s="57"/>
      <c r="G3" s="56" t="s">
        <v>34</v>
      </c>
      <c r="H3" s="341" t="s">
        <v>280</v>
      </c>
      <c r="I3" s="341"/>
      <c r="J3" s="341"/>
      <c r="K3" s="335"/>
      <c r="L3" s="335"/>
    </row>
    <row r="4" spans="2:12" s="12" customFormat="1" ht="9" customHeight="1">
      <c r="B4" s="342"/>
      <c r="C4" s="342"/>
      <c r="D4" s="342"/>
      <c r="E4" s="342"/>
      <c r="F4" s="342"/>
      <c r="G4" s="342"/>
      <c r="H4" s="342"/>
      <c r="I4" s="55"/>
      <c r="J4" s="55"/>
    </row>
    <row r="5" spans="2:12" s="13" customFormat="1" ht="16" customHeight="1">
      <c r="B5" s="343" t="s">
        <v>33</v>
      </c>
      <c r="C5" s="343"/>
      <c r="D5" s="53"/>
      <c r="E5" s="53"/>
      <c r="F5" s="344" t="s">
        <v>32</v>
      </c>
      <c r="G5" s="344"/>
      <c r="H5" s="344"/>
      <c r="I5" s="344"/>
      <c r="J5" s="54"/>
    </row>
    <row r="6" spans="2:12" s="13" customFormat="1" ht="16">
      <c r="B6" s="343" t="s">
        <v>31</v>
      </c>
      <c r="C6" s="343"/>
      <c r="D6" s="53"/>
      <c r="E6" s="53"/>
      <c r="F6" s="344"/>
      <c r="G6" s="344"/>
      <c r="H6" s="344"/>
      <c r="I6" s="344"/>
      <c r="J6" s="52"/>
    </row>
    <row r="7" spans="2:12" s="13" customFormat="1" ht="16">
      <c r="B7" s="343"/>
      <c r="C7" s="343"/>
      <c r="D7" s="345"/>
      <c r="E7" s="345"/>
      <c r="F7" s="345"/>
      <c r="G7" s="49"/>
      <c r="H7" s="49"/>
      <c r="I7" s="49"/>
      <c r="J7" s="49"/>
    </row>
    <row r="8" spans="2:12" s="13" customFormat="1" ht="16">
      <c r="B8" s="51"/>
      <c r="C8" s="51"/>
      <c r="D8" s="50"/>
      <c r="E8" s="50"/>
      <c r="F8" s="50"/>
      <c r="G8" s="49"/>
      <c r="H8" s="49"/>
      <c r="I8" s="49"/>
      <c r="J8" s="49"/>
    </row>
    <row r="9" spans="2:12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45499</v>
      </c>
      <c r="D9" s="346"/>
      <c r="E9" s="174"/>
      <c r="F9" s="45" t="s">
        <v>29</v>
      </c>
      <c r="G9" s="347" t="str">
        <f>IF(TRIM(Job_Number)="", "", Job_Number)</f>
        <v>KS24-03</v>
      </c>
      <c r="H9" s="347"/>
      <c r="I9" s="347"/>
      <c r="J9" s="347"/>
    </row>
    <row r="10" spans="2:12" s="13" customFormat="1" ht="14" customHeight="1">
      <c r="B10" s="45" t="s">
        <v>27</v>
      </c>
      <c r="C10" s="348" t="str">
        <f>IFERROR(INDEX(PO_LOG[PAYEE], MATCH(Sheet_PO, PO_LOG[PO], 0)), "No match found")</f>
        <v>Hotel Guys</v>
      </c>
      <c r="D10" s="348"/>
      <c r="E10" s="175"/>
      <c r="F10" s="45" t="s">
        <v>26</v>
      </c>
      <c r="G10" s="349" t="str">
        <f>IF(TRIM(Job_Name)="", "", Job_Name)</f>
        <v>Goya</v>
      </c>
      <c r="H10" s="349"/>
      <c r="I10" s="349"/>
      <c r="J10" s="349"/>
    </row>
    <row r="11" spans="2:12" s="13" customFormat="1" ht="16">
      <c r="B11" s="48"/>
      <c r="C11" s="348"/>
      <c r="D11" s="348"/>
      <c r="E11" s="175"/>
      <c r="F11" s="47"/>
    </row>
    <row r="12" spans="2:12" s="13" customFormat="1" ht="22" customHeight="1">
      <c r="B12" s="45" t="s">
        <v>25</v>
      </c>
      <c r="C12" s="348"/>
      <c r="D12" s="348"/>
      <c r="E12" s="175"/>
      <c r="F12" s="45" t="s">
        <v>24</v>
      </c>
      <c r="G12" s="46"/>
      <c r="H12" s="46"/>
      <c r="I12" s="46"/>
      <c r="J12" s="46"/>
    </row>
    <row r="13" spans="2:12" s="13" customFormat="1" ht="16">
      <c r="B13" s="44"/>
      <c r="C13" s="348"/>
      <c r="D13" s="348"/>
      <c r="E13" s="175"/>
      <c r="F13" s="45" t="s">
        <v>23</v>
      </c>
      <c r="G13" s="352"/>
      <c r="H13" s="353"/>
      <c r="I13" s="353"/>
      <c r="J13" s="354"/>
    </row>
    <row r="14" spans="2:12" s="13" customFormat="1" ht="16">
      <c r="B14" s="44"/>
      <c r="C14" s="355"/>
      <c r="D14" s="355"/>
      <c r="E14" s="176"/>
      <c r="F14" s="43" t="s">
        <v>22</v>
      </c>
      <c r="G14" s="352"/>
      <c r="H14" s="353"/>
      <c r="I14" s="353"/>
      <c r="J14" s="354"/>
    </row>
    <row r="15" spans="2:12" s="13" customFormat="1" ht="16">
      <c r="B15" s="42"/>
      <c r="C15" s="41"/>
      <c r="D15" s="41"/>
      <c r="E15" s="41"/>
    </row>
    <row r="16" spans="2:12" s="12" customFormat="1" ht="23" customHeight="1">
      <c r="B16" s="27" t="s">
        <v>21</v>
      </c>
      <c r="C16" s="40" t="s">
        <v>501</v>
      </c>
      <c r="D16" s="40"/>
      <c r="E16" s="40"/>
      <c r="F16" s="40"/>
      <c r="G16" s="40"/>
      <c r="H16" s="363"/>
      <c r="I16" s="363"/>
      <c r="J16" s="363"/>
    </row>
    <row r="17" spans="2:10" s="12" customFormat="1" ht="18" customHeight="1">
      <c r="B17" s="27"/>
      <c r="C17" s="356"/>
      <c r="D17" s="356"/>
      <c r="E17" s="356"/>
      <c r="F17" s="356"/>
      <c r="G17" s="356"/>
      <c r="H17" s="356"/>
      <c r="I17" s="356"/>
      <c r="J17" s="356"/>
    </row>
    <row r="18" spans="2:10" s="12" customFormat="1" ht="5" customHeight="1" thickBot="1">
      <c r="B18" s="27"/>
      <c r="C18" s="26"/>
      <c r="D18" s="26"/>
      <c r="E18" s="26"/>
      <c r="F18" s="26"/>
      <c r="G18" s="26"/>
      <c r="H18" s="26"/>
      <c r="I18" s="26"/>
      <c r="J18" s="26"/>
    </row>
    <row r="19" spans="2:10" s="12" customFormat="1" ht="18" customHeight="1" thickTop="1">
      <c r="B19" s="27"/>
      <c r="C19" s="39" t="s">
        <v>20</v>
      </c>
      <c r="D19" s="38" t="s">
        <v>19</v>
      </c>
      <c r="E19" s="38"/>
      <c r="F19" s="38" t="s">
        <v>18</v>
      </c>
      <c r="G19" s="38" t="s">
        <v>17</v>
      </c>
      <c r="H19" s="37" t="s">
        <v>16</v>
      </c>
      <c r="I19" s="31"/>
      <c r="J19" s="36" t="s">
        <v>15</v>
      </c>
    </row>
    <row r="20" spans="2:10" s="12" customFormat="1" ht="17" customHeight="1" thickBot="1">
      <c r="B20" s="27"/>
      <c r="C20" s="35" t="s">
        <v>14</v>
      </c>
      <c r="D20" s="34" t="s">
        <v>14</v>
      </c>
      <c r="E20" s="34"/>
      <c r="F20" s="33" t="s">
        <v>13</v>
      </c>
      <c r="G20" s="33" t="s">
        <v>12</v>
      </c>
      <c r="H20" s="32" t="s">
        <v>11</v>
      </c>
      <c r="I20" s="31"/>
      <c r="J20" s="30" t="s">
        <v>10</v>
      </c>
    </row>
    <row r="21" spans="2:10" s="12" customFormat="1" ht="18" customHeight="1" thickTop="1">
      <c r="B21" s="27"/>
      <c r="C21" s="357"/>
      <c r="D21" s="357"/>
      <c r="E21" s="134"/>
      <c r="F21" s="357"/>
      <c r="G21" s="357"/>
      <c r="H21" s="359"/>
      <c r="I21" s="29"/>
      <c r="J21" s="359" t="str">
        <f>IFERROR(INDEX(PO_LOG[PAY ID], MATCH(Sheet_PO, PO_LOG[PO], 0)), "No match found")</f>
        <v>VISA 2617</v>
      </c>
    </row>
    <row r="22" spans="2:10" s="12" customFormat="1" ht="13" customHeight="1" thickBot="1">
      <c r="B22" s="27"/>
      <c r="C22" s="358"/>
      <c r="D22" s="358"/>
      <c r="E22" s="135"/>
      <c r="F22" s="358"/>
      <c r="G22" s="358"/>
      <c r="H22" s="360"/>
      <c r="I22" s="28"/>
      <c r="J22" s="360"/>
    </row>
    <row r="23" spans="2:10" s="12" customFormat="1" ht="6" customHeight="1" thickTop="1">
      <c r="B23" s="27"/>
      <c r="C23" s="26"/>
      <c r="D23" s="26"/>
      <c r="E23" s="26"/>
      <c r="F23" s="26"/>
      <c r="G23" s="26"/>
      <c r="H23" s="26"/>
      <c r="I23" s="26"/>
      <c r="J23" s="26"/>
    </row>
    <row r="24" spans="2:10" ht="11" customHeight="1">
      <c r="B24" s="364"/>
      <c r="C24" s="364"/>
      <c r="D24" s="365"/>
      <c r="E24" s="365"/>
      <c r="F24" s="365"/>
      <c r="G24" s="365"/>
      <c r="H24" s="365"/>
      <c r="I24" s="365"/>
      <c r="J24" s="365"/>
    </row>
    <row r="25" spans="2:10" s="13" customFormat="1" ht="16" customHeight="1">
      <c r="B25" s="25" t="s">
        <v>9</v>
      </c>
      <c r="C25" s="366" t="s">
        <v>8</v>
      </c>
      <c r="D25" s="367"/>
      <c r="E25" s="133" t="s">
        <v>40</v>
      </c>
      <c r="F25" s="24" t="s">
        <v>7</v>
      </c>
      <c r="G25" s="24" t="s">
        <v>6</v>
      </c>
      <c r="H25" s="24" t="s">
        <v>5</v>
      </c>
      <c r="I25" s="23" t="s">
        <v>4</v>
      </c>
      <c r="J25" s="23" t="s">
        <v>3</v>
      </c>
    </row>
    <row r="26" spans="2:10" s="13" customFormat="1" ht="16" customHeight="1">
      <c r="B26" s="21">
        <v>220</v>
      </c>
      <c r="C26" s="350" t="s">
        <v>498</v>
      </c>
      <c r="D26" s="351"/>
      <c r="E26" s="132" t="s">
        <v>497</v>
      </c>
      <c r="F26" s="21">
        <v>1</v>
      </c>
      <c r="G26" s="22">
        <v>4034.05</v>
      </c>
      <c r="H26" s="21" t="s">
        <v>439</v>
      </c>
      <c r="I26" s="20" t="str">
        <f t="shared" ref="I26:I41" si="0">IF(H26="CAD", "N/A", IF(H26="USD", F26*G26, ""))</f>
        <v>N/A</v>
      </c>
      <c r="J26" s="19">
        <f t="shared" ref="J26:J41" si="1">IF(H26="CAD", F26*G26, IF(H26="USD", I26*1.36, ""))</f>
        <v>4034.05</v>
      </c>
    </row>
    <row r="27" spans="2:10" s="13" customFormat="1" ht="16" customHeight="1">
      <c r="B27" s="21">
        <v>220</v>
      </c>
      <c r="C27" s="350" t="s">
        <v>500</v>
      </c>
      <c r="D27" s="351"/>
      <c r="E27" s="132">
        <v>2617</v>
      </c>
      <c r="F27" s="21">
        <v>8</v>
      </c>
      <c r="G27" s="22">
        <v>45</v>
      </c>
      <c r="H27" s="21" t="s">
        <v>499</v>
      </c>
      <c r="I27" s="20">
        <f t="shared" si="0"/>
        <v>360</v>
      </c>
      <c r="J27" s="19">
        <f t="shared" si="1"/>
        <v>489.6</v>
      </c>
    </row>
    <row r="28" spans="2:10" s="13" customFormat="1" ht="16" customHeight="1">
      <c r="B28" s="177"/>
      <c r="C28" s="370" t="s">
        <v>505</v>
      </c>
      <c r="D28" s="371"/>
      <c r="E28" s="178"/>
      <c r="F28" s="177"/>
      <c r="G28" s="177">
        <v>45</v>
      </c>
      <c r="H28" s="177" t="s">
        <v>499</v>
      </c>
      <c r="I28" s="179">
        <f t="shared" si="0"/>
        <v>0</v>
      </c>
      <c r="J28" s="180">
        <f t="shared" si="1"/>
        <v>0</v>
      </c>
    </row>
    <row r="29" spans="2:10" s="13" customFormat="1" ht="16" customHeight="1">
      <c r="B29" s="21">
        <v>220</v>
      </c>
      <c r="C29" s="361" t="s">
        <v>502</v>
      </c>
      <c r="D29" s="362"/>
      <c r="E29" s="131">
        <v>2059</v>
      </c>
      <c r="F29" s="21">
        <v>1</v>
      </c>
      <c r="G29" s="21">
        <v>935.49</v>
      </c>
      <c r="H29" s="21" t="s">
        <v>499</v>
      </c>
      <c r="I29" s="20">
        <f t="shared" si="0"/>
        <v>935.49</v>
      </c>
      <c r="J29" s="19">
        <f t="shared" si="1"/>
        <v>1272.2664000000002</v>
      </c>
    </row>
    <row r="30" spans="2:10" s="13" customFormat="1" ht="16" customHeight="1">
      <c r="B30" s="21">
        <v>220</v>
      </c>
      <c r="C30" s="361" t="s">
        <v>503</v>
      </c>
      <c r="D30" s="362"/>
      <c r="E30" s="131" t="s">
        <v>435</v>
      </c>
      <c r="F30" s="21">
        <v>1</v>
      </c>
      <c r="G30" s="21">
        <v>-835.49</v>
      </c>
      <c r="H30" s="21" t="s">
        <v>499</v>
      </c>
      <c r="I30" s="20">
        <f t="shared" si="0"/>
        <v>-835.49</v>
      </c>
      <c r="J30" s="19">
        <f t="shared" si="1"/>
        <v>-1136.2664000000002</v>
      </c>
    </row>
    <row r="31" spans="2:10" s="13" customFormat="1" ht="16" customHeight="1">
      <c r="B31" s="165">
        <v>220</v>
      </c>
      <c r="C31" s="372" t="s">
        <v>504</v>
      </c>
      <c r="D31" s="373"/>
      <c r="E31" s="171">
        <v>2059</v>
      </c>
      <c r="F31" s="165">
        <v>1</v>
      </c>
      <c r="G31" s="165">
        <v>93.72</v>
      </c>
      <c r="H31" s="165" t="s">
        <v>499</v>
      </c>
      <c r="I31" s="169">
        <f t="shared" si="0"/>
        <v>93.72</v>
      </c>
      <c r="J31" s="170">
        <f t="shared" si="1"/>
        <v>127.45920000000001</v>
      </c>
    </row>
    <row r="32" spans="2:10" s="13" customFormat="1" ht="16" customHeight="1">
      <c r="B32" s="165">
        <v>220</v>
      </c>
      <c r="C32" s="372" t="s">
        <v>512</v>
      </c>
      <c r="D32" s="373"/>
      <c r="E32" s="171" t="s">
        <v>435</v>
      </c>
      <c r="F32" s="165">
        <v>1</v>
      </c>
      <c r="G32" s="165">
        <v>-93.72</v>
      </c>
      <c r="H32" s="165" t="s">
        <v>499</v>
      </c>
      <c r="I32" s="169">
        <f t="shared" si="0"/>
        <v>-93.72</v>
      </c>
      <c r="J32" s="170">
        <f t="shared" si="1"/>
        <v>-127.45920000000001</v>
      </c>
    </row>
    <row r="33" spans="2:10" s="13" customFormat="1" ht="16" customHeight="1">
      <c r="B33" s="21"/>
      <c r="C33" s="361"/>
      <c r="D33" s="362"/>
      <c r="E33" s="131"/>
      <c r="F33" s="21"/>
      <c r="G33" s="21"/>
      <c r="H33" s="21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61"/>
      <c r="D34" s="362"/>
      <c r="E34" s="131"/>
      <c r="F34" s="21"/>
      <c r="G34" s="21"/>
      <c r="H34" s="21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131"/>
      <c r="F35" s="21"/>
      <c r="G35" s="21"/>
      <c r="H35" s="21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131"/>
      <c r="F36" s="21"/>
      <c r="G36" s="21"/>
      <c r="H36" s="21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131"/>
      <c r="F37" s="21"/>
      <c r="G37" s="21"/>
      <c r="H37" s="21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131"/>
      <c r="F38" s="21"/>
      <c r="G38" s="21"/>
      <c r="H38" s="21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131"/>
      <c r="F39" s="21"/>
      <c r="G39" s="21"/>
      <c r="H39" s="21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131"/>
      <c r="F40" s="21"/>
      <c r="G40" s="21"/>
      <c r="H40" s="21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131"/>
      <c r="F41" s="21"/>
      <c r="G41" s="21"/>
      <c r="H41" s="21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15"/>
      <c r="H42" s="7"/>
      <c r="I42" s="7"/>
      <c r="J42" s="18"/>
    </row>
    <row r="43" spans="2:10" s="13" customFormat="1" ht="16" customHeight="1">
      <c r="B43" s="15"/>
      <c r="C43" s="15"/>
      <c r="D43" s="15"/>
      <c r="E43" s="15"/>
      <c r="F43" s="15"/>
      <c r="G43" s="15"/>
      <c r="H43" s="7" t="s">
        <v>2</v>
      </c>
      <c r="I43" s="7"/>
      <c r="J43" s="17">
        <f>SUM(J25:J41)</f>
        <v>4659.6500000000005</v>
      </c>
    </row>
    <row r="44" spans="2:10" s="13" customFormat="1" ht="16" customHeight="1">
      <c r="B44" s="15"/>
      <c r="C44" s="15"/>
      <c r="D44" s="15"/>
      <c r="E44" s="15"/>
      <c r="F44" s="15"/>
      <c r="G44" s="15"/>
      <c r="H44" s="7"/>
      <c r="I44" s="7"/>
      <c r="J44" s="16"/>
    </row>
    <row r="45" spans="2:10" s="13" customFormat="1" ht="16" customHeight="1">
      <c r="B45" s="15"/>
      <c r="C45" s="15"/>
      <c r="D45" s="15"/>
      <c r="E45" s="15"/>
      <c r="F45" s="15"/>
      <c r="G45" s="15"/>
      <c r="H45" s="7"/>
      <c r="I45" s="7"/>
      <c r="J45" s="14"/>
    </row>
    <row r="46" spans="2:10" ht="16" customHeight="1">
      <c r="F46" s="12"/>
      <c r="G46" s="12"/>
      <c r="H46" s="11"/>
      <c r="I46" s="11"/>
      <c r="J46" s="11"/>
    </row>
    <row r="47" spans="2:10" ht="16" customHeight="1">
      <c r="C47" s="10"/>
      <c r="D47" s="10"/>
      <c r="E47" s="9"/>
      <c r="F47" s="9"/>
      <c r="G47" s="8"/>
      <c r="H47" s="7" t="s">
        <v>1</v>
      </c>
      <c r="I47" s="4"/>
      <c r="J47" s="6"/>
    </row>
    <row r="48" spans="2:10" ht="16" customHeight="1">
      <c r="C48" s="368"/>
      <c r="D48" s="368"/>
      <c r="E48" s="130"/>
      <c r="F48" s="2"/>
      <c r="G48" s="4"/>
      <c r="H48" s="7" t="s">
        <v>448</v>
      </c>
      <c r="I48" s="4"/>
      <c r="J48" s="162">
        <f>SUM(J43:J47)</f>
        <v>4659.6500000000005</v>
      </c>
    </row>
    <row r="49" spans="2:10" ht="16" customHeight="1">
      <c r="F49" s="4"/>
      <c r="G49" s="4"/>
      <c r="H49" s="4"/>
      <c r="I49" s="4"/>
      <c r="J49" s="4"/>
    </row>
    <row r="50" spans="2:10" ht="16" customHeight="1">
      <c r="C50" s="5"/>
      <c r="D50" s="5"/>
      <c r="E50" s="5"/>
      <c r="F50" s="5"/>
      <c r="G50" s="5"/>
      <c r="H50" s="4"/>
      <c r="I50" s="4"/>
      <c r="J50" s="4"/>
    </row>
    <row r="51" spans="2:10" ht="16" customHeight="1">
      <c r="C51" s="368"/>
      <c r="D51" s="368"/>
      <c r="E51" s="130"/>
      <c r="F51" s="368"/>
      <c r="G51" s="368"/>
      <c r="H51" s="3"/>
      <c r="I51" s="3"/>
      <c r="J51" s="2"/>
    </row>
    <row r="52" spans="2:10" ht="10.5" customHeight="1"/>
    <row r="53" spans="2:10">
      <c r="B53" s="369" t="s">
        <v>0</v>
      </c>
      <c r="C53" s="369"/>
      <c r="D53" s="369"/>
      <c r="E53" s="369"/>
      <c r="F53" s="369"/>
      <c r="G53" s="369"/>
      <c r="H53" s="369"/>
      <c r="I53" s="369"/>
      <c r="J53" s="369"/>
    </row>
  </sheetData>
  <sheetProtection formatCells="0" formatColumns="0" formatRows="0" insertColumns="0" insertRows="0" deleteRows="0" selectLockedCells="1"/>
  <mergeCells count="53">
    <mergeCell ref="K3:L3"/>
    <mergeCell ref="C1:G1"/>
    <mergeCell ref="H1:J1"/>
    <mergeCell ref="B2:C2"/>
    <mergeCell ref="D2:H2"/>
    <mergeCell ref="H3:J3"/>
    <mergeCell ref="C12:D12"/>
    <mergeCell ref="B4:H4"/>
    <mergeCell ref="B5:C5"/>
    <mergeCell ref="F5:I6"/>
    <mergeCell ref="B6:C6"/>
    <mergeCell ref="B7:C7"/>
    <mergeCell ref="D7:F7"/>
    <mergeCell ref="C9:D9"/>
    <mergeCell ref="G9:J9"/>
    <mergeCell ref="C10:D10"/>
    <mergeCell ref="G10:J10"/>
    <mergeCell ref="C11:D11"/>
    <mergeCell ref="J21:J22"/>
    <mergeCell ref="C13:D13"/>
    <mergeCell ref="G13:J13"/>
    <mergeCell ref="C14:D14"/>
    <mergeCell ref="G14:J14"/>
    <mergeCell ref="H16:J16"/>
    <mergeCell ref="C17:F17"/>
    <mergeCell ref="G17:J17"/>
    <mergeCell ref="C21:C22"/>
    <mergeCell ref="D21:D22"/>
    <mergeCell ref="F21:F22"/>
    <mergeCell ref="G21:G22"/>
    <mergeCell ref="H21:H22"/>
    <mergeCell ref="C35:D35"/>
    <mergeCell ref="B24:J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F51:G51"/>
    <mergeCell ref="B53:J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64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FCD5D-FF57-7644-9612-D8198C1BA212}">
  <sheetPr codeName="Sheet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45499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Budget (Truck)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381</v>
      </c>
      <c r="D11" s="348"/>
      <c r="E11" s="47"/>
    </row>
    <row r="12" spans="2:11" s="13" customFormat="1" ht="22" customHeight="1">
      <c r="B12" s="45" t="s">
        <v>25</v>
      </c>
      <c r="C12" s="348" t="s">
        <v>487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488</v>
      </c>
      <c r="D13" s="348"/>
      <c r="E13" s="45" t="s">
        <v>23</v>
      </c>
      <c r="F13" s="352" t="s">
        <v>490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489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 2059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126</v>
      </c>
      <c r="C27" s="350" t="s">
        <v>482</v>
      </c>
      <c r="D27" s="351"/>
      <c r="E27" s="21">
        <v>1</v>
      </c>
      <c r="F27" s="22">
        <v>808.8</v>
      </c>
      <c r="G27" s="21" t="s">
        <v>439</v>
      </c>
      <c r="H27" s="20" t="str">
        <f t="shared" si="0"/>
        <v>N/A</v>
      </c>
      <c r="I27" s="19">
        <f t="shared" si="1"/>
        <v>808.8</v>
      </c>
    </row>
    <row r="28" spans="2:9" s="13" customFormat="1" ht="16" customHeight="1">
      <c r="B28" s="21">
        <v>126</v>
      </c>
      <c r="C28" s="350" t="s">
        <v>479</v>
      </c>
      <c r="D28" s="351"/>
      <c r="E28" s="21">
        <v>1</v>
      </c>
      <c r="F28" s="21">
        <v>576.15</v>
      </c>
      <c r="G28" s="21" t="s">
        <v>439</v>
      </c>
      <c r="H28" s="20" t="str">
        <f t="shared" si="0"/>
        <v>N/A</v>
      </c>
      <c r="I28" s="19">
        <f t="shared" si="1"/>
        <v>576.15</v>
      </c>
    </row>
    <row r="29" spans="2:9" s="13" customFormat="1" ht="16" customHeight="1">
      <c r="B29" s="21">
        <v>122</v>
      </c>
      <c r="C29" s="361" t="s">
        <v>480</v>
      </c>
      <c r="D29" s="362"/>
      <c r="E29" s="21">
        <v>1</v>
      </c>
      <c r="F29" s="21">
        <v>541.15</v>
      </c>
      <c r="G29" s="21" t="s">
        <v>439</v>
      </c>
      <c r="H29" s="20" t="str">
        <f t="shared" si="0"/>
        <v>N/A</v>
      </c>
      <c r="I29" s="19">
        <f t="shared" si="1"/>
        <v>541.15</v>
      </c>
    </row>
    <row r="30" spans="2:9" s="13" customFormat="1" ht="16" customHeight="1">
      <c r="B30" s="21">
        <v>123</v>
      </c>
      <c r="C30" s="361" t="s">
        <v>481</v>
      </c>
      <c r="D30" s="362"/>
      <c r="E30" s="21">
        <v>1</v>
      </c>
      <c r="F30" s="21">
        <v>434.32</v>
      </c>
      <c r="G30" s="21" t="s">
        <v>439</v>
      </c>
      <c r="H30" s="20" t="str">
        <f t="shared" si="0"/>
        <v>N/A</v>
      </c>
      <c r="I30" s="19">
        <f t="shared" si="1"/>
        <v>434.32</v>
      </c>
    </row>
    <row r="31" spans="2:9" s="13" customFormat="1" ht="16" customHeight="1">
      <c r="B31" s="21"/>
      <c r="C31" s="361"/>
      <c r="D31" s="362"/>
      <c r="E31" s="21" t="s">
        <v>492</v>
      </c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 t="s">
        <v>491</v>
      </c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 t="s">
        <v>485</v>
      </c>
      <c r="D36" s="362"/>
      <c r="E36" s="21">
        <v>0</v>
      </c>
      <c r="F36" s="21">
        <v>70.349999999999994</v>
      </c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 t="s">
        <v>486</v>
      </c>
      <c r="D37" s="362"/>
      <c r="E37" s="21">
        <v>0</v>
      </c>
      <c r="F37" s="21">
        <v>56.46</v>
      </c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 t="s">
        <v>483</v>
      </c>
      <c r="D38" s="362"/>
      <c r="E38" s="21">
        <v>0</v>
      </c>
      <c r="F38" s="21">
        <v>74.900000000000006</v>
      </c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 t="s">
        <v>484</v>
      </c>
      <c r="D39" s="362"/>
      <c r="E39" s="21">
        <v>0</v>
      </c>
      <c r="F39" s="21">
        <v>104.1</v>
      </c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2360.42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f>SUM(F36:F39)</f>
        <v>305.81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2666.23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A8B07-DFCE-2849-B378-8DD9C430C917}">
  <sheetPr codeName="Sheet10">
    <pageSetUpPr fitToPage="1"/>
  </sheetPr>
  <dimension ref="B1:L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5" width="23.33203125" style="1" customWidth="1"/>
    <col min="6" max="6" width="13.5" style="1" customWidth="1"/>
    <col min="7" max="7" width="11.6640625" style="1" bestFit="1" customWidth="1"/>
    <col min="8" max="8" width="12.33203125" style="1" customWidth="1"/>
    <col min="9" max="9" width="22.33203125" style="1" customWidth="1"/>
    <col min="10" max="10" width="13.33203125" style="1" customWidth="1"/>
    <col min="11" max="16384" width="8.83203125" style="1"/>
  </cols>
  <sheetData>
    <row r="1" spans="2:12" ht="45" customHeight="1">
      <c r="B1" s="60"/>
      <c r="C1" s="336" t="s">
        <v>36</v>
      </c>
      <c r="D1" s="336"/>
      <c r="E1" s="336"/>
      <c r="F1" s="336"/>
      <c r="G1" s="336"/>
      <c r="H1" s="337"/>
      <c r="I1" s="337"/>
      <c r="J1" s="337"/>
    </row>
    <row r="2" spans="2:12" ht="12.75" customHeight="1">
      <c r="B2" s="338"/>
      <c r="C2" s="339"/>
      <c r="D2" s="340"/>
      <c r="E2" s="340"/>
      <c r="F2" s="340"/>
      <c r="G2" s="340"/>
      <c r="H2" s="340"/>
    </row>
    <row r="3" spans="2:12" ht="22">
      <c r="B3" s="59" t="s">
        <v>35</v>
      </c>
      <c r="C3" s="58"/>
      <c r="D3" s="57"/>
      <c r="E3" s="57"/>
      <c r="F3" s="57"/>
      <c r="G3" s="56" t="s">
        <v>34</v>
      </c>
      <c r="H3" s="341" t="s">
        <v>283</v>
      </c>
      <c r="I3" s="341"/>
      <c r="J3" s="341"/>
      <c r="K3" s="335"/>
      <c r="L3" s="335"/>
    </row>
    <row r="4" spans="2:12" s="12" customFormat="1" ht="9" customHeight="1">
      <c r="B4" s="342"/>
      <c r="C4" s="342"/>
      <c r="D4" s="342"/>
      <c r="E4" s="342"/>
      <c r="F4" s="342"/>
      <c r="G4" s="342"/>
      <c r="H4" s="342"/>
      <c r="I4" s="55"/>
      <c r="J4" s="55"/>
    </row>
    <row r="5" spans="2:12" s="13" customFormat="1" ht="16" customHeight="1">
      <c r="B5" s="343" t="s">
        <v>33</v>
      </c>
      <c r="C5" s="343"/>
      <c r="D5" s="53"/>
      <c r="E5" s="53"/>
      <c r="F5" s="344" t="s">
        <v>32</v>
      </c>
      <c r="G5" s="344"/>
      <c r="H5" s="344"/>
      <c r="I5" s="344"/>
      <c r="J5" s="54"/>
    </row>
    <row r="6" spans="2:12" s="13" customFormat="1" ht="16">
      <c r="B6" s="343" t="s">
        <v>31</v>
      </c>
      <c r="C6" s="343"/>
      <c r="D6" s="53"/>
      <c r="E6" s="53"/>
      <c r="F6" s="344"/>
      <c r="G6" s="344"/>
      <c r="H6" s="344"/>
      <c r="I6" s="344"/>
      <c r="J6" s="52"/>
    </row>
    <row r="7" spans="2:12" s="13" customFormat="1" ht="16">
      <c r="B7" s="343"/>
      <c r="C7" s="343"/>
      <c r="D7" s="345"/>
      <c r="E7" s="345"/>
      <c r="F7" s="345"/>
      <c r="G7" s="49"/>
      <c r="H7" s="49"/>
      <c r="I7" s="49"/>
      <c r="J7" s="49"/>
    </row>
    <row r="8" spans="2:12" s="13" customFormat="1" ht="16">
      <c r="B8" s="51"/>
      <c r="C8" s="51"/>
      <c r="D8" s="50"/>
      <c r="E8" s="50"/>
      <c r="F8" s="50"/>
      <c r="G8" s="49"/>
      <c r="H8" s="49"/>
      <c r="I8" s="49"/>
      <c r="J8" s="49"/>
    </row>
    <row r="9" spans="2:12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45494</v>
      </c>
      <c r="D9" s="346"/>
      <c r="E9" s="174"/>
      <c r="F9" s="45" t="s">
        <v>29</v>
      </c>
      <c r="G9" s="347" t="str">
        <f>IF(TRIM(Job_Number)="", "", Job_Number)</f>
        <v>KS24-03</v>
      </c>
      <c r="H9" s="347"/>
      <c r="I9" s="347"/>
      <c r="J9" s="347"/>
    </row>
    <row r="10" spans="2:12" s="13" customFormat="1" ht="14" customHeight="1">
      <c r="B10" s="45" t="s">
        <v>27</v>
      </c>
      <c r="C10" s="348" t="str">
        <f>IFERROR(INDEX(PO_LOG[PAYEE], MATCH(Sheet_PO, PO_LOG[PO], 0)), "No match found")</f>
        <v>Keslow Camera</v>
      </c>
      <c r="D10" s="348"/>
      <c r="E10" s="175"/>
      <c r="F10" s="45" t="s">
        <v>26</v>
      </c>
      <c r="G10" s="349" t="str">
        <f>IF(TRIM(Job_Name)="", "", Job_Name)</f>
        <v>Goya</v>
      </c>
      <c r="H10" s="349"/>
      <c r="I10" s="349"/>
      <c r="J10" s="349"/>
    </row>
    <row r="11" spans="2:12" s="13" customFormat="1" ht="16">
      <c r="B11" s="48"/>
      <c r="C11" s="348"/>
      <c r="D11" s="348"/>
      <c r="E11" s="175"/>
      <c r="F11" s="47"/>
    </row>
    <row r="12" spans="2:12" s="13" customFormat="1" ht="22" customHeight="1">
      <c r="B12" s="45" t="s">
        <v>25</v>
      </c>
      <c r="C12" s="348" t="s">
        <v>461</v>
      </c>
      <c r="D12" s="348"/>
      <c r="E12" s="175"/>
      <c r="F12" s="45" t="s">
        <v>24</v>
      </c>
      <c r="G12" s="46"/>
      <c r="H12" s="46"/>
      <c r="I12" s="46"/>
      <c r="J12" s="46"/>
    </row>
    <row r="13" spans="2:12" s="13" customFormat="1" ht="16">
      <c r="B13" s="44"/>
      <c r="C13" s="348" t="s">
        <v>462</v>
      </c>
      <c r="D13" s="348"/>
      <c r="E13" s="175"/>
      <c r="F13" s="45" t="s">
        <v>23</v>
      </c>
      <c r="G13" s="352">
        <v>859397</v>
      </c>
      <c r="H13" s="353"/>
      <c r="I13" s="353"/>
      <c r="J13" s="354"/>
    </row>
    <row r="14" spans="2:12" s="13" customFormat="1" ht="16">
      <c r="B14" s="44"/>
      <c r="C14" s="355"/>
      <c r="D14" s="355"/>
      <c r="E14" s="176"/>
      <c r="F14" s="43" t="s">
        <v>22</v>
      </c>
      <c r="G14" s="352" t="s">
        <v>510</v>
      </c>
      <c r="H14" s="353"/>
      <c r="I14" s="353"/>
      <c r="J14" s="354"/>
    </row>
    <row r="15" spans="2:12" s="13" customFormat="1" ht="16">
      <c r="B15" s="42"/>
      <c r="C15" s="41"/>
      <c r="D15" s="41"/>
      <c r="E15" s="41"/>
    </row>
    <row r="16" spans="2:12" s="12" customFormat="1" ht="23" customHeight="1">
      <c r="B16" s="27" t="s">
        <v>21</v>
      </c>
      <c r="C16" s="40"/>
      <c r="D16" s="40"/>
      <c r="E16" s="40"/>
      <c r="F16" s="40"/>
      <c r="G16" s="40"/>
      <c r="H16" s="363"/>
      <c r="I16" s="363"/>
      <c r="J16" s="363"/>
    </row>
    <row r="17" spans="2:10" s="12" customFormat="1" ht="18" customHeight="1">
      <c r="B17" s="27"/>
      <c r="C17" s="356"/>
      <c r="D17" s="356"/>
      <c r="E17" s="356"/>
      <c r="F17" s="356"/>
      <c r="G17" s="356"/>
      <c r="H17" s="356"/>
      <c r="I17" s="356"/>
      <c r="J17" s="356"/>
    </row>
    <row r="18" spans="2:10" s="12" customFormat="1" ht="5" customHeight="1" thickBot="1">
      <c r="B18" s="27"/>
      <c r="C18" s="26"/>
      <c r="D18" s="26"/>
      <c r="E18" s="26"/>
      <c r="F18" s="26"/>
      <c r="G18" s="26"/>
      <c r="H18" s="26"/>
      <c r="I18" s="26"/>
      <c r="J18" s="26"/>
    </row>
    <row r="19" spans="2:10" s="12" customFormat="1" ht="18" customHeight="1" thickTop="1">
      <c r="B19" s="27"/>
      <c r="C19" s="39" t="s">
        <v>20</v>
      </c>
      <c r="D19" s="38" t="s">
        <v>19</v>
      </c>
      <c r="E19" s="38"/>
      <c r="F19" s="38" t="s">
        <v>18</v>
      </c>
      <c r="G19" s="38" t="s">
        <v>17</v>
      </c>
      <c r="H19" s="37" t="s">
        <v>16</v>
      </c>
      <c r="I19" s="31"/>
      <c r="J19" s="36" t="s">
        <v>15</v>
      </c>
    </row>
    <row r="20" spans="2:10" s="12" customFormat="1" ht="17" customHeight="1" thickBot="1">
      <c r="B20" s="27"/>
      <c r="C20" s="35" t="s">
        <v>14</v>
      </c>
      <c r="D20" s="34" t="s">
        <v>14</v>
      </c>
      <c r="E20" s="34"/>
      <c r="F20" s="33" t="s">
        <v>13</v>
      </c>
      <c r="G20" s="33" t="s">
        <v>12</v>
      </c>
      <c r="H20" s="32" t="s">
        <v>11</v>
      </c>
      <c r="I20" s="31"/>
      <c r="J20" s="30" t="s">
        <v>10</v>
      </c>
    </row>
    <row r="21" spans="2:10" s="12" customFormat="1" ht="18" customHeight="1" thickTop="1">
      <c r="B21" s="27"/>
      <c r="C21" s="357"/>
      <c r="D21" s="357"/>
      <c r="E21" s="134"/>
      <c r="F21" s="357"/>
      <c r="G21" s="357"/>
      <c r="H21" s="359"/>
      <c r="I21" s="29"/>
      <c r="J21" s="359" t="str">
        <f>IFERROR(INDEX(PO_LOG[PAY ID], MATCH(Sheet_PO, PO_LOG[PO], 0)), "No match found")</f>
        <v>WIRE+AMEX</v>
      </c>
    </row>
    <row r="22" spans="2:10" s="12" customFormat="1" ht="13" customHeight="1" thickBot="1">
      <c r="B22" s="27"/>
      <c r="C22" s="358"/>
      <c r="D22" s="358"/>
      <c r="E22" s="135"/>
      <c r="F22" s="358"/>
      <c r="G22" s="358"/>
      <c r="H22" s="360"/>
      <c r="I22" s="28"/>
      <c r="J22" s="360"/>
    </row>
    <row r="23" spans="2:10" s="12" customFormat="1" ht="6" customHeight="1" thickTop="1">
      <c r="B23" s="27"/>
      <c r="C23" s="26"/>
      <c r="D23" s="26"/>
      <c r="E23" s="26"/>
      <c r="F23" s="26"/>
      <c r="G23" s="26"/>
      <c r="H23" s="26"/>
      <c r="I23" s="26"/>
      <c r="J23" s="26"/>
    </row>
    <row r="24" spans="2:10" ht="11" customHeight="1">
      <c r="B24" s="364"/>
      <c r="C24" s="364"/>
      <c r="D24" s="365"/>
      <c r="E24" s="365"/>
      <c r="F24" s="365"/>
      <c r="G24" s="365"/>
      <c r="H24" s="365"/>
      <c r="I24" s="365"/>
      <c r="J24" s="365"/>
    </row>
    <row r="25" spans="2:10" s="13" customFormat="1" ht="16" customHeight="1">
      <c r="B25" s="25" t="s">
        <v>9</v>
      </c>
      <c r="C25" s="366" t="s">
        <v>8</v>
      </c>
      <c r="D25" s="367"/>
      <c r="E25" s="133" t="s">
        <v>40</v>
      </c>
      <c r="F25" s="24" t="s">
        <v>7</v>
      </c>
      <c r="G25" s="24" t="s">
        <v>6</v>
      </c>
      <c r="H25" s="24" t="s">
        <v>5</v>
      </c>
      <c r="I25" s="23" t="s">
        <v>4</v>
      </c>
      <c r="J25" s="23" t="s">
        <v>3</v>
      </c>
    </row>
    <row r="26" spans="2:10" s="13" customFormat="1" ht="16" customHeight="1">
      <c r="B26" s="21">
        <v>193</v>
      </c>
      <c r="C26" s="350" t="s">
        <v>459</v>
      </c>
      <c r="D26" s="351"/>
      <c r="E26" s="132" t="s">
        <v>379</v>
      </c>
      <c r="F26" s="21">
        <v>1</v>
      </c>
      <c r="G26" s="22">
        <v>17749.48</v>
      </c>
      <c r="H26" s="21" t="s">
        <v>439</v>
      </c>
      <c r="I26" s="20" t="str">
        <f t="shared" ref="I26:I41" si="0">IF(H26="CAD", "N/A", IF(H26="USD", F26*G26, ""))</f>
        <v>N/A</v>
      </c>
      <c r="J26" s="19">
        <f t="shared" ref="J26:J41" si="1">IF(H26="CAD", F26*G26, IF(H26="USD", I26*1.36, ""))</f>
        <v>17749.48</v>
      </c>
    </row>
    <row r="27" spans="2:10" s="13" customFormat="1" ht="16" customHeight="1">
      <c r="B27" s="21">
        <v>210</v>
      </c>
      <c r="C27" s="374" t="s">
        <v>508</v>
      </c>
      <c r="D27" s="375"/>
      <c r="E27" s="168" t="s">
        <v>506</v>
      </c>
      <c r="F27" s="21">
        <v>1</v>
      </c>
      <c r="G27" s="22">
        <v>10000</v>
      </c>
      <c r="H27" s="21" t="s">
        <v>439</v>
      </c>
      <c r="I27" s="20" t="str">
        <f t="shared" si="0"/>
        <v>N/A</v>
      </c>
      <c r="J27" s="19">
        <f t="shared" si="1"/>
        <v>10000</v>
      </c>
    </row>
    <row r="28" spans="2:10" s="13" customFormat="1" ht="16" customHeight="1">
      <c r="B28" s="21">
        <v>210</v>
      </c>
      <c r="C28" s="350" t="s">
        <v>507</v>
      </c>
      <c r="D28" s="351"/>
      <c r="E28" s="132" t="s">
        <v>506</v>
      </c>
      <c r="F28" s="21">
        <v>1</v>
      </c>
      <c r="G28" s="173">
        <v>3616.25</v>
      </c>
      <c r="H28" s="21" t="s">
        <v>439</v>
      </c>
      <c r="I28" s="20" t="str">
        <f t="shared" si="0"/>
        <v>N/A</v>
      </c>
      <c r="J28" s="19">
        <f t="shared" si="1"/>
        <v>3616.25</v>
      </c>
    </row>
    <row r="29" spans="2:10" s="13" customFormat="1" ht="16" customHeight="1">
      <c r="B29" s="21">
        <v>193</v>
      </c>
      <c r="C29" s="350" t="s">
        <v>507</v>
      </c>
      <c r="D29" s="351"/>
      <c r="E29" s="132" t="s">
        <v>506</v>
      </c>
      <c r="F29" s="21">
        <v>1</v>
      </c>
      <c r="G29" s="173">
        <v>3616.25</v>
      </c>
      <c r="H29" s="21" t="s">
        <v>439</v>
      </c>
      <c r="I29" s="20" t="str">
        <f t="shared" si="0"/>
        <v>N/A</v>
      </c>
      <c r="J29" s="19">
        <f t="shared" si="1"/>
        <v>3616.25</v>
      </c>
    </row>
    <row r="30" spans="2:10" s="13" customFormat="1" ht="16" customHeight="1">
      <c r="B30" s="21"/>
      <c r="C30" s="350"/>
      <c r="D30" s="351"/>
      <c r="E30" s="132"/>
      <c r="F30" s="21"/>
      <c r="G30" s="173"/>
      <c r="H30" s="21"/>
      <c r="I30" s="20" t="str">
        <f t="shared" si="0"/>
        <v/>
      </c>
      <c r="J30" s="19" t="str">
        <f t="shared" si="1"/>
        <v/>
      </c>
    </row>
    <row r="31" spans="2:10" s="13" customFormat="1" ht="16" customHeight="1">
      <c r="B31" s="21"/>
      <c r="C31" s="361"/>
      <c r="D31" s="362"/>
      <c r="E31" s="131"/>
      <c r="F31" s="21"/>
      <c r="G31" s="173"/>
      <c r="H31" s="21"/>
      <c r="I31" s="20" t="str">
        <f t="shared" si="0"/>
        <v/>
      </c>
      <c r="J31" s="19" t="str">
        <f t="shared" si="1"/>
        <v/>
      </c>
    </row>
    <row r="32" spans="2:10" s="13" customFormat="1" ht="16" customHeight="1">
      <c r="B32" s="21">
        <v>193</v>
      </c>
      <c r="C32" s="350" t="s">
        <v>460</v>
      </c>
      <c r="D32" s="351"/>
      <c r="E32" s="132"/>
      <c r="F32" s="21">
        <v>1</v>
      </c>
      <c r="G32" s="21">
        <v>-3965</v>
      </c>
      <c r="H32" s="21" t="s">
        <v>439</v>
      </c>
      <c r="I32" s="20" t="str">
        <f t="shared" si="0"/>
        <v>N/A</v>
      </c>
      <c r="J32" s="19">
        <f t="shared" si="1"/>
        <v>-3965</v>
      </c>
    </row>
    <row r="33" spans="2:10" s="13" customFormat="1" ht="16" customHeight="1">
      <c r="B33" s="21"/>
      <c r="C33" s="350"/>
      <c r="D33" s="351"/>
      <c r="E33" s="132"/>
      <c r="F33" s="21"/>
      <c r="G33" s="21"/>
      <c r="H33" s="21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72" t="s">
        <v>509</v>
      </c>
      <c r="D34" s="373"/>
      <c r="E34" s="131"/>
      <c r="F34" s="21"/>
      <c r="G34" s="21"/>
      <c r="H34" s="21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131"/>
      <c r="F35" s="21"/>
      <c r="G35" s="21"/>
      <c r="H35" s="21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131"/>
      <c r="F36" s="21"/>
      <c r="G36" s="21"/>
      <c r="H36" s="21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131"/>
      <c r="F37" s="21"/>
      <c r="G37" s="21"/>
      <c r="H37" s="21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131"/>
      <c r="F38" s="21"/>
      <c r="G38" s="21"/>
      <c r="H38" s="21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131"/>
      <c r="F39" s="21"/>
      <c r="G39" s="21"/>
      <c r="H39" s="21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131"/>
      <c r="F40" s="21"/>
      <c r="G40" s="21"/>
      <c r="H40" s="21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131"/>
      <c r="F41" s="21"/>
      <c r="G41" s="21"/>
      <c r="H41" s="21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15"/>
      <c r="H42" s="7"/>
      <c r="I42" s="7"/>
      <c r="J42" s="18"/>
    </row>
    <row r="43" spans="2:10" s="13" customFormat="1" ht="16" customHeight="1">
      <c r="B43" s="15"/>
      <c r="C43" s="15"/>
      <c r="D43" s="15"/>
      <c r="E43" s="15"/>
      <c r="F43" s="15"/>
      <c r="G43" s="15"/>
      <c r="H43" s="7" t="s">
        <v>2</v>
      </c>
      <c r="I43" s="7"/>
      <c r="J43" s="17">
        <f>SUM(J25:J41)</f>
        <v>31016.979999999996</v>
      </c>
    </row>
    <row r="44" spans="2:10" s="13" customFormat="1" ht="16" customHeight="1">
      <c r="B44" s="15"/>
      <c r="C44" s="15"/>
      <c r="D44" s="15"/>
      <c r="E44" s="15"/>
      <c r="F44" s="15"/>
      <c r="G44" s="15"/>
      <c r="H44" s="7"/>
      <c r="I44" s="7"/>
      <c r="J44" s="16"/>
    </row>
    <row r="45" spans="2:10" s="13" customFormat="1" ht="16" customHeight="1">
      <c r="B45" s="15"/>
      <c r="C45" s="15"/>
      <c r="D45" s="15"/>
      <c r="E45" s="15"/>
      <c r="F45" s="15"/>
      <c r="G45" s="15"/>
      <c r="H45" s="7"/>
      <c r="I45" s="7"/>
      <c r="J45" s="14"/>
    </row>
    <row r="46" spans="2:10" ht="16" customHeight="1">
      <c r="F46" s="12"/>
      <c r="G46" s="12"/>
      <c r="H46" s="11"/>
      <c r="I46" s="11"/>
      <c r="J46" s="11"/>
    </row>
    <row r="47" spans="2:10" ht="16" customHeight="1">
      <c r="C47" s="10"/>
      <c r="D47" s="10"/>
      <c r="E47" s="9"/>
      <c r="F47" s="9"/>
      <c r="G47" s="8"/>
      <c r="H47" s="7" t="s">
        <v>1</v>
      </c>
      <c r="I47" s="4"/>
      <c r="J47" s="6">
        <v>3965</v>
      </c>
    </row>
    <row r="48" spans="2:10" ht="16" customHeight="1">
      <c r="C48" s="368"/>
      <c r="D48" s="368"/>
      <c r="E48" s="130"/>
      <c r="F48" s="2"/>
      <c r="G48" s="4"/>
      <c r="H48" s="7" t="s">
        <v>448</v>
      </c>
      <c r="I48" s="4"/>
      <c r="J48" s="162">
        <f>SUM(J43:J47)</f>
        <v>34981.979999999996</v>
      </c>
    </row>
    <row r="49" spans="2:10" ht="16" customHeight="1">
      <c r="F49" s="4"/>
      <c r="G49" s="4"/>
      <c r="H49" s="4"/>
      <c r="I49" s="4"/>
      <c r="J49" s="4"/>
    </row>
    <row r="50" spans="2:10" ht="16" customHeight="1">
      <c r="C50" s="5"/>
      <c r="D50" s="5"/>
      <c r="E50" s="5"/>
      <c r="F50" s="5"/>
      <c r="G50" s="5"/>
      <c r="H50" s="4"/>
      <c r="I50" s="4"/>
      <c r="J50" s="4"/>
    </row>
    <row r="51" spans="2:10" ht="16" customHeight="1">
      <c r="C51" s="368"/>
      <c r="D51" s="368"/>
      <c r="E51" s="130"/>
      <c r="F51" s="368"/>
      <c r="G51" s="368"/>
      <c r="H51" s="3"/>
      <c r="I51" s="3"/>
      <c r="J51" s="2"/>
    </row>
    <row r="52" spans="2:10" ht="10.5" customHeight="1"/>
    <row r="53" spans="2:10">
      <c r="B53" s="369" t="s">
        <v>0</v>
      </c>
      <c r="C53" s="369"/>
      <c r="D53" s="369"/>
      <c r="E53" s="369"/>
      <c r="F53" s="369"/>
      <c r="G53" s="369"/>
      <c r="H53" s="369"/>
      <c r="I53" s="369"/>
      <c r="J53" s="369"/>
    </row>
  </sheetData>
  <sheetProtection formatCells="0" formatColumns="0" formatRows="0" insertColumns="0" insertRows="0" deleteRows="0" selectLockedCells="1"/>
  <mergeCells count="53">
    <mergeCell ref="K3:L3"/>
    <mergeCell ref="C1:G1"/>
    <mergeCell ref="H1:J1"/>
    <mergeCell ref="B2:C2"/>
    <mergeCell ref="D2:H2"/>
    <mergeCell ref="H3:J3"/>
    <mergeCell ref="C12:D12"/>
    <mergeCell ref="B4:H4"/>
    <mergeCell ref="B5:C5"/>
    <mergeCell ref="F5:I6"/>
    <mergeCell ref="B6:C6"/>
    <mergeCell ref="B7:C7"/>
    <mergeCell ref="D7:F7"/>
    <mergeCell ref="C9:D9"/>
    <mergeCell ref="G9:J9"/>
    <mergeCell ref="C10:D10"/>
    <mergeCell ref="G10:J10"/>
    <mergeCell ref="C11:D11"/>
    <mergeCell ref="J21:J22"/>
    <mergeCell ref="C13:D13"/>
    <mergeCell ref="G13:J13"/>
    <mergeCell ref="C14:D14"/>
    <mergeCell ref="G14:J14"/>
    <mergeCell ref="H16:J16"/>
    <mergeCell ref="C17:F17"/>
    <mergeCell ref="G17:J17"/>
    <mergeCell ref="C21:C22"/>
    <mergeCell ref="D21:D22"/>
    <mergeCell ref="F21:F22"/>
    <mergeCell ref="G21:G22"/>
    <mergeCell ref="H21:H22"/>
    <mergeCell ref="C35:D35"/>
    <mergeCell ref="B24:J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F51:G51"/>
    <mergeCell ref="B53:J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58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3F821-0806-9743-AE66-52B1537885F4}">
  <sheetPr codeName="Sheet11">
    <pageSetUpPr fitToPage="1"/>
  </sheetPr>
  <dimension ref="B1:K53"/>
  <sheetViews>
    <sheetView topLeftCell="B21" workbookViewId="0">
      <selection activeCell="C29" sqref="C29:D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PO_LOG[PO], 0)),
       IF(INDEX(PO_LOG[DATE], MATCH(Sheet_PO, PO_LOG[PO], 0)) = "", "",
          INDEX(PO_LOG[DATE], MATCH(Sheet_PO, PO_LOG[PO], 0))),
       ""),
    "No match found")</f>
        <v>45505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SOHO Metropoloitan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458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 2059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112</v>
      </c>
      <c r="C26" s="350" t="s">
        <v>457</v>
      </c>
      <c r="D26" s="351"/>
      <c r="E26" s="21">
        <v>1</v>
      </c>
      <c r="F26" s="22">
        <v>1932.3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1932.3</v>
      </c>
    </row>
    <row r="27" spans="2:9" s="13" customFormat="1" ht="16" customHeight="1">
      <c r="B27" s="21">
        <v>112</v>
      </c>
      <c r="C27" s="350" t="s">
        <v>457</v>
      </c>
      <c r="D27" s="351"/>
      <c r="E27" s="21">
        <v>1</v>
      </c>
      <c r="F27" s="22">
        <v>1932.3</v>
      </c>
      <c r="G27" s="21" t="s">
        <v>439</v>
      </c>
      <c r="H27" s="20" t="str">
        <f>IF(G27="CAD", "N/A", IF(G27="USD", E27*F27, ""))</f>
        <v>N/A</v>
      </c>
      <c r="I27" s="19">
        <f>IF(G27="CAD", E27*F27, IF(G27="USD", H27*1.36, ""))</f>
        <v>1932.3</v>
      </c>
    </row>
    <row r="28" spans="2:9" s="13" customFormat="1" ht="16" customHeight="1">
      <c r="B28" s="252">
        <v>112</v>
      </c>
      <c r="C28" s="376" t="s">
        <v>995</v>
      </c>
      <c r="D28" s="377"/>
      <c r="E28" s="252">
        <v>1</v>
      </c>
      <c r="F28" s="252">
        <v>-870.33</v>
      </c>
      <c r="G28" s="252" t="s">
        <v>439</v>
      </c>
      <c r="H28" s="253" t="str">
        <f t="shared" si="0"/>
        <v>N/A</v>
      </c>
      <c r="I28" s="254">
        <f t="shared" si="1"/>
        <v>-870.33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2994.27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324.29000000000002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3318.56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5DE8B-D2A9-BF4F-B049-5996A87DC3D8}">
  <sheetPr codeName="Sheet12">
    <pageSetUpPr fitToPage="1"/>
  </sheetPr>
  <dimension ref="B1:K53"/>
  <sheetViews>
    <sheetView workbookViewId="0">
      <selection activeCell="B10" sqref="B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Eco Trailers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454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455</v>
      </c>
      <c r="D13" s="348"/>
      <c r="E13" s="45" t="s">
        <v>23</v>
      </c>
      <c r="F13" s="352">
        <v>4075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453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119</v>
      </c>
      <c r="C26" s="350" t="s">
        <v>456</v>
      </c>
      <c r="D26" s="351"/>
      <c r="E26" s="21">
        <v>1</v>
      </c>
      <c r="F26" s="22">
        <v>2438.66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2438.66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2438.66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317.02999999999997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2755.6899999999996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CE5C-AF4E-DA4E-BA94-BA04BF2E7D9F}">
  <sheetPr codeName="Sheet13">
    <pageSetUpPr fitToPage="1"/>
  </sheetPr>
  <dimension ref="B1:K53"/>
  <sheetViews>
    <sheetView workbookViewId="0">
      <selection activeCell="B28" sqref="B28:I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Total Two-Way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449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450</v>
      </c>
      <c r="D13" s="348"/>
      <c r="E13" s="45" t="s">
        <v>23</v>
      </c>
      <c r="F13" s="352" t="s">
        <v>986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842625675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200</v>
      </c>
      <c r="C27" s="350" t="s">
        <v>451</v>
      </c>
      <c r="D27" s="351"/>
      <c r="E27" s="21">
        <v>25</v>
      </c>
      <c r="F27" s="22">
        <v>15</v>
      </c>
      <c r="G27" s="21" t="s">
        <v>439</v>
      </c>
      <c r="H27" s="20" t="str">
        <f t="shared" si="0"/>
        <v>N/A</v>
      </c>
      <c r="I27" s="19">
        <f t="shared" si="1"/>
        <v>375</v>
      </c>
    </row>
    <row r="28" spans="2:9" s="13" customFormat="1" ht="16" customHeight="1">
      <c r="B28" s="252">
        <v>200</v>
      </c>
      <c r="C28" s="376" t="s">
        <v>452</v>
      </c>
      <c r="D28" s="377"/>
      <c r="E28" s="252">
        <v>50</v>
      </c>
      <c r="F28" s="252">
        <v>20</v>
      </c>
      <c r="G28" s="252" t="s">
        <v>439</v>
      </c>
      <c r="H28" s="253" t="str">
        <f t="shared" si="0"/>
        <v>N/A</v>
      </c>
      <c r="I28" s="254">
        <f t="shared" si="1"/>
        <v>1000</v>
      </c>
    </row>
    <row r="29" spans="2:9" s="13" customFormat="1" ht="16" customHeight="1">
      <c r="B29" s="252"/>
      <c r="C29" s="378"/>
      <c r="D29" s="379"/>
      <c r="E29" s="252"/>
      <c r="F29" s="252"/>
      <c r="G29" s="252"/>
      <c r="H29" s="253" t="str">
        <f t="shared" si="0"/>
        <v/>
      </c>
      <c r="I29" s="254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1375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f>48.75+130</f>
        <v>178.75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1553.75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6272-337A-8046-B31B-DCA951078496}">
  <sheetPr codeName="Sheet14">
    <pageSetUpPr fitToPage="1"/>
  </sheetPr>
  <dimension ref="B1:K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Affiliated Equipment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468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469</v>
      </c>
      <c r="D13" s="348"/>
      <c r="E13" s="45" t="s">
        <v>23</v>
      </c>
      <c r="F13" s="352">
        <v>79985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470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473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209</v>
      </c>
      <c r="C26" s="350" t="s">
        <v>110</v>
      </c>
      <c r="D26" s="351"/>
      <c r="E26" s="21">
        <v>1</v>
      </c>
      <c r="F26" s="21">
        <v>9530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9530</v>
      </c>
    </row>
    <row r="27" spans="2:9" s="13" customFormat="1" ht="16" customHeight="1">
      <c r="B27" s="21">
        <v>195</v>
      </c>
      <c r="C27" s="350" t="s">
        <v>471</v>
      </c>
      <c r="D27" s="351"/>
      <c r="E27" s="21">
        <v>1</v>
      </c>
      <c r="F27" s="22">
        <v>14277.5</v>
      </c>
      <c r="G27" s="21" t="s">
        <v>439</v>
      </c>
      <c r="H27" s="20" t="str">
        <f t="shared" si="0"/>
        <v>N/A</v>
      </c>
      <c r="I27" s="19">
        <f t="shared" si="1"/>
        <v>14277.5</v>
      </c>
    </row>
    <row r="28" spans="2:9" s="13" customFormat="1" ht="16" customHeight="1">
      <c r="B28" s="21">
        <v>196</v>
      </c>
      <c r="C28" s="350" t="s">
        <v>472</v>
      </c>
      <c r="D28" s="351"/>
      <c r="E28" s="21">
        <v>1</v>
      </c>
      <c r="F28" s="21">
        <v>7383.4</v>
      </c>
      <c r="G28" s="21" t="s">
        <v>439</v>
      </c>
      <c r="H28" s="20" t="str">
        <f t="shared" si="0"/>
        <v>N/A</v>
      </c>
      <c r="I28" s="19">
        <f t="shared" si="1"/>
        <v>7383.4</v>
      </c>
    </row>
    <row r="29" spans="2:9" s="13" customFormat="1" ht="16" customHeight="1">
      <c r="B29" s="21">
        <v>206</v>
      </c>
      <c r="C29" s="361" t="s">
        <v>209</v>
      </c>
      <c r="D29" s="362"/>
      <c r="E29" s="21">
        <v>1</v>
      </c>
      <c r="F29" s="21">
        <v>2154.7399999999998</v>
      </c>
      <c r="G29" s="21" t="s">
        <v>439</v>
      </c>
      <c r="H29" s="20" t="str">
        <f t="shared" si="0"/>
        <v>N/A</v>
      </c>
      <c r="I29" s="19">
        <f t="shared" si="1"/>
        <v>2154.7399999999998</v>
      </c>
    </row>
    <row r="30" spans="2:9" s="13" customFormat="1" ht="16" customHeight="1">
      <c r="B30" s="21">
        <v>196</v>
      </c>
      <c r="C30" s="361" t="s">
        <v>478</v>
      </c>
      <c r="D30" s="362"/>
      <c r="E30" s="21">
        <v>1</v>
      </c>
      <c r="F30" s="21">
        <v>807.14</v>
      </c>
      <c r="G30" s="21" t="s">
        <v>439</v>
      </c>
      <c r="H30" s="20" t="str">
        <f t="shared" si="0"/>
        <v>N/A</v>
      </c>
      <c r="I30" s="19">
        <f t="shared" si="1"/>
        <v>807.14</v>
      </c>
    </row>
    <row r="31" spans="2:9" s="13" customFormat="1" ht="16" customHeight="1">
      <c r="B31" s="21">
        <v>204</v>
      </c>
      <c r="C31" s="361" t="s">
        <v>475</v>
      </c>
      <c r="D31" s="362"/>
      <c r="E31" s="21">
        <v>1</v>
      </c>
      <c r="F31" s="21">
        <v>1554</v>
      </c>
      <c r="G31" s="21" t="s">
        <v>439</v>
      </c>
      <c r="H31" s="20" t="str">
        <f t="shared" si="0"/>
        <v>N/A</v>
      </c>
      <c r="I31" s="19">
        <f t="shared" si="1"/>
        <v>1554</v>
      </c>
    </row>
    <row r="32" spans="2:9" s="13" customFormat="1" ht="16" customHeight="1">
      <c r="B32" s="21">
        <v>195</v>
      </c>
      <c r="C32" s="361" t="s">
        <v>474</v>
      </c>
      <c r="D32" s="362"/>
      <c r="E32" s="21">
        <v>1</v>
      </c>
      <c r="F32" s="21">
        <v>1250</v>
      </c>
      <c r="G32" s="21" t="s">
        <v>439</v>
      </c>
      <c r="H32" s="20" t="str">
        <f t="shared" si="0"/>
        <v>N/A</v>
      </c>
      <c r="I32" s="19">
        <f t="shared" si="1"/>
        <v>1250</v>
      </c>
    </row>
    <row r="33" spans="2:9" s="13" customFormat="1" ht="16" customHeight="1">
      <c r="B33" s="21">
        <v>209</v>
      </c>
      <c r="C33" s="361" t="s">
        <v>477</v>
      </c>
      <c r="D33" s="362"/>
      <c r="E33" s="21">
        <v>1</v>
      </c>
      <c r="F33" s="21">
        <v>-1720</v>
      </c>
      <c r="G33" s="21" t="s">
        <v>439</v>
      </c>
      <c r="H33" s="20" t="str">
        <f t="shared" si="0"/>
        <v>N/A</v>
      </c>
      <c r="I33" s="19">
        <f t="shared" si="1"/>
        <v>-1720</v>
      </c>
    </row>
    <row r="34" spans="2:9" s="13" customFormat="1" ht="16" customHeight="1">
      <c r="B34" s="21">
        <v>197</v>
      </c>
      <c r="C34" s="361" t="s">
        <v>476</v>
      </c>
      <c r="D34" s="362"/>
      <c r="E34" s="21">
        <v>1</v>
      </c>
      <c r="F34" s="21">
        <v>1720</v>
      </c>
      <c r="G34" s="21" t="s">
        <v>439</v>
      </c>
      <c r="H34" s="20" t="str">
        <f t="shared" si="0"/>
        <v>N/A</v>
      </c>
      <c r="I34" s="19">
        <f t="shared" si="1"/>
        <v>1720</v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36956.78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4989.79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41946.57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C93F8-05C1-C043-90C5-43B5ECA51571}">
  <sheetPr codeName="Sheet15">
    <tabColor rgb="FFFF0000"/>
    <pageSetUpPr fitToPage="1"/>
  </sheetPr>
  <dimension ref="B1:K53"/>
  <sheetViews>
    <sheetView topLeftCell="A24" workbookViewId="0">
      <selection activeCell="G34" sqref="G3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Aristo Catering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446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447</v>
      </c>
      <c r="D13" s="348"/>
      <c r="E13" s="45" t="s">
        <v>23</v>
      </c>
      <c r="F13" s="352">
        <v>3115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445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130</v>
      </c>
      <c r="C26" s="350" t="s">
        <v>135</v>
      </c>
      <c r="D26" s="351"/>
      <c r="E26" s="21">
        <v>1</v>
      </c>
      <c r="F26" s="22">
        <v>2887.5</v>
      </c>
      <c r="G26" s="21" t="s">
        <v>439</v>
      </c>
      <c r="H26" s="20" t="str">
        <f t="shared" ref="H26:H35" si="0">IF(G26="CAD", "N/A", IF(G26="USD", E26*F26, ""))</f>
        <v>N/A</v>
      </c>
      <c r="I26" s="19">
        <f t="shared" ref="I26:I35" si="1">IF(G26="CAD", E26*F26, IF(G26="USD", H26*1.36, ""))</f>
        <v>2887.5</v>
      </c>
    </row>
    <row r="27" spans="2:9" s="13" customFormat="1" ht="16" customHeight="1">
      <c r="B27" s="21">
        <v>131</v>
      </c>
      <c r="C27" s="350" t="s">
        <v>136</v>
      </c>
      <c r="D27" s="351"/>
      <c r="E27" s="21">
        <v>1</v>
      </c>
      <c r="F27" s="22">
        <v>2887.5</v>
      </c>
      <c r="G27" s="21" t="s">
        <v>439</v>
      </c>
      <c r="H27" s="20" t="str">
        <f t="shared" si="0"/>
        <v>N/A</v>
      </c>
      <c r="I27" s="19">
        <f t="shared" si="1"/>
        <v>2887.5</v>
      </c>
    </row>
    <row r="28" spans="2:9" s="13" customFormat="1" ht="16" customHeight="1">
      <c r="B28" s="160">
        <v>139</v>
      </c>
      <c r="C28" s="380" t="s">
        <v>440</v>
      </c>
      <c r="D28" s="381"/>
      <c r="E28" s="160">
        <v>1</v>
      </c>
      <c r="F28" s="160">
        <v>3630</v>
      </c>
      <c r="G28" s="21" t="s">
        <v>439</v>
      </c>
      <c r="H28" s="20" t="str">
        <f t="shared" si="0"/>
        <v>N/A</v>
      </c>
      <c r="I28" s="19">
        <f t="shared" si="1"/>
        <v>3630</v>
      </c>
    </row>
    <row r="29" spans="2:9" s="13" customFormat="1" ht="16" customHeight="1">
      <c r="B29" s="160">
        <v>42</v>
      </c>
      <c r="C29" s="380" t="s">
        <v>436</v>
      </c>
      <c r="D29" s="381"/>
      <c r="E29" s="160">
        <v>1</v>
      </c>
      <c r="F29" s="160">
        <v>700</v>
      </c>
      <c r="G29" s="21" t="s">
        <v>439</v>
      </c>
      <c r="H29" s="20" t="str">
        <f t="shared" si="0"/>
        <v>N/A</v>
      </c>
      <c r="I29" s="19">
        <f t="shared" si="1"/>
        <v>700</v>
      </c>
    </row>
    <row r="30" spans="2:9" s="13" customFormat="1" ht="16" customHeight="1">
      <c r="B30" s="21">
        <v>93</v>
      </c>
      <c r="C30" s="361" t="s">
        <v>438</v>
      </c>
      <c r="D30" s="362"/>
      <c r="E30" s="21">
        <v>1</v>
      </c>
      <c r="F30" s="21">
        <v>522.9</v>
      </c>
      <c r="G30" s="21" t="s">
        <v>439</v>
      </c>
      <c r="H30" s="20" t="str">
        <f t="shared" si="0"/>
        <v>N/A</v>
      </c>
      <c r="I30" s="19">
        <f t="shared" si="1"/>
        <v>522.9</v>
      </c>
    </row>
    <row r="31" spans="2:9" s="13" customFormat="1" ht="16" customHeight="1">
      <c r="B31" s="21">
        <v>94</v>
      </c>
      <c r="C31" s="361" t="s">
        <v>437</v>
      </c>
      <c r="D31" s="362"/>
      <c r="E31" s="21">
        <v>1</v>
      </c>
      <c r="F31" s="21">
        <v>457.23</v>
      </c>
      <c r="G31" s="21" t="s">
        <v>439</v>
      </c>
      <c r="H31" s="20" t="str">
        <f t="shared" si="0"/>
        <v>N/A</v>
      </c>
      <c r="I31" s="19">
        <f t="shared" si="1"/>
        <v>457.23</v>
      </c>
    </row>
    <row r="32" spans="2:9" s="13" customFormat="1" ht="16" customHeight="1">
      <c r="B32" s="160">
        <v>131</v>
      </c>
      <c r="C32" s="380" t="s">
        <v>442</v>
      </c>
      <c r="D32" s="381"/>
      <c r="E32" s="160">
        <v>1</v>
      </c>
      <c r="F32" s="160">
        <v>1339.8</v>
      </c>
      <c r="G32" s="21" t="s">
        <v>439</v>
      </c>
      <c r="H32" s="20" t="str">
        <f t="shared" si="0"/>
        <v>N/A</v>
      </c>
      <c r="I32" s="19">
        <f t="shared" si="1"/>
        <v>1339.8</v>
      </c>
    </row>
    <row r="33" spans="2:9" s="13" customFormat="1" ht="16" customHeight="1">
      <c r="B33" s="161">
        <v>139</v>
      </c>
      <c r="C33" s="382" t="s">
        <v>441</v>
      </c>
      <c r="D33" s="383"/>
      <c r="E33" s="21">
        <v>1</v>
      </c>
      <c r="F33" s="21">
        <v>700</v>
      </c>
      <c r="G33" s="21" t="s">
        <v>439</v>
      </c>
      <c r="H33" s="20" t="str">
        <f t="shared" si="0"/>
        <v>N/A</v>
      </c>
      <c r="I33" s="19">
        <f t="shared" si="1"/>
        <v>700</v>
      </c>
    </row>
    <row r="34" spans="2:9" s="13" customFormat="1" ht="16" customHeight="1">
      <c r="B34" s="21"/>
      <c r="C34" s="361"/>
      <c r="D34" s="362"/>
      <c r="E34" s="21"/>
      <c r="F34" s="21"/>
      <c r="G34" s="21" t="s">
        <v>439</v>
      </c>
      <c r="H34" s="20" t="str">
        <f t="shared" si="0"/>
        <v>N/A</v>
      </c>
      <c r="I34" s="19">
        <f t="shared" si="1"/>
        <v>0</v>
      </c>
    </row>
    <row r="35" spans="2:9" s="13" customFormat="1" ht="16" customHeight="1">
      <c r="B35" s="21">
        <v>139</v>
      </c>
      <c r="C35" s="361" t="s">
        <v>443</v>
      </c>
      <c r="D35" s="362"/>
      <c r="E35" s="21">
        <v>1</v>
      </c>
      <c r="F35" s="21">
        <v>64</v>
      </c>
      <c r="G35" s="21" t="s">
        <v>439</v>
      </c>
      <c r="H35" s="20" t="str">
        <f t="shared" si="0"/>
        <v>N/A</v>
      </c>
      <c r="I35" s="19">
        <f t="shared" si="1"/>
        <v>64</v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ref="H36:H41" si="2">IF(G36="CAD", "N/A", IF(G36="USD", E36*F36, ""))</f>
        <v/>
      </c>
      <c r="I36" s="19" t="str">
        <f t="shared" ref="I36:I41" si="3">IF(G36="CAD", E36*F36, IF(G36="USD", H36*1.36, ""))</f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2"/>
        <v/>
      </c>
      <c r="I37" s="19" t="str">
        <f t="shared" si="3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2"/>
        <v/>
      </c>
      <c r="I38" s="19" t="str">
        <f t="shared" si="3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2"/>
        <v/>
      </c>
      <c r="I39" s="19" t="str">
        <f t="shared" si="3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2"/>
        <v/>
      </c>
      <c r="I40" s="19" t="str">
        <f t="shared" si="3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2"/>
        <v/>
      </c>
      <c r="I41" s="19" t="str">
        <f t="shared" si="3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13188.929999999998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1819.99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15008.919999999998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6D67-447E-7744-87BC-3BBE03540E8E}">
  <sheetPr codeName="Sheet16">
    <tabColor rgb="FFFF0000"/>
    <pageSetUpPr fitToPage="1"/>
  </sheetPr>
  <dimension ref="B1:K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289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Aristo Catering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84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 t="s">
        <v>444</v>
      </c>
      <c r="D26" s="351"/>
      <c r="E26" s="21"/>
      <c r="F26" s="21"/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0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49.4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49.4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914DC-7AA3-644E-A2CB-7D949C6A444C}">
  <sheetPr codeName="Sheet17">
    <pageSetUpPr fitToPage="1"/>
  </sheetPr>
  <dimension ref="B1:L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8" width="12.33203125" style="1" customWidth="1"/>
    <col min="9" max="9" width="22.33203125" style="1" customWidth="1"/>
    <col min="10" max="10" width="13.33203125" style="1" customWidth="1"/>
    <col min="11" max="16384" width="8.83203125" style="1"/>
  </cols>
  <sheetData>
    <row r="1" spans="2:12" ht="45" customHeight="1">
      <c r="B1" s="60"/>
      <c r="C1" s="336" t="s">
        <v>36</v>
      </c>
      <c r="D1" s="336"/>
      <c r="E1" s="336"/>
      <c r="F1" s="336"/>
      <c r="G1" s="337"/>
      <c r="H1" s="337"/>
      <c r="I1" s="337"/>
      <c r="J1" s="337"/>
    </row>
    <row r="2" spans="2:12" ht="12.75" customHeight="1">
      <c r="B2" s="338"/>
      <c r="C2" s="339"/>
      <c r="D2" s="340"/>
      <c r="E2" s="340"/>
      <c r="F2" s="340"/>
      <c r="G2" s="340"/>
    </row>
    <row r="3" spans="2:12" ht="22">
      <c r="B3" s="59" t="s">
        <v>35</v>
      </c>
      <c r="C3" s="58"/>
      <c r="D3" s="57"/>
      <c r="E3" s="57"/>
      <c r="F3" s="56" t="s">
        <v>34</v>
      </c>
      <c r="G3" s="341" t="s">
        <v>290</v>
      </c>
      <c r="H3" s="341"/>
      <c r="I3" s="341"/>
      <c r="J3" s="341"/>
      <c r="K3" s="335"/>
      <c r="L3" s="335"/>
    </row>
    <row r="4" spans="2:12" s="12" customFormat="1" ht="9" customHeight="1">
      <c r="B4" s="342"/>
      <c r="C4" s="342"/>
      <c r="D4" s="342"/>
      <c r="E4" s="342"/>
      <c r="F4" s="342"/>
      <c r="G4" s="342"/>
      <c r="H4" s="55"/>
      <c r="I4" s="55"/>
      <c r="J4" s="55"/>
    </row>
    <row r="5" spans="2:12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344"/>
      <c r="J5" s="54"/>
    </row>
    <row r="6" spans="2:12" s="13" customFormat="1" ht="16">
      <c r="B6" s="343" t="s">
        <v>31</v>
      </c>
      <c r="C6" s="343"/>
      <c r="D6" s="53"/>
      <c r="E6" s="344"/>
      <c r="F6" s="344"/>
      <c r="G6" s="344"/>
      <c r="H6" s="344"/>
      <c r="I6" s="344"/>
      <c r="J6" s="52"/>
    </row>
    <row r="7" spans="2:12" s="13" customFormat="1" ht="16">
      <c r="B7" s="343"/>
      <c r="C7" s="343"/>
      <c r="D7" s="345"/>
      <c r="E7" s="345"/>
      <c r="F7" s="49"/>
      <c r="G7" s="49"/>
      <c r="H7" s="49"/>
      <c r="I7" s="49"/>
      <c r="J7" s="49"/>
    </row>
    <row r="8" spans="2:12" s="13" customFormat="1" ht="16">
      <c r="B8" s="51"/>
      <c r="C8" s="51"/>
      <c r="D8" s="50"/>
      <c r="E8" s="50"/>
      <c r="F8" s="49"/>
      <c r="G8" s="49"/>
      <c r="H8" s="49"/>
      <c r="I8" s="49"/>
      <c r="J8" s="49"/>
    </row>
    <row r="9" spans="2:12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  <c r="J9" s="347"/>
    </row>
    <row r="10" spans="2:12" s="13" customFormat="1" ht="14" customHeight="1">
      <c r="B10" s="45" t="s">
        <v>27</v>
      </c>
      <c r="C10" s="348" t="str">
        <f>IFERROR(INDEX(PO_LOG[PAYEE], MATCH(Sheet_PO, PO_LOG[PO], 0)), "No match found")</f>
        <v>Distinct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  <c r="J10" s="349"/>
    </row>
    <row r="11" spans="2:12" s="13" customFormat="1" ht="16">
      <c r="B11" s="48"/>
      <c r="C11" s="348" t="s">
        <v>519</v>
      </c>
      <c r="D11" s="348"/>
      <c r="E11" s="47"/>
    </row>
    <row r="12" spans="2:12" s="13" customFormat="1" ht="22" customHeight="1">
      <c r="B12" s="45" t="s">
        <v>25</v>
      </c>
      <c r="C12" s="348" t="s">
        <v>516</v>
      </c>
      <c r="D12" s="348"/>
      <c r="E12" s="45" t="s">
        <v>24</v>
      </c>
      <c r="F12" s="46" t="s">
        <v>518</v>
      </c>
      <c r="G12" s="46"/>
      <c r="H12" s="46"/>
      <c r="I12" s="46"/>
      <c r="J12" s="46"/>
    </row>
    <row r="13" spans="2:12" s="13" customFormat="1" ht="16">
      <c r="B13" s="44"/>
      <c r="C13" s="348" t="s">
        <v>517</v>
      </c>
      <c r="D13" s="348"/>
      <c r="E13" s="45" t="s">
        <v>23</v>
      </c>
      <c r="F13" s="352"/>
      <c r="G13" s="353"/>
      <c r="H13" s="353"/>
      <c r="I13" s="353"/>
      <c r="J13" s="354"/>
    </row>
    <row r="14" spans="2:12" s="13" customFormat="1" ht="16">
      <c r="B14" s="44"/>
      <c r="C14" s="355"/>
      <c r="D14" s="355"/>
      <c r="E14" s="43" t="s">
        <v>22</v>
      </c>
      <c r="F14" s="352">
        <v>825037732</v>
      </c>
      <c r="G14" s="353"/>
      <c r="H14" s="353"/>
      <c r="I14" s="353"/>
      <c r="J14" s="354"/>
    </row>
    <row r="15" spans="2:12" s="13" customFormat="1" ht="16">
      <c r="B15" s="42"/>
      <c r="C15" s="41"/>
      <c r="D15" s="41"/>
    </row>
    <row r="16" spans="2:12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  <c r="J16" s="363"/>
    </row>
    <row r="17" spans="2:10" s="12" customFormat="1" ht="18" customHeight="1">
      <c r="B17" s="27"/>
      <c r="C17" s="356"/>
      <c r="D17" s="356"/>
      <c r="E17" s="356"/>
      <c r="F17" s="356"/>
      <c r="G17" s="356"/>
      <c r="H17" s="356"/>
      <c r="I17" s="356"/>
      <c r="J17" s="356"/>
    </row>
    <row r="18" spans="2:10" s="12" customFormat="1" ht="5" customHeight="1" thickBot="1">
      <c r="B18" s="27"/>
      <c r="C18" s="26"/>
      <c r="D18" s="26"/>
      <c r="E18" s="26"/>
      <c r="F18" s="26"/>
      <c r="G18" s="26"/>
      <c r="H18" s="26"/>
      <c r="I18" s="26"/>
      <c r="J18" s="26"/>
    </row>
    <row r="19" spans="2:10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181"/>
      <c r="I19" s="31"/>
      <c r="J19" s="36" t="s">
        <v>15</v>
      </c>
    </row>
    <row r="20" spans="2:10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181"/>
      <c r="I20" s="31"/>
      <c r="J20" s="30" t="s">
        <v>10</v>
      </c>
    </row>
    <row r="21" spans="2:10" s="12" customFormat="1" ht="18" customHeight="1" thickTop="1">
      <c r="B21" s="27"/>
      <c r="C21" s="357"/>
      <c r="D21" s="357"/>
      <c r="E21" s="357"/>
      <c r="F21" s="357"/>
      <c r="G21" s="359"/>
      <c r="H21" s="181"/>
      <c r="I21" s="29"/>
      <c r="J21" s="359" t="str">
        <f>IFERROR(INDEX(PO_LOG[PAY ID], MATCH(Sheet_PO, PO_LOG[PO], 0)), "No match found")</f>
        <v>VISA 2059</v>
      </c>
    </row>
    <row r="22" spans="2:10" s="12" customFormat="1" ht="13" customHeight="1" thickBot="1">
      <c r="B22" s="27"/>
      <c r="C22" s="358"/>
      <c r="D22" s="358"/>
      <c r="E22" s="358"/>
      <c r="F22" s="358"/>
      <c r="G22" s="360"/>
      <c r="H22" s="28"/>
      <c r="I22" s="28"/>
      <c r="J22" s="360"/>
    </row>
    <row r="23" spans="2:10" s="12" customFormat="1" ht="6" customHeight="1" thickTop="1">
      <c r="B23" s="27"/>
      <c r="C23" s="26"/>
      <c r="D23" s="26"/>
      <c r="E23" s="26"/>
      <c r="F23" s="26"/>
      <c r="G23" s="26"/>
      <c r="H23" s="26"/>
      <c r="I23" s="26"/>
      <c r="J23" s="26"/>
    </row>
    <row r="24" spans="2:10" ht="11" customHeight="1">
      <c r="B24" s="364"/>
      <c r="C24" s="364"/>
      <c r="D24" s="365"/>
      <c r="E24" s="365"/>
      <c r="F24" s="365"/>
      <c r="G24" s="365"/>
      <c r="H24" s="365"/>
      <c r="I24" s="365"/>
      <c r="J24" s="365"/>
    </row>
    <row r="25" spans="2:10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1</v>
      </c>
      <c r="I25" s="23" t="s">
        <v>4</v>
      </c>
      <c r="J25" s="23" t="s">
        <v>3</v>
      </c>
    </row>
    <row r="26" spans="2:10" s="13" customFormat="1" ht="16" customHeight="1">
      <c r="B26" s="21">
        <v>190</v>
      </c>
      <c r="C26" s="350" t="s">
        <v>546</v>
      </c>
      <c r="D26" s="351"/>
      <c r="E26" s="21">
        <v>1</v>
      </c>
      <c r="F26" s="21">
        <v>1892.85</v>
      </c>
      <c r="G26" s="21" t="s">
        <v>439</v>
      </c>
      <c r="H26" s="20">
        <v>217.76</v>
      </c>
      <c r="I26" s="20" t="str">
        <f t="shared" ref="I26:I41" si="0">IF(G26="CAD", "N/A", IF(G26="USD", E26*F26, ""))</f>
        <v>N/A</v>
      </c>
      <c r="J26" s="19">
        <f t="shared" ref="J26:J41" si="1">IF(G26="CAD", (E26*F26)-H26, IF(G26="USD", I26*1.36, ""))</f>
        <v>1675.09</v>
      </c>
    </row>
    <row r="27" spans="2:10" s="13" customFormat="1" ht="16" customHeight="1">
      <c r="B27" s="21">
        <v>124</v>
      </c>
      <c r="C27" s="350" t="s">
        <v>513</v>
      </c>
      <c r="D27" s="351"/>
      <c r="E27" s="21">
        <v>1</v>
      </c>
      <c r="F27" s="22">
        <v>1123.4100000000001</v>
      </c>
      <c r="G27" s="21" t="s">
        <v>439</v>
      </c>
      <c r="H27" s="20">
        <v>129.24</v>
      </c>
      <c r="I27" s="20" t="str">
        <f t="shared" si="0"/>
        <v>N/A</v>
      </c>
      <c r="J27" s="19">
        <f t="shared" si="1"/>
        <v>994.17000000000007</v>
      </c>
    </row>
    <row r="28" spans="2:10" s="13" customFormat="1" ht="16" customHeight="1">
      <c r="B28" s="21">
        <v>190</v>
      </c>
      <c r="C28" s="350" t="s">
        <v>514</v>
      </c>
      <c r="D28" s="351"/>
      <c r="E28" s="21">
        <v>1</v>
      </c>
      <c r="F28" s="21">
        <v>2344.85</v>
      </c>
      <c r="G28" s="21" t="s">
        <v>439</v>
      </c>
      <c r="H28" s="20">
        <v>269.76</v>
      </c>
      <c r="I28" s="20" t="str">
        <f t="shared" si="0"/>
        <v>N/A</v>
      </c>
      <c r="J28" s="19">
        <f t="shared" si="1"/>
        <v>2075.09</v>
      </c>
    </row>
    <row r="29" spans="2:10" s="13" customFormat="1" ht="16" customHeight="1">
      <c r="B29" s="21">
        <v>190</v>
      </c>
      <c r="C29" s="361" t="s">
        <v>515</v>
      </c>
      <c r="D29" s="362"/>
      <c r="E29" s="21">
        <v>1</v>
      </c>
      <c r="F29" s="21">
        <v>1173.67</v>
      </c>
      <c r="G29" s="21" t="s">
        <v>439</v>
      </c>
      <c r="H29" s="20">
        <v>135.02000000000001</v>
      </c>
      <c r="I29" s="20" t="str">
        <f t="shared" si="0"/>
        <v>N/A</v>
      </c>
      <c r="J29" s="19">
        <f t="shared" si="1"/>
        <v>1038.6500000000001</v>
      </c>
    </row>
    <row r="30" spans="2:10" s="13" customFormat="1" ht="16" customHeight="1">
      <c r="B30" s="21"/>
      <c r="C30" s="361"/>
      <c r="D30" s="362"/>
      <c r="E30" s="21"/>
      <c r="F30" s="21"/>
      <c r="G30" s="21"/>
      <c r="H30" s="20"/>
      <c r="I30" s="20" t="str">
        <f t="shared" si="0"/>
        <v/>
      </c>
      <c r="J30" s="19" t="str">
        <f t="shared" si="1"/>
        <v/>
      </c>
    </row>
    <row r="31" spans="2:10" s="13" customFormat="1" ht="16" customHeight="1">
      <c r="B31" s="21"/>
      <c r="C31" s="361"/>
      <c r="D31" s="362"/>
      <c r="E31" s="21"/>
      <c r="F31" s="21"/>
      <c r="G31" s="21"/>
      <c r="H31" s="20"/>
      <c r="I31" s="20" t="str">
        <f t="shared" si="0"/>
        <v/>
      </c>
      <c r="J31" s="19" t="str">
        <f t="shared" si="1"/>
        <v/>
      </c>
    </row>
    <row r="32" spans="2:10" s="13" customFormat="1" ht="16" customHeight="1">
      <c r="B32" s="21"/>
      <c r="C32" s="361"/>
      <c r="D32" s="362"/>
      <c r="E32" s="21"/>
      <c r="F32" s="21"/>
      <c r="G32" s="21"/>
      <c r="H32" s="20"/>
      <c r="I32" s="20" t="str">
        <f t="shared" si="0"/>
        <v/>
      </c>
      <c r="J32" s="19" t="str">
        <f t="shared" si="1"/>
        <v/>
      </c>
    </row>
    <row r="33" spans="2:10" s="13" customFormat="1" ht="16" customHeight="1">
      <c r="B33" s="21"/>
      <c r="C33" s="361"/>
      <c r="D33" s="362"/>
      <c r="E33" s="21"/>
      <c r="F33" s="21"/>
      <c r="G33" s="21"/>
      <c r="H33" s="20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61"/>
      <c r="D34" s="362"/>
      <c r="E34" s="21"/>
      <c r="F34" s="21"/>
      <c r="G34" s="21"/>
      <c r="H34" s="20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21"/>
      <c r="F35" s="21"/>
      <c r="G35" s="21"/>
      <c r="H35" s="20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21"/>
      <c r="F36" s="21"/>
      <c r="G36" s="21"/>
      <c r="H36" s="20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21"/>
      <c r="F37" s="21"/>
      <c r="G37" s="21"/>
      <c r="H37" s="20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21"/>
      <c r="F38" s="21"/>
      <c r="G38" s="21"/>
      <c r="H38" s="20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21"/>
      <c r="F39" s="21"/>
      <c r="G39" s="21"/>
      <c r="H39" s="20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21"/>
      <c r="F40" s="21"/>
      <c r="G40" s="21"/>
      <c r="H40" s="20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21"/>
      <c r="F41" s="21"/>
      <c r="G41" s="21"/>
      <c r="H41" s="20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7"/>
      <c r="H42" s="7"/>
      <c r="I42" s="7"/>
      <c r="J42" s="18"/>
    </row>
    <row r="43" spans="2:10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7"/>
      <c r="J43" s="17">
        <f>SUM(J25:J41)</f>
        <v>5783</v>
      </c>
    </row>
    <row r="44" spans="2:10" s="13" customFormat="1" ht="16" customHeight="1">
      <c r="B44" s="15"/>
      <c r="C44" s="15"/>
      <c r="D44" s="15"/>
      <c r="E44" s="15"/>
      <c r="F44" s="15"/>
      <c r="G44" s="7"/>
      <c r="H44" s="7"/>
      <c r="I44" s="7"/>
      <c r="J44" s="16"/>
    </row>
    <row r="45" spans="2:10" s="13" customFormat="1" ht="16" customHeight="1">
      <c r="B45" s="15"/>
      <c r="C45" s="15"/>
      <c r="D45" s="15"/>
      <c r="E45" s="15"/>
      <c r="F45" s="15"/>
      <c r="G45" s="7"/>
      <c r="H45" s="7"/>
      <c r="I45" s="7"/>
      <c r="J45" s="14"/>
    </row>
    <row r="46" spans="2:10" ht="16" customHeight="1">
      <c r="E46" s="12"/>
      <c r="F46" s="12"/>
      <c r="G46" s="11"/>
      <c r="H46" s="11"/>
      <c r="I46" s="11"/>
      <c r="J46" s="11"/>
    </row>
    <row r="47" spans="2:10" ht="16" customHeight="1">
      <c r="C47" s="10"/>
      <c r="D47" s="10"/>
      <c r="E47" s="9"/>
      <c r="F47" s="8"/>
      <c r="G47" s="7" t="s">
        <v>1</v>
      </c>
      <c r="H47" s="7"/>
      <c r="I47" s="4"/>
      <c r="J47" s="6">
        <f>SUM(H26:H41)</f>
        <v>751.78</v>
      </c>
    </row>
    <row r="48" spans="2:10" ht="16" customHeight="1">
      <c r="C48" s="368"/>
      <c r="D48" s="368"/>
      <c r="E48" s="2"/>
      <c r="F48" s="4"/>
      <c r="G48" s="7" t="s">
        <v>448</v>
      </c>
      <c r="H48" s="7"/>
      <c r="I48" s="4"/>
      <c r="J48" s="162">
        <f>SUM(J43:J47)</f>
        <v>6534.78</v>
      </c>
    </row>
    <row r="49" spans="2:10" ht="16" customHeight="1">
      <c r="E49" s="4"/>
      <c r="F49" s="4"/>
      <c r="G49" s="4"/>
      <c r="H49" s="4"/>
      <c r="I49" s="4"/>
      <c r="J49" s="4"/>
    </row>
    <row r="50" spans="2:10" ht="16" customHeight="1">
      <c r="C50" s="5"/>
      <c r="D50" s="5"/>
      <c r="E50" s="5"/>
      <c r="F50" s="5"/>
      <c r="G50" s="4"/>
      <c r="H50" s="4"/>
      <c r="I50" s="4"/>
      <c r="J50" s="4"/>
    </row>
    <row r="51" spans="2:10" ht="16" customHeight="1">
      <c r="C51" s="368"/>
      <c r="D51" s="368"/>
      <c r="E51" s="368"/>
      <c r="F51" s="368"/>
      <c r="G51" s="3"/>
      <c r="H51" s="3"/>
      <c r="I51" s="3"/>
      <c r="J51" s="2"/>
    </row>
    <row r="52" spans="2:10" ht="10.5" customHeight="1"/>
    <row r="53" spans="2:10">
      <c r="B53" s="369" t="s">
        <v>0</v>
      </c>
      <c r="C53" s="369"/>
      <c r="D53" s="369"/>
      <c r="E53" s="369"/>
      <c r="F53" s="369"/>
      <c r="G53" s="369"/>
      <c r="H53" s="369"/>
      <c r="I53" s="369"/>
      <c r="J53" s="369"/>
    </row>
  </sheetData>
  <sheetProtection formatCells="0" formatColumns="0" formatRows="0" insertColumns="0" insertRows="0" deleteRows="0" selectLockedCells="1"/>
  <mergeCells count="53">
    <mergeCell ref="K3:L3"/>
    <mergeCell ref="C1:F1"/>
    <mergeCell ref="G1:J1"/>
    <mergeCell ref="B2:C2"/>
    <mergeCell ref="D2:G2"/>
    <mergeCell ref="G3:J3"/>
    <mergeCell ref="C12:D12"/>
    <mergeCell ref="B4:G4"/>
    <mergeCell ref="B5:C5"/>
    <mergeCell ref="E5:I6"/>
    <mergeCell ref="B6:C6"/>
    <mergeCell ref="B7:C7"/>
    <mergeCell ref="D7:E7"/>
    <mergeCell ref="C9:D9"/>
    <mergeCell ref="F9:J9"/>
    <mergeCell ref="C10:D10"/>
    <mergeCell ref="F10:J10"/>
    <mergeCell ref="C11:D11"/>
    <mergeCell ref="J21:J22"/>
    <mergeCell ref="C13:D13"/>
    <mergeCell ref="F13:J13"/>
    <mergeCell ref="C14:D14"/>
    <mergeCell ref="F14:J14"/>
    <mergeCell ref="G16:J16"/>
    <mergeCell ref="C17:E17"/>
    <mergeCell ref="F17:J17"/>
    <mergeCell ref="C21:C22"/>
    <mergeCell ref="D21:D22"/>
    <mergeCell ref="E21:E22"/>
    <mergeCell ref="F21:F22"/>
    <mergeCell ref="G21:G22"/>
    <mergeCell ref="C35:D35"/>
    <mergeCell ref="B24:J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J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64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1A4D8-6FD1-4943-BFEB-FE344B46E542}">
  <sheetPr codeName="Sheet18">
    <tabColor rgb="FFFFFF00"/>
    <pageSetUpPr fitToPage="1"/>
  </sheetPr>
  <dimension ref="B1:K53"/>
  <sheetViews>
    <sheetView workbookViewId="0">
      <selection activeCell="G28" sqref="G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>PAID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Main Dish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589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1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186</v>
      </c>
      <c r="C27" s="350" t="s">
        <v>588</v>
      </c>
      <c r="D27" s="351"/>
      <c r="E27" s="21">
        <v>1</v>
      </c>
      <c r="F27" s="21">
        <v>1950</v>
      </c>
      <c r="G27" s="21" t="s">
        <v>439</v>
      </c>
      <c r="H27" s="20" t="str">
        <f t="shared" si="0"/>
        <v>N/A</v>
      </c>
      <c r="I27" s="19">
        <f t="shared" si="1"/>
        <v>1950</v>
      </c>
    </row>
    <row r="28" spans="2:9" s="13" customFormat="1" ht="16" customHeight="1">
      <c r="B28" s="21">
        <v>186</v>
      </c>
      <c r="C28" s="350" t="s">
        <v>587</v>
      </c>
      <c r="D28" s="351"/>
      <c r="E28" s="21">
        <v>1</v>
      </c>
      <c r="F28" s="21">
        <v>1750</v>
      </c>
      <c r="G28" s="21" t="s">
        <v>439</v>
      </c>
      <c r="H28" s="20" t="str">
        <f t="shared" si="0"/>
        <v>N/A</v>
      </c>
      <c r="I28" s="19">
        <f t="shared" si="1"/>
        <v>1750</v>
      </c>
    </row>
    <row r="29" spans="2:9" s="13" customFormat="1" ht="16" customHeight="1">
      <c r="B29" s="21">
        <v>186</v>
      </c>
      <c r="C29" s="361" t="s">
        <v>585</v>
      </c>
      <c r="D29" s="362"/>
      <c r="E29" s="21">
        <v>1</v>
      </c>
      <c r="F29" s="21">
        <v>1250</v>
      </c>
      <c r="G29" s="21" t="s">
        <v>439</v>
      </c>
      <c r="H29" s="20" t="str">
        <f t="shared" si="0"/>
        <v>N/A</v>
      </c>
      <c r="I29" s="19">
        <f t="shared" si="1"/>
        <v>1250</v>
      </c>
    </row>
    <row r="30" spans="2:9" s="13" customFormat="1" ht="16" customHeight="1">
      <c r="B30" s="21">
        <v>186</v>
      </c>
      <c r="C30" s="350" t="s">
        <v>586</v>
      </c>
      <c r="D30" s="351"/>
      <c r="E30" s="21">
        <v>1</v>
      </c>
      <c r="F30" s="21">
        <v>138</v>
      </c>
      <c r="G30" s="21" t="s">
        <v>439</v>
      </c>
      <c r="H30" s="20" t="str">
        <f t="shared" si="0"/>
        <v>N/A</v>
      </c>
      <c r="I30" s="19">
        <f t="shared" si="1"/>
        <v>138</v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5088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661.44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5749.4400000000005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C079-06B3-864B-9E6D-CEBD5C4EC81B}">
  <sheetPr codeName="Sheet1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No match found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B6B27-B76C-E345-AD3D-5572DE6C555C}">
  <sheetPr codeName="Sheet20">
    <tabColor rgb="FFFFFF00"/>
    <pageSetUpPr fitToPage="1"/>
  </sheetPr>
  <dimension ref="B1:M57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" style="1" customWidth="1"/>
    <col min="6" max="6" width="12.1640625" style="1" customWidth="1"/>
    <col min="7" max="7" width="11.6640625" style="1" bestFit="1" customWidth="1"/>
    <col min="8" max="9" width="12.33203125" style="1" customWidth="1"/>
    <col min="10" max="10" width="22.33203125" style="1" customWidth="1"/>
    <col min="11" max="11" width="13.33203125" style="1" customWidth="1"/>
    <col min="12" max="16384" width="8.83203125" style="1"/>
  </cols>
  <sheetData>
    <row r="1" spans="2:13" ht="45" customHeight="1">
      <c r="B1" s="60"/>
      <c r="C1" s="336" t="s">
        <v>36</v>
      </c>
      <c r="D1" s="336"/>
      <c r="E1" s="336"/>
      <c r="F1" s="336"/>
      <c r="G1" s="336"/>
      <c r="H1" s="337"/>
      <c r="I1" s="337"/>
      <c r="J1" s="337"/>
      <c r="K1" s="337"/>
    </row>
    <row r="2" spans="2:13" ht="12.75" customHeight="1">
      <c r="B2" s="338"/>
      <c r="C2" s="339"/>
      <c r="D2" s="340"/>
      <c r="E2" s="340"/>
      <c r="F2" s="340"/>
      <c r="G2" s="340"/>
      <c r="H2" s="340"/>
    </row>
    <row r="3" spans="2:13" ht="22">
      <c r="B3" s="59" t="s">
        <v>35</v>
      </c>
      <c r="C3" s="58"/>
      <c r="D3" s="57"/>
      <c r="E3" s="57"/>
      <c r="F3" s="57"/>
      <c r="G3" s="56" t="s">
        <v>34</v>
      </c>
      <c r="H3" s="341" t="s">
        <v>293</v>
      </c>
      <c r="I3" s="341"/>
      <c r="J3" s="341"/>
      <c r="K3" s="341"/>
      <c r="L3" s="335"/>
      <c r="M3" s="335"/>
    </row>
    <row r="4" spans="2:13" s="12" customFormat="1" ht="9" customHeight="1">
      <c r="B4" s="342"/>
      <c r="C4" s="342"/>
      <c r="D4" s="342"/>
      <c r="E4" s="342"/>
      <c r="F4" s="342"/>
      <c r="G4" s="342"/>
      <c r="H4" s="342"/>
      <c r="I4" s="55"/>
      <c r="J4" s="55"/>
      <c r="K4" s="55"/>
    </row>
    <row r="5" spans="2:13" s="13" customFormat="1" ht="16" customHeight="1">
      <c r="B5" s="343" t="s">
        <v>33</v>
      </c>
      <c r="C5" s="343"/>
      <c r="D5" s="53"/>
      <c r="E5" s="53"/>
      <c r="F5" s="344" t="s">
        <v>32</v>
      </c>
      <c r="G5" s="344"/>
      <c r="H5" s="344"/>
      <c r="I5" s="344"/>
      <c r="J5" s="344"/>
      <c r="K5" s="54"/>
    </row>
    <row r="6" spans="2:13" s="13" customFormat="1" ht="16">
      <c r="B6" s="343" t="s">
        <v>31</v>
      </c>
      <c r="C6" s="343"/>
      <c r="D6" s="53"/>
      <c r="E6" s="53"/>
      <c r="F6" s="344"/>
      <c r="G6" s="344"/>
      <c r="H6" s="344"/>
      <c r="I6" s="344"/>
      <c r="J6" s="344"/>
      <c r="K6" s="52"/>
    </row>
    <row r="7" spans="2:13" s="13" customFormat="1" ht="16">
      <c r="B7" s="343"/>
      <c r="C7" s="343"/>
      <c r="D7" s="345"/>
      <c r="E7" s="345"/>
      <c r="F7" s="345"/>
      <c r="G7" s="49"/>
      <c r="H7" s="49"/>
      <c r="I7" s="49"/>
      <c r="J7" s="49"/>
      <c r="K7" s="49"/>
    </row>
    <row r="8" spans="2:13" s="13" customFormat="1" ht="16">
      <c r="B8" s="51"/>
      <c r="C8" s="51"/>
      <c r="D8" s="50"/>
      <c r="E8" s="50"/>
      <c r="F8" s="50"/>
      <c r="G8" s="49"/>
      <c r="H8" s="49"/>
      <c r="I8" s="49"/>
      <c r="J8" s="49"/>
      <c r="K8" s="49"/>
    </row>
    <row r="9" spans="2:13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174"/>
      <c r="F9" s="45" t="s">
        <v>29</v>
      </c>
      <c r="G9" s="347" t="str">
        <f>IF(TRIM(Job_Number)="", "", Job_Number)</f>
        <v>KS24-03</v>
      </c>
      <c r="H9" s="347"/>
      <c r="I9" s="347"/>
      <c r="J9" s="347"/>
      <c r="K9" s="347"/>
    </row>
    <row r="10" spans="2:13" s="13" customFormat="1" ht="14" customHeight="1">
      <c r="B10" s="45" t="s">
        <v>27</v>
      </c>
      <c r="C10" s="348" t="str">
        <f>IFERROR(INDEX(PO_LOG[PAYEE], MATCH(Sheet_PO, PO_LOG[PO], 0)), "No match found")</f>
        <v>Global Alliance</v>
      </c>
      <c r="D10" s="348"/>
      <c r="E10" s="175"/>
      <c r="F10" s="45" t="s">
        <v>26</v>
      </c>
      <c r="G10" s="349" t="str">
        <f>IF(TRIM(Job_Name)="", "", Job_Name)</f>
        <v>Goya</v>
      </c>
      <c r="H10" s="349"/>
      <c r="I10" s="349"/>
      <c r="J10" s="349"/>
      <c r="K10" s="349"/>
    </row>
    <row r="11" spans="2:13" s="13" customFormat="1" ht="16">
      <c r="B11" s="48"/>
      <c r="C11" s="348"/>
      <c r="D11" s="348"/>
      <c r="E11" s="175"/>
      <c r="F11" s="47"/>
    </row>
    <row r="12" spans="2:13" s="13" customFormat="1" ht="22" customHeight="1">
      <c r="B12" s="45" t="s">
        <v>25</v>
      </c>
      <c r="C12" s="348"/>
      <c r="D12" s="348"/>
      <c r="E12" s="175"/>
      <c r="F12" s="45" t="s">
        <v>24</v>
      </c>
      <c r="G12" s="46"/>
      <c r="H12" s="46"/>
      <c r="I12" s="46"/>
      <c r="J12" s="46"/>
      <c r="K12" s="46"/>
    </row>
    <row r="13" spans="2:13" s="13" customFormat="1" ht="16">
      <c r="B13" s="44"/>
      <c r="C13" s="348"/>
      <c r="D13" s="348"/>
      <c r="E13" s="175"/>
      <c r="F13" s="45" t="s">
        <v>23</v>
      </c>
      <c r="G13" s="352"/>
      <c r="H13" s="353"/>
      <c r="I13" s="353"/>
      <c r="J13" s="353"/>
      <c r="K13" s="354"/>
    </row>
    <row r="14" spans="2:13" s="13" customFormat="1" ht="16">
      <c r="B14" s="44"/>
      <c r="C14" s="355"/>
      <c r="D14" s="355"/>
      <c r="E14" s="176"/>
      <c r="F14" s="43" t="s">
        <v>22</v>
      </c>
      <c r="G14" s="352" t="s">
        <v>537</v>
      </c>
      <c r="H14" s="353"/>
      <c r="I14" s="353"/>
      <c r="J14" s="353"/>
      <c r="K14" s="354"/>
    </row>
    <row r="15" spans="2:13" s="13" customFormat="1" ht="16">
      <c r="B15" s="42"/>
      <c r="C15" s="41"/>
      <c r="D15" s="41"/>
      <c r="E15" s="41"/>
    </row>
    <row r="16" spans="2:13" s="12" customFormat="1" ht="23" customHeight="1">
      <c r="B16" s="27" t="s">
        <v>21</v>
      </c>
      <c r="C16" s="40"/>
      <c r="D16" s="40"/>
      <c r="E16" s="40"/>
      <c r="F16" s="40"/>
      <c r="G16" s="40"/>
      <c r="H16" s="363"/>
      <c r="I16" s="363"/>
      <c r="J16" s="363"/>
      <c r="K16" s="363"/>
    </row>
    <row r="17" spans="2:11" s="12" customFormat="1" ht="18" customHeight="1">
      <c r="B17" s="27"/>
      <c r="C17" s="356"/>
      <c r="D17" s="356"/>
      <c r="E17" s="356"/>
      <c r="F17" s="356"/>
      <c r="G17" s="356"/>
      <c r="H17" s="356"/>
      <c r="I17" s="356"/>
      <c r="J17" s="356"/>
      <c r="K17" s="356"/>
    </row>
    <row r="18" spans="2:11" s="12" customFormat="1" ht="5" customHeight="1" thickBot="1">
      <c r="B18" s="27"/>
      <c r="C18" s="26"/>
      <c r="D18" s="26"/>
      <c r="E18" s="26"/>
      <c r="F18" s="26"/>
      <c r="G18" s="26"/>
      <c r="H18" s="26"/>
      <c r="I18" s="26"/>
      <c r="J18" s="26"/>
      <c r="K18" s="26"/>
    </row>
    <row r="19" spans="2:11" s="12" customFormat="1" ht="18" customHeight="1" thickTop="1">
      <c r="B19" s="27"/>
      <c r="C19" s="39" t="s">
        <v>20</v>
      </c>
      <c r="D19" s="38" t="s">
        <v>19</v>
      </c>
      <c r="E19" s="38"/>
      <c r="F19" s="38" t="s">
        <v>18</v>
      </c>
      <c r="G19" s="38" t="s">
        <v>17</v>
      </c>
      <c r="H19" s="37" t="s">
        <v>16</v>
      </c>
      <c r="I19" s="181"/>
      <c r="J19" s="31"/>
      <c r="K19" s="36" t="s">
        <v>15</v>
      </c>
    </row>
    <row r="20" spans="2:11" s="12" customFormat="1" ht="17" customHeight="1" thickBot="1">
      <c r="B20" s="27"/>
      <c r="C20" s="35" t="s">
        <v>14</v>
      </c>
      <c r="D20" s="34" t="s">
        <v>14</v>
      </c>
      <c r="E20" s="34"/>
      <c r="F20" s="33" t="s">
        <v>13</v>
      </c>
      <c r="G20" s="33" t="s">
        <v>12</v>
      </c>
      <c r="H20" s="32" t="s">
        <v>11</v>
      </c>
      <c r="I20" s="181"/>
      <c r="J20" s="31"/>
      <c r="K20" s="30" t="s">
        <v>10</v>
      </c>
    </row>
    <row r="21" spans="2:11" s="12" customFormat="1" ht="18" customHeight="1" thickTop="1">
      <c r="B21" s="27"/>
      <c r="C21" s="357"/>
      <c r="D21" s="357"/>
      <c r="E21" s="134"/>
      <c r="F21" s="357"/>
      <c r="G21" s="357"/>
      <c r="H21" s="359"/>
      <c r="I21" s="181"/>
      <c r="J21" s="29"/>
      <c r="K21" s="387" t="str">
        <f>IFERROR(INDEX(PO_LOG[PAY ID], MATCH(Sheet_PO, PO_LOG[PO], 0)), "No match found")</f>
        <v>VISA 2059 // AMEX 2009</v>
      </c>
    </row>
    <row r="22" spans="2:11" s="12" customFormat="1" ht="13" customHeight="1" thickBot="1">
      <c r="B22" s="27"/>
      <c r="C22" s="358"/>
      <c r="D22" s="358"/>
      <c r="E22" s="135"/>
      <c r="F22" s="358"/>
      <c r="G22" s="358"/>
      <c r="H22" s="360"/>
      <c r="I22" s="28"/>
      <c r="J22" s="28"/>
      <c r="K22" s="388"/>
    </row>
    <row r="23" spans="2:11" s="12" customFormat="1" ht="6" customHeight="1" thickTop="1">
      <c r="B23" s="27"/>
      <c r="C23" s="26"/>
      <c r="D23" s="26"/>
      <c r="E23" s="26"/>
      <c r="F23" s="26"/>
      <c r="G23" s="26"/>
      <c r="H23" s="26"/>
      <c r="I23" s="26"/>
      <c r="J23" s="26"/>
      <c r="K23" s="26"/>
    </row>
    <row r="24" spans="2:11" ht="11" customHeight="1">
      <c r="B24" s="364"/>
      <c r="C24" s="364"/>
      <c r="D24" s="365"/>
      <c r="E24" s="365"/>
      <c r="F24" s="365"/>
      <c r="G24" s="365"/>
      <c r="H24" s="365"/>
      <c r="I24" s="365"/>
      <c r="J24" s="365"/>
      <c r="K24" s="365"/>
    </row>
    <row r="25" spans="2:11" s="13" customFormat="1" ht="16" customHeight="1">
      <c r="B25" s="25" t="s">
        <v>9</v>
      </c>
      <c r="C25" s="366" t="s">
        <v>8</v>
      </c>
      <c r="D25" s="367"/>
      <c r="E25" s="133" t="s">
        <v>40</v>
      </c>
      <c r="F25" s="24" t="s">
        <v>7</v>
      </c>
      <c r="G25" s="24" t="s">
        <v>6</v>
      </c>
      <c r="H25" s="24" t="s">
        <v>5</v>
      </c>
      <c r="I25" s="23" t="s">
        <v>1</v>
      </c>
      <c r="J25" s="23" t="s">
        <v>4</v>
      </c>
      <c r="K25" s="23" t="s">
        <v>3</v>
      </c>
    </row>
    <row r="26" spans="2:11" s="13" customFormat="1" ht="16" customHeight="1">
      <c r="B26" s="21">
        <v>127</v>
      </c>
      <c r="C26" s="350" t="s">
        <v>520</v>
      </c>
      <c r="D26" s="351"/>
      <c r="E26" s="132" t="s">
        <v>495</v>
      </c>
      <c r="F26" s="21">
        <v>1</v>
      </c>
      <c r="G26" s="21">
        <v>320.13</v>
      </c>
      <c r="H26" s="21" t="s">
        <v>439</v>
      </c>
      <c r="I26" s="20">
        <v>36.83</v>
      </c>
      <c r="J26" s="20" t="str">
        <f t="shared" ref="J26:J45" si="0">IF(H26="CAD", "N/A", IF(H26="USD", F26*G26, ""))</f>
        <v>N/A</v>
      </c>
      <c r="K26" s="19">
        <f t="shared" ref="K26:K44" si="1">IF(H26="CAD", (F26*G26)-I26, IF(H26="USD", J26*1.36, ""))</f>
        <v>283.3</v>
      </c>
    </row>
    <row r="27" spans="2:11" s="13" customFormat="1" ht="16" customHeight="1">
      <c r="B27" s="21">
        <v>127</v>
      </c>
      <c r="C27" s="350" t="s">
        <v>521</v>
      </c>
      <c r="D27" s="351"/>
      <c r="E27" s="132" t="s">
        <v>495</v>
      </c>
      <c r="F27" s="21">
        <v>1</v>
      </c>
      <c r="G27" s="22">
        <v>235.38</v>
      </c>
      <c r="H27" s="21" t="s">
        <v>439</v>
      </c>
      <c r="I27" s="20">
        <v>27.08</v>
      </c>
      <c r="J27" s="20" t="str">
        <f t="shared" si="0"/>
        <v>N/A</v>
      </c>
      <c r="K27" s="19">
        <f t="shared" si="1"/>
        <v>208.3</v>
      </c>
    </row>
    <row r="28" spans="2:11" s="13" customFormat="1" ht="16" customHeight="1">
      <c r="B28" s="21">
        <v>127</v>
      </c>
      <c r="C28" s="350" t="s">
        <v>521</v>
      </c>
      <c r="D28" s="351"/>
      <c r="E28" s="132" t="s">
        <v>495</v>
      </c>
      <c r="F28" s="21">
        <v>1</v>
      </c>
      <c r="G28" s="22">
        <v>235.38</v>
      </c>
      <c r="H28" s="21" t="s">
        <v>439</v>
      </c>
      <c r="I28" s="20">
        <v>27.08</v>
      </c>
      <c r="J28" s="20" t="str">
        <f t="shared" si="0"/>
        <v>N/A</v>
      </c>
      <c r="K28" s="19">
        <f t="shared" si="1"/>
        <v>208.3</v>
      </c>
    </row>
    <row r="29" spans="2:11" s="13" customFormat="1" ht="16" customHeight="1">
      <c r="B29" s="21">
        <v>127</v>
      </c>
      <c r="C29" s="350" t="s">
        <v>521</v>
      </c>
      <c r="D29" s="351"/>
      <c r="E29" s="132" t="s">
        <v>495</v>
      </c>
      <c r="F29" s="21">
        <v>1</v>
      </c>
      <c r="G29" s="21">
        <v>320.13</v>
      </c>
      <c r="H29" s="21" t="s">
        <v>439</v>
      </c>
      <c r="I29" s="20">
        <v>36.83</v>
      </c>
      <c r="J29" s="20" t="str">
        <f t="shared" si="0"/>
        <v>N/A</v>
      </c>
      <c r="K29" s="19">
        <f t="shared" si="1"/>
        <v>283.3</v>
      </c>
    </row>
    <row r="30" spans="2:11" s="13" customFormat="1" ht="16" customHeight="1">
      <c r="B30" s="21">
        <v>127</v>
      </c>
      <c r="C30" s="350" t="s">
        <v>522</v>
      </c>
      <c r="D30" s="351"/>
      <c r="E30" s="132" t="s">
        <v>495</v>
      </c>
      <c r="F30" s="21">
        <v>1</v>
      </c>
      <c r="G30" s="21">
        <v>1469</v>
      </c>
      <c r="H30" s="21" t="s">
        <v>439</v>
      </c>
      <c r="I30" s="20">
        <v>169</v>
      </c>
      <c r="J30" s="20" t="str">
        <f t="shared" si="0"/>
        <v>N/A</v>
      </c>
      <c r="K30" s="19">
        <f t="shared" si="1"/>
        <v>1300</v>
      </c>
    </row>
    <row r="31" spans="2:11" s="13" customFormat="1" ht="16" customHeight="1">
      <c r="B31" s="21">
        <v>127</v>
      </c>
      <c r="C31" s="350" t="s">
        <v>523</v>
      </c>
      <c r="D31" s="351"/>
      <c r="E31" s="132" t="s">
        <v>495</v>
      </c>
      <c r="F31" s="21">
        <v>1</v>
      </c>
      <c r="G31" s="21">
        <v>1469</v>
      </c>
      <c r="H31" s="21" t="s">
        <v>439</v>
      </c>
      <c r="I31" s="20">
        <v>169</v>
      </c>
      <c r="J31" s="20" t="str">
        <f t="shared" si="0"/>
        <v>N/A</v>
      </c>
      <c r="K31" s="19">
        <f t="shared" si="1"/>
        <v>1300</v>
      </c>
    </row>
    <row r="32" spans="2:11" s="13" customFormat="1" ht="16" customHeight="1">
      <c r="B32" s="21">
        <v>127</v>
      </c>
      <c r="C32" s="350" t="s">
        <v>524</v>
      </c>
      <c r="D32" s="351"/>
      <c r="E32" s="132" t="s">
        <v>495</v>
      </c>
      <c r="F32" s="21">
        <v>1</v>
      </c>
      <c r="G32" s="21">
        <v>235.38</v>
      </c>
      <c r="H32" s="21" t="s">
        <v>439</v>
      </c>
      <c r="I32" s="20">
        <v>27.08</v>
      </c>
      <c r="J32" s="20" t="str">
        <f t="shared" si="0"/>
        <v>N/A</v>
      </c>
      <c r="K32" s="19">
        <f t="shared" si="1"/>
        <v>208.3</v>
      </c>
    </row>
    <row r="33" spans="2:11" s="13" customFormat="1" ht="16" customHeight="1">
      <c r="B33" s="21">
        <v>127</v>
      </c>
      <c r="C33" s="350" t="s">
        <v>525</v>
      </c>
      <c r="D33" s="351"/>
      <c r="E33" s="132" t="s">
        <v>528</v>
      </c>
      <c r="F33" s="21">
        <v>1</v>
      </c>
      <c r="G33" s="21">
        <v>233.91</v>
      </c>
      <c r="H33" s="21" t="s">
        <v>439</v>
      </c>
      <c r="I33" s="20">
        <v>26.91</v>
      </c>
      <c r="J33" s="20" t="str">
        <f t="shared" si="0"/>
        <v>N/A</v>
      </c>
      <c r="K33" s="19">
        <f t="shared" si="1"/>
        <v>207</v>
      </c>
    </row>
    <row r="34" spans="2:11" s="13" customFormat="1" ht="16" customHeight="1">
      <c r="B34" s="21">
        <v>127</v>
      </c>
      <c r="C34" s="350" t="s">
        <v>527</v>
      </c>
      <c r="D34" s="351"/>
      <c r="E34" s="132" t="s">
        <v>528</v>
      </c>
      <c r="F34" s="21">
        <v>1</v>
      </c>
      <c r="G34" s="21">
        <v>233.91</v>
      </c>
      <c r="H34" s="21" t="s">
        <v>439</v>
      </c>
      <c r="I34" s="20">
        <v>26.91</v>
      </c>
      <c r="J34" s="20" t="str">
        <f t="shared" si="0"/>
        <v>N/A</v>
      </c>
      <c r="K34" s="19">
        <f t="shared" si="1"/>
        <v>207</v>
      </c>
    </row>
    <row r="35" spans="2:11" s="13" customFormat="1" ht="16" customHeight="1">
      <c r="B35" s="21">
        <v>127</v>
      </c>
      <c r="C35" s="350" t="s">
        <v>526</v>
      </c>
      <c r="D35" s="351"/>
      <c r="E35" s="132" t="s">
        <v>495</v>
      </c>
      <c r="F35" s="21">
        <v>1</v>
      </c>
      <c r="G35" s="21">
        <v>135.6</v>
      </c>
      <c r="H35" s="21" t="s">
        <v>439</v>
      </c>
      <c r="I35" s="20">
        <v>15.6</v>
      </c>
      <c r="J35" s="20" t="str">
        <f t="shared" si="0"/>
        <v>N/A</v>
      </c>
      <c r="K35" s="19">
        <f t="shared" si="1"/>
        <v>120</v>
      </c>
    </row>
    <row r="36" spans="2:11" s="13" customFormat="1" ht="16" customHeight="1">
      <c r="B36" s="21">
        <v>127</v>
      </c>
      <c r="C36" s="350" t="s">
        <v>529</v>
      </c>
      <c r="D36" s="351"/>
      <c r="E36" s="132" t="s">
        <v>528</v>
      </c>
      <c r="F36" s="21">
        <v>1</v>
      </c>
      <c r="G36" s="21">
        <v>301.70999999999998</v>
      </c>
      <c r="H36" s="21" t="s">
        <v>439</v>
      </c>
      <c r="I36" s="20">
        <v>34.71</v>
      </c>
      <c r="J36" s="20" t="str">
        <f t="shared" si="0"/>
        <v>N/A</v>
      </c>
      <c r="K36" s="19">
        <f t="shared" si="1"/>
        <v>267</v>
      </c>
    </row>
    <row r="37" spans="2:11" s="13" customFormat="1" ht="16" customHeight="1">
      <c r="B37" s="21">
        <v>127</v>
      </c>
      <c r="C37" s="350" t="s">
        <v>530</v>
      </c>
      <c r="D37" s="351"/>
      <c r="E37" s="132" t="s">
        <v>528</v>
      </c>
      <c r="F37" s="21">
        <v>1</v>
      </c>
      <c r="G37" s="21">
        <v>301.70999999999998</v>
      </c>
      <c r="H37" s="21" t="s">
        <v>439</v>
      </c>
      <c r="I37" s="20">
        <v>34.71</v>
      </c>
      <c r="J37" s="20" t="str">
        <f t="shared" si="0"/>
        <v>N/A</v>
      </c>
      <c r="K37" s="19">
        <f t="shared" si="1"/>
        <v>267</v>
      </c>
    </row>
    <row r="38" spans="2:11" s="13" customFormat="1" ht="16" customHeight="1">
      <c r="B38" s="21">
        <v>127</v>
      </c>
      <c r="C38" s="350" t="s">
        <v>531</v>
      </c>
      <c r="D38" s="351"/>
      <c r="E38" s="132" t="s">
        <v>528</v>
      </c>
      <c r="F38" s="21">
        <v>1</v>
      </c>
      <c r="G38" s="21">
        <v>299.45</v>
      </c>
      <c r="H38" s="21" t="s">
        <v>439</v>
      </c>
      <c r="I38" s="20">
        <v>34.450000000000003</v>
      </c>
      <c r="J38" s="20" t="str">
        <f t="shared" si="0"/>
        <v>N/A</v>
      </c>
      <c r="K38" s="19">
        <f t="shared" si="1"/>
        <v>265</v>
      </c>
    </row>
    <row r="39" spans="2:11" s="13" customFormat="1" ht="16" customHeight="1">
      <c r="B39" s="21">
        <v>127</v>
      </c>
      <c r="C39" s="350" t="s">
        <v>532</v>
      </c>
      <c r="D39" s="351"/>
      <c r="E39" s="132" t="s">
        <v>528</v>
      </c>
      <c r="F39" s="21">
        <v>1</v>
      </c>
      <c r="G39" s="21">
        <v>299.45</v>
      </c>
      <c r="H39" s="21" t="s">
        <v>439</v>
      </c>
      <c r="I39" s="20">
        <v>34.450000000000003</v>
      </c>
      <c r="J39" s="20" t="str">
        <f t="shared" si="0"/>
        <v>N/A</v>
      </c>
      <c r="K39" s="19">
        <f t="shared" si="1"/>
        <v>265</v>
      </c>
    </row>
    <row r="40" spans="2:11" s="13" customFormat="1" ht="16" customHeight="1">
      <c r="B40" s="21">
        <v>127</v>
      </c>
      <c r="C40" s="350" t="s">
        <v>533</v>
      </c>
      <c r="D40" s="351"/>
      <c r="E40" s="132" t="s">
        <v>528</v>
      </c>
      <c r="F40" s="21">
        <v>1</v>
      </c>
      <c r="G40" s="21">
        <v>333.35</v>
      </c>
      <c r="H40" s="21" t="s">
        <v>439</v>
      </c>
      <c r="I40" s="20">
        <v>38.35</v>
      </c>
      <c r="J40" s="20" t="str">
        <f>IF(H40="CAD", "N/A", IF(H40="USD", F40*G40, ""))</f>
        <v>N/A</v>
      </c>
      <c r="K40" s="19">
        <f t="shared" si="1"/>
        <v>295</v>
      </c>
    </row>
    <row r="41" spans="2:11" s="13" customFormat="1" ht="16" customHeight="1">
      <c r="B41" s="21">
        <v>127</v>
      </c>
      <c r="C41" s="350" t="s">
        <v>534</v>
      </c>
      <c r="D41" s="351"/>
      <c r="E41" s="132" t="s">
        <v>528</v>
      </c>
      <c r="F41" s="21">
        <v>1</v>
      </c>
      <c r="G41" s="21">
        <v>333.35</v>
      </c>
      <c r="H41" s="21" t="s">
        <v>439</v>
      </c>
      <c r="I41" s="20">
        <v>38.35</v>
      </c>
      <c r="J41" s="20"/>
      <c r="K41" s="19">
        <f t="shared" si="1"/>
        <v>295</v>
      </c>
    </row>
    <row r="42" spans="2:11" s="13" customFormat="1" ht="16" customHeight="1">
      <c r="B42" s="21">
        <v>127</v>
      </c>
      <c r="C42" s="350" t="s">
        <v>535</v>
      </c>
      <c r="D42" s="351"/>
      <c r="E42" s="132" t="s">
        <v>495</v>
      </c>
      <c r="F42" s="21">
        <v>1</v>
      </c>
      <c r="G42" s="21">
        <v>220.35</v>
      </c>
      <c r="H42" s="21" t="s">
        <v>439</v>
      </c>
      <c r="I42" s="20">
        <v>25.35</v>
      </c>
      <c r="J42" s="20" t="str">
        <f t="shared" si="0"/>
        <v>N/A</v>
      </c>
      <c r="K42" s="19">
        <f t="shared" si="1"/>
        <v>195</v>
      </c>
    </row>
    <row r="43" spans="2:11" s="13" customFormat="1" ht="16" customHeight="1">
      <c r="B43" s="21">
        <v>127</v>
      </c>
      <c r="C43" s="350" t="s">
        <v>536</v>
      </c>
      <c r="D43" s="351"/>
      <c r="E43" s="132" t="s">
        <v>495</v>
      </c>
      <c r="F43" s="21">
        <v>1</v>
      </c>
      <c r="G43" s="21">
        <v>135.6</v>
      </c>
      <c r="H43" s="21" t="s">
        <v>439</v>
      </c>
      <c r="I43" s="20">
        <v>15.6</v>
      </c>
      <c r="J43" s="20" t="str">
        <f t="shared" si="0"/>
        <v>N/A</v>
      </c>
      <c r="K43" s="19">
        <f t="shared" si="1"/>
        <v>120</v>
      </c>
    </row>
    <row r="44" spans="2:11" s="13" customFormat="1" ht="16" customHeight="1">
      <c r="B44" s="21">
        <v>127</v>
      </c>
      <c r="C44" s="350" t="s">
        <v>536</v>
      </c>
      <c r="D44" s="351"/>
      <c r="E44" s="132" t="s">
        <v>379</v>
      </c>
      <c r="F44" s="21">
        <v>1</v>
      </c>
      <c r="G44" s="21">
        <v>220.35</v>
      </c>
      <c r="H44" s="21" t="s">
        <v>439</v>
      </c>
      <c r="I44" s="20">
        <v>25.35</v>
      </c>
      <c r="J44" s="20" t="str">
        <f t="shared" si="0"/>
        <v>N/A</v>
      </c>
      <c r="K44" s="19">
        <f t="shared" si="1"/>
        <v>195</v>
      </c>
    </row>
    <row r="45" spans="2:11" s="13" customFormat="1" ht="16" customHeight="1">
      <c r="B45" s="21">
        <v>127</v>
      </c>
      <c r="C45" s="385" t="s">
        <v>536</v>
      </c>
      <c r="D45" s="386"/>
      <c r="E45" s="182" t="s">
        <v>379</v>
      </c>
      <c r="F45" s="183">
        <v>1</v>
      </c>
      <c r="G45" s="183">
        <v>220.35</v>
      </c>
      <c r="H45" s="183" t="s">
        <v>439</v>
      </c>
      <c r="I45" s="20">
        <v>25.35</v>
      </c>
      <c r="J45" s="20" t="str">
        <f t="shared" si="0"/>
        <v>N/A</v>
      </c>
      <c r="K45" s="19">
        <f>IF(H45="CAD", (F45*G45)-I45, IF(H45="USD", J45*1.36, ""))</f>
        <v>195</v>
      </c>
    </row>
    <row r="46" spans="2:11" s="13" customFormat="1" ht="16" customHeight="1">
      <c r="B46" s="15"/>
      <c r="C46" s="15"/>
      <c r="D46" s="15"/>
      <c r="E46" s="15"/>
      <c r="F46" s="15"/>
      <c r="G46" s="15"/>
      <c r="H46" s="7"/>
      <c r="I46" s="7"/>
      <c r="J46" s="7"/>
      <c r="K46" s="18"/>
    </row>
    <row r="47" spans="2:11" s="13" customFormat="1" ht="16" customHeight="1">
      <c r="B47" s="15"/>
      <c r="C47" s="15"/>
      <c r="D47" s="15"/>
      <c r="E47" s="15"/>
      <c r="F47" s="15"/>
      <c r="G47" s="15"/>
      <c r="H47" s="7" t="s">
        <v>2</v>
      </c>
      <c r="I47" s="7"/>
      <c r="J47" s="7"/>
      <c r="K47" s="17">
        <f>SUM(K25:K45)</f>
        <v>6684.5</v>
      </c>
    </row>
    <row r="48" spans="2:11" s="13" customFormat="1" ht="16" customHeight="1">
      <c r="B48" s="15"/>
      <c r="C48" s="15"/>
      <c r="D48" s="15"/>
      <c r="E48" s="15"/>
      <c r="F48" s="15"/>
      <c r="G48" s="15"/>
      <c r="H48" s="7"/>
      <c r="I48" s="7"/>
      <c r="J48" s="7"/>
      <c r="K48" s="16"/>
    </row>
    <row r="49" spans="2:11" s="13" customFormat="1" ht="16" customHeight="1">
      <c r="B49" s="15"/>
      <c r="C49" s="15"/>
      <c r="D49" s="15"/>
      <c r="E49" s="15"/>
      <c r="F49" s="15"/>
      <c r="G49" s="15"/>
      <c r="H49" s="7"/>
      <c r="I49" s="7"/>
      <c r="J49" s="7"/>
      <c r="K49" s="14"/>
    </row>
    <row r="50" spans="2:11" ht="16" customHeight="1">
      <c r="F50" s="12"/>
      <c r="G50" s="12"/>
      <c r="H50" s="11"/>
      <c r="I50" s="11"/>
      <c r="J50" s="11"/>
      <c r="K50" s="11"/>
    </row>
    <row r="51" spans="2:11" ht="16" customHeight="1">
      <c r="C51" s="10"/>
      <c r="D51" s="10"/>
      <c r="E51" s="9"/>
      <c r="F51" s="9"/>
      <c r="G51" s="8"/>
      <c r="H51" s="7" t="s">
        <v>1</v>
      </c>
      <c r="I51" s="7"/>
      <c r="J51" s="4"/>
      <c r="K51" s="6">
        <f>SUM(I26:I45)</f>
        <v>868.99000000000024</v>
      </c>
    </row>
    <row r="52" spans="2:11" ht="16" customHeight="1">
      <c r="C52" s="368"/>
      <c r="D52" s="368"/>
      <c r="E52" s="130"/>
      <c r="F52" s="2"/>
      <c r="G52" s="4"/>
      <c r="H52" s="7" t="s">
        <v>448</v>
      </c>
      <c r="I52" s="7"/>
      <c r="J52" s="4"/>
      <c r="K52" s="162">
        <f>SUM(K47:K51)</f>
        <v>7553.49</v>
      </c>
    </row>
    <row r="53" spans="2:11" ht="16" customHeight="1">
      <c r="F53" s="4"/>
      <c r="G53" s="4"/>
      <c r="H53" s="4"/>
      <c r="I53" s="4"/>
      <c r="J53" s="4"/>
      <c r="K53" s="4"/>
    </row>
    <row r="54" spans="2:11" ht="16" customHeight="1">
      <c r="C54" s="5"/>
      <c r="D54" s="5"/>
      <c r="E54" s="5"/>
      <c r="F54" s="5"/>
      <c r="G54" s="5"/>
      <c r="H54" s="4"/>
      <c r="I54" s="4"/>
      <c r="J54" s="4"/>
      <c r="K54" s="4"/>
    </row>
    <row r="55" spans="2:11" ht="16" customHeight="1">
      <c r="C55" s="368"/>
      <c r="D55" s="368"/>
      <c r="E55" s="130"/>
      <c r="F55" s="368"/>
      <c r="G55" s="368"/>
      <c r="H55" s="3"/>
      <c r="I55" s="3"/>
      <c r="J55" s="3"/>
      <c r="K55" s="2"/>
    </row>
    <row r="56" spans="2:11" ht="10.5" customHeight="1"/>
    <row r="57" spans="2:11">
      <c r="B57" s="369" t="s">
        <v>0</v>
      </c>
      <c r="C57" s="369"/>
      <c r="D57" s="369"/>
      <c r="E57" s="369"/>
      <c r="F57" s="369"/>
      <c r="G57" s="369"/>
      <c r="H57" s="369"/>
      <c r="I57" s="369"/>
      <c r="J57" s="369"/>
      <c r="K57" s="369"/>
    </row>
  </sheetData>
  <sheetProtection formatCells="0" formatColumns="0" formatRows="0" insertColumns="0" insertRows="0" deleteRows="0" selectLockedCells="1"/>
  <mergeCells count="57">
    <mergeCell ref="L3:M3"/>
    <mergeCell ref="C40:D40"/>
    <mergeCell ref="C41:D41"/>
    <mergeCell ref="C43:D43"/>
    <mergeCell ref="C1:G1"/>
    <mergeCell ref="H1:K1"/>
    <mergeCell ref="B2:C2"/>
    <mergeCell ref="D2:H2"/>
    <mergeCell ref="H3:K3"/>
    <mergeCell ref="C12:D12"/>
    <mergeCell ref="B4:H4"/>
    <mergeCell ref="B5:C5"/>
    <mergeCell ref="F5:J6"/>
    <mergeCell ref="B6:C6"/>
    <mergeCell ref="B7:C7"/>
    <mergeCell ref="D7:F7"/>
    <mergeCell ref="C9:D9"/>
    <mergeCell ref="G9:K9"/>
    <mergeCell ref="C10:D10"/>
    <mergeCell ref="G10:K10"/>
    <mergeCell ref="C11:D11"/>
    <mergeCell ref="K21:K22"/>
    <mergeCell ref="C13:D13"/>
    <mergeCell ref="G13:K13"/>
    <mergeCell ref="C14:D14"/>
    <mergeCell ref="G14:K14"/>
    <mergeCell ref="H16:K16"/>
    <mergeCell ref="C17:F17"/>
    <mergeCell ref="G17:K17"/>
    <mergeCell ref="C21:C22"/>
    <mergeCell ref="D21:D22"/>
    <mergeCell ref="F21:F22"/>
    <mergeCell ref="G21:G22"/>
    <mergeCell ref="H21:H22"/>
    <mergeCell ref="C35:D35"/>
    <mergeCell ref="B24:K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52:D52"/>
    <mergeCell ref="C55:D55"/>
    <mergeCell ref="F55:G55"/>
    <mergeCell ref="B57:K57"/>
    <mergeCell ref="C36:D36"/>
    <mergeCell ref="C37:D37"/>
    <mergeCell ref="C38:D38"/>
    <mergeCell ref="C39:D39"/>
    <mergeCell ref="C42:D42"/>
    <mergeCell ref="C45:D45"/>
    <mergeCell ref="C44:D44"/>
  </mergeCells>
  <printOptions horizontalCentered="1"/>
  <pageMargins left="0.75" right="0.75" top="0.5" bottom="0.5" header="0.5" footer="0.5"/>
  <pageSetup scale="5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3605E-CCB7-3C4D-818B-09A059337415}">
  <sheetPr codeName="Sheet21">
    <pageSetUpPr fitToPage="1"/>
  </sheetPr>
  <dimension ref="B1:K53"/>
  <sheetViews>
    <sheetView workbookViewId="0">
      <selection activeCell="C31" sqref="C31:D31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PAID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Wilston Productions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871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872</v>
      </c>
      <c r="D13" s="348"/>
      <c r="E13" s="45" t="s">
        <v>23</v>
      </c>
      <c r="F13" s="352">
        <v>139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584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873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199</v>
      </c>
      <c r="C26" s="350" t="s">
        <v>583</v>
      </c>
      <c r="D26" s="351"/>
      <c r="E26" s="21">
        <v>1</v>
      </c>
      <c r="F26" s="21">
        <v>5950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5950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5950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773.5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6723.5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0AD5-FED1-7E4A-B0E9-F76CF19FDAB9}">
  <sheetPr codeName="Sheet22">
    <pageSetUpPr fitToPage="1"/>
  </sheetPr>
  <dimension ref="B1:K53"/>
  <sheetViews>
    <sheetView workbookViewId="0">
      <selection activeCell="F28" sqref="F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PAID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Jigsaw Casting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555</v>
      </c>
      <c r="D11" s="348"/>
      <c r="E11" s="47"/>
    </row>
    <row r="12" spans="2:11" s="13" customFormat="1" ht="22" customHeight="1">
      <c r="B12" s="45" t="s">
        <v>25</v>
      </c>
      <c r="C12" s="348" t="s">
        <v>557</v>
      </c>
      <c r="D12" s="348"/>
      <c r="E12" s="45" t="s">
        <v>24</v>
      </c>
      <c r="F12" s="46"/>
      <c r="G12" s="46" t="s">
        <v>493</v>
      </c>
      <c r="H12" s="46"/>
      <c r="I12" s="46"/>
    </row>
    <row r="13" spans="2:11" s="13" customFormat="1" ht="16">
      <c r="B13" s="44"/>
      <c r="C13" s="348" t="s">
        <v>558</v>
      </c>
      <c r="D13" s="348"/>
      <c r="E13" s="45" t="s">
        <v>23</v>
      </c>
      <c r="F13" s="352">
        <v>8684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556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1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110</v>
      </c>
      <c r="C26" s="350" t="s">
        <v>551</v>
      </c>
      <c r="D26" s="351"/>
      <c r="E26" s="21">
        <v>1</v>
      </c>
      <c r="F26" s="21">
        <v>8500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8500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8500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1105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9605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3F352-1D25-C046-AB7D-EECAC13322B3}">
  <sheetPr codeName="Sheet23">
    <pageSetUpPr fitToPage="1"/>
  </sheetPr>
  <dimension ref="B1:K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>PAID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The Brunch Store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553</v>
      </c>
      <c r="D12" s="348"/>
      <c r="E12" s="45" t="s">
        <v>24</v>
      </c>
      <c r="F12" s="46"/>
      <c r="G12" s="46" t="s">
        <v>493</v>
      </c>
      <c r="H12" s="46"/>
      <c r="I12" s="46"/>
    </row>
    <row r="13" spans="2:11" s="13" customFormat="1" ht="16">
      <c r="B13" s="44"/>
      <c r="C13" s="348" t="s">
        <v>554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552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1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111</v>
      </c>
      <c r="C26" s="350" t="s">
        <v>551</v>
      </c>
      <c r="D26" s="351"/>
      <c r="E26" s="21">
        <v>1</v>
      </c>
      <c r="F26" s="21">
        <v>2500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2500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2500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325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2825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3F1FC-421E-FD4D-8A5F-580888EB4065}">
  <sheetPr codeName="Sheet24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45484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CS1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 t="s">
        <v>549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217</v>
      </c>
      <c r="C26" s="350" t="s">
        <v>550</v>
      </c>
      <c r="D26" s="351"/>
      <c r="E26" s="21">
        <v>1</v>
      </c>
      <c r="F26" s="21">
        <v>595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595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595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32.5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627.5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80D1-A613-EC43-9F88-3B49A76A0D88}">
  <sheetPr codeName="Sheet25">
    <tabColor rgb="FFFF00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298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Orbit Brokers and Forwarders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E Transfer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177">
        <v>217</v>
      </c>
      <c r="C26" s="370" t="s">
        <v>540</v>
      </c>
      <c r="D26" s="371"/>
      <c r="E26" s="177">
        <v>1</v>
      </c>
      <c r="F26" s="177">
        <v>562.17999999999995</v>
      </c>
      <c r="G26" s="177" t="s">
        <v>439</v>
      </c>
      <c r="H26" s="179" t="str">
        <f t="shared" ref="H26:H41" si="0">IF(G26="CAD", "N/A", IF(G26="USD", E26*F26, ""))</f>
        <v>N/A</v>
      </c>
      <c r="I26" s="180">
        <f t="shared" ref="I26:I41" si="1">IF(G26="CAD", E26*F26, IF(G26="USD", H26*1.36, ""))</f>
        <v>562.17999999999995</v>
      </c>
    </row>
    <row r="27" spans="2:9" s="13" customFormat="1" ht="16" customHeight="1">
      <c r="B27" s="177"/>
      <c r="C27" s="370"/>
      <c r="D27" s="371"/>
      <c r="E27" s="177"/>
      <c r="F27" s="189"/>
      <c r="G27" s="177"/>
      <c r="H27" s="179" t="str">
        <f t="shared" si="0"/>
        <v/>
      </c>
      <c r="I27" s="180" t="str">
        <f t="shared" si="1"/>
        <v/>
      </c>
    </row>
    <row r="28" spans="2:9" s="13" customFormat="1" ht="16" customHeight="1">
      <c r="B28" s="177"/>
      <c r="C28" s="370" t="s">
        <v>582</v>
      </c>
      <c r="D28" s="371"/>
      <c r="E28" s="177"/>
      <c r="F28" s="177"/>
      <c r="G28" s="177"/>
      <c r="H28" s="179" t="str">
        <f t="shared" si="0"/>
        <v/>
      </c>
      <c r="I28" s="180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562.17999999999995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562.17999999999995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091D-83D0-504A-A12F-21919FA46F99}">
  <sheetPr codeName="Sheet26">
    <pageSetUpPr fitToPage="1"/>
  </sheetPr>
  <dimension ref="B1:L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8" width="12.33203125" style="1" customWidth="1"/>
    <col min="9" max="9" width="22.33203125" style="1" customWidth="1"/>
    <col min="10" max="10" width="13.33203125" style="1" customWidth="1"/>
    <col min="11" max="16384" width="8.83203125" style="1"/>
  </cols>
  <sheetData>
    <row r="1" spans="2:12" ht="45" customHeight="1">
      <c r="B1" s="60"/>
      <c r="C1" s="336" t="s">
        <v>36</v>
      </c>
      <c r="D1" s="336"/>
      <c r="E1" s="336"/>
      <c r="F1" s="336"/>
      <c r="G1" s="337"/>
      <c r="H1" s="337"/>
      <c r="I1" s="337"/>
      <c r="J1" s="337"/>
    </row>
    <row r="2" spans="2:12" ht="12.75" customHeight="1">
      <c r="B2" s="338"/>
      <c r="C2" s="339"/>
      <c r="D2" s="340"/>
      <c r="E2" s="340"/>
      <c r="F2" s="340"/>
      <c r="G2" s="340"/>
    </row>
    <row r="3" spans="2:12" ht="22">
      <c r="B3" s="59" t="s">
        <v>35</v>
      </c>
      <c r="C3" s="58"/>
      <c r="D3" s="57"/>
      <c r="E3" s="57"/>
      <c r="F3" s="56" t="s">
        <v>34</v>
      </c>
      <c r="G3" s="341" t="s">
        <v>299</v>
      </c>
      <c r="H3" s="341"/>
      <c r="I3" s="341"/>
      <c r="J3" s="341"/>
      <c r="K3" s="335"/>
      <c r="L3" s="335"/>
    </row>
    <row r="4" spans="2:12" s="12" customFormat="1" ht="9" customHeight="1">
      <c r="B4" s="342"/>
      <c r="C4" s="342"/>
      <c r="D4" s="342"/>
      <c r="E4" s="342"/>
      <c r="F4" s="342"/>
      <c r="G4" s="342"/>
      <c r="H4" s="55"/>
      <c r="I4" s="55"/>
      <c r="J4" s="55"/>
    </row>
    <row r="5" spans="2:12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344"/>
      <c r="J5" s="54"/>
    </row>
    <row r="6" spans="2:12" s="13" customFormat="1" ht="16">
      <c r="B6" s="343" t="s">
        <v>31</v>
      </c>
      <c r="C6" s="343"/>
      <c r="D6" s="53"/>
      <c r="E6" s="344"/>
      <c r="F6" s="344"/>
      <c r="G6" s="344"/>
      <c r="H6" s="344"/>
      <c r="I6" s="344"/>
      <c r="J6" s="52"/>
    </row>
    <row r="7" spans="2:12" s="13" customFormat="1" ht="16">
      <c r="B7" s="343"/>
      <c r="C7" s="343"/>
      <c r="D7" s="345"/>
      <c r="E7" s="345"/>
      <c r="F7" s="49"/>
      <c r="G7" s="49"/>
      <c r="H7" s="49"/>
      <c r="I7" s="49"/>
      <c r="J7" s="49"/>
    </row>
    <row r="8" spans="2:12" s="13" customFormat="1" ht="16">
      <c r="B8" s="51"/>
      <c r="C8" s="51"/>
      <c r="D8" s="50"/>
      <c r="E8" s="50"/>
      <c r="F8" s="49"/>
      <c r="G8" s="49"/>
      <c r="H8" s="49"/>
      <c r="I8" s="49"/>
      <c r="J8" s="49"/>
    </row>
    <row r="9" spans="2:12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  <c r="J9" s="347"/>
    </row>
    <row r="10" spans="2:12" s="13" customFormat="1" ht="14" customHeight="1">
      <c r="B10" s="45" t="s">
        <v>27</v>
      </c>
      <c r="C10" s="348" t="str">
        <f>IFERROR(INDEX(PO_LOG[PAYEE], MATCH(Sheet_PO, PO_LOG[PO], 0)), "No match found")</f>
        <v>W4R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  <c r="J10" s="349"/>
    </row>
    <row r="11" spans="2:12" s="13" customFormat="1" ht="16">
      <c r="B11" s="48"/>
      <c r="C11" s="348" t="s">
        <v>541</v>
      </c>
      <c r="D11" s="348"/>
      <c r="E11" s="47"/>
    </row>
    <row r="12" spans="2:12" s="13" customFormat="1" ht="22" customHeight="1">
      <c r="B12" s="45" t="s">
        <v>25</v>
      </c>
      <c r="C12" s="348" t="s">
        <v>542</v>
      </c>
      <c r="D12" s="348"/>
      <c r="E12" s="45" t="s">
        <v>24</v>
      </c>
      <c r="F12" s="46"/>
      <c r="G12" s="46"/>
      <c r="H12" s="46"/>
      <c r="I12" s="46"/>
      <c r="J12" s="46"/>
    </row>
    <row r="13" spans="2:12" s="13" customFormat="1" ht="16">
      <c r="B13" s="44"/>
      <c r="C13" s="348" t="s">
        <v>543</v>
      </c>
      <c r="D13" s="348"/>
      <c r="E13" s="45" t="s">
        <v>23</v>
      </c>
      <c r="F13" s="352"/>
      <c r="G13" s="353"/>
      <c r="H13" s="353"/>
      <c r="I13" s="353"/>
      <c r="J13" s="354"/>
    </row>
    <row r="14" spans="2:12" s="13" customFormat="1" ht="16">
      <c r="B14" s="44"/>
      <c r="C14" s="355"/>
      <c r="D14" s="355"/>
      <c r="E14" s="43" t="s">
        <v>22</v>
      </c>
      <c r="F14" s="352">
        <v>132420191</v>
      </c>
      <c r="G14" s="353"/>
      <c r="H14" s="353"/>
      <c r="I14" s="353"/>
      <c r="J14" s="354"/>
    </row>
    <row r="15" spans="2:12" s="13" customFormat="1" ht="16">
      <c r="B15" s="42"/>
      <c r="C15" s="41"/>
      <c r="D15" s="41"/>
    </row>
    <row r="16" spans="2:12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  <c r="J16" s="363"/>
    </row>
    <row r="17" spans="2:10" s="12" customFormat="1" ht="18" customHeight="1">
      <c r="B17" s="27"/>
      <c r="C17" s="356"/>
      <c r="D17" s="356"/>
      <c r="E17" s="356"/>
      <c r="F17" s="356"/>
      <c r="G17" s="356"/>
      <c r="H17" s="356"/>
      <c r="I17" s="356"/>
      <c r="J17" s="356"/>
    </row>
    <row r="18" spans="2:10" s="12" customFormat="1" ht="5" customHeight="1" thickBot="1">
      <c r="B18" s="27"/>
      <c r="C18" s="26"/>
      <c r="D18" s="26"/>
      <c r="E18" s="26"/>
      <c r="F18" s="26"/>
      <c r="G18" s="26"/>
      <c r="H18" s="26"/>
      <c r="I18" s="26"/>
      <c r="J18" s="26"/>
    </row>
    <row r="19" spans="2:10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181"/>
      <c r="I19" s="31"/>
      <c r="J19" s="36" t="s">
        <v>15</v>
      </c>
    </row>
    <row r="20" spans="2:10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181"/>
      <c r="I20" s="31"/>
      <c r="J20" s="30" t="s">
        <v>10</v>
      </c>
    </row>
    <row r="21" spans="2:10" s="12" customFormat="1" ht="18" customHeight="1" thickTop="1">
      <c r="B21" s="27"/>
      <c r="C21" s="357"/>
      <c r="D21" s="357"/>
      <c r="E21" s="357"/>
      <c r="F21" s="357"/>
      <c r="G21" s="359"/>
      <c r="H21" s="181"/>
      <c r="I21" s="29"/>
      <c r="J21" s="359" t="str">
        <f>IFERROR(INDEX(PO_LOG[PAY ID], MATCH(Sheet_PO, PO_LOG[PO], 0)), "No match found")</f>
        <v>VISA</v>
      </c>
    </row>
    <row r="22" spans="2:10" s="12" customFormat="1" ht="13" customHeight="1" thickBot="1">
      <c r="B22" s="27"/>
      <c r="C22" s="358"/>
      <c r="D22" s="358"/>
      <c r="E22" s="358"/>
      <c r="F22" s="358"/>
      <c r="G22" s="360"/>
      <c r="H22" s="28"/>
      <c r="I22" s="28"/>
      <c r="J22" s="360"/>
    </row>
    <row r="23" spans="2:10" s="12" customFormat="1" ht="6" customHeight="1" thickTop="1">
      <c r="B23" s="27"/>
      <c r="C23" s="26"/>
      <c r="D23" s="26"/>
      <c r="E23" s="26"/>
      <c r="F23" s="26"/>
      <c r="G23" s="26"/>
      <c r="H23" s="26"/>
      <c r="I23" s="26"/>
      <c r="J23" s="26"/>
    </row>
    <row r="24" spans="2:10" ht="11" customHeight="1">
      <c r="B24" s="364"/>
      <c r="C24" s="364"/>
      <c r="D24" s="365"/>
      <c r="E24" s="365"/>
      <c r="F24" s="365"/>
      <c r="G24" s="365"/>
      <c r="H24" s="365"/>
      <c r="I24" s="365"/>
      <c r="J24" s="365"/>
    </row>
    <row r="25" spans="2:10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1</v>
      </c>
      <c r="I25" s="23" t="s">
        <v>4</v>
      </c>
      <c r="J25" s="23" t="s">
        <v>3</v>
      </c>
    </row>
    <row r="26" spans="2:10" s="13" customFormat="1" ht="16" customHeight="1">
      <c r="B26" s="21">
        <v>126</v>
      </c>
      <c r="C26" s="350" t="s">
        <v>544</v>
      </c>
      <c r="D26" s="351"/>
      <c r="E26" s="21">
        <v>1</v>
      </c>
      <c r="F26" s="21">
        <v>1202.4100000000001</v>
      </c>
      <c r="G26" s="21" t="s">
        <v>439</v>
      </c>
      <c r="H26" s="20">
        <v>156.31</v>
      </c>
      <c r="I26" s="20" t="str">
        <f t="shared" ref="I26:I41" si="0">IF(G26="CAD", "N/A", IF(G26="USD", E26*F26, ""))</f>
        <v>N/A</v>
      </c>
      <c r="J26" s="19">
        <f t="shared" ref="J26:J41" si="1">IF(G26="CAD", (E26*F26)-H26, IF(G26="USD", I26*1.36, ""))</f>
        <v>1046.1000000000001</v>
      </c>
    </row>
    <row r="27" spans="2:10" s="13" customFormat="1" ht="16" customHeight="1">
      <c r="B27" s="21">
        <v>123</v>
      </c>
      <c r="C27" s="350" t="s">
        <v>545</v>
      </c>
      <c r="D27" s="351"/>
      <c r="E27" s="21">
        <v>1</v>
      </c>
      <c r="F27" s="22">
        <v>805.18</v>
      </c>
      <c r="G27" s="21" t="s">
        <v>439</v>
      </c>
      <c r="H27" s="20">
        <v>92.63</v>
      </c>
      <c r="I27" s="20" t="str">
        <f t="shared" si="0"/>
        <v>N/A</v>
      </c>
      <c r="J27" s="19">
        <f t="shared" si="1"/>
        <v>712.55</v>
      </c>
    </row>
    <row r="28" spans="2:10" s="13" customFormat="1" ht="16" customHeight="1">
      <c r="B28" s="21">
        <v>189</v>
      </c>
      <c r="C28" s="350" t="s">
        <v>547</v>
      </c>
      <c r="D28" s="351"/>
      <c r="E28" s="21">
        <v>1</v>
      </c>
      <c r="F28" s="22">
        <v>1622.5</v>
      </c>
      <c r="G28" s="21" t="s">
        <v>439</v>
      </c>
      <c r="H28" s="20">
        <v>186.66</v>
      </c>
      <c r="I28" s="20" t="str">
        <f t="shared" si="0"/>
        <v>N/A</v>
      </c>
      <c r="J28" s="19">
        <f t="shared" si="1"/>
        <v>1435.84</v>
      </c>
    </row>
    <row r="29" spans="2:10" s="13" customFormat="1" ht="16" customHeight="1">
      <c r="B29" s="21"/>
      <c r="C29" s="361"/>
      <c r="D29" s="362"/>
      <c r="E29" s="21"/>
      <c r="F29" s="21"/>
      <c r="G29" s="21"/>
      <c r="H29" s="20"/>
      <c r="I29" s="20" t="str">
        <f t="shared" si="0"/>
        <v/>
      </c>
      <c r="J29" s="19" t="str">
        <f t="shared" si="1"/>
        <v/>
      </c>
    </row>
    <row r="30" spans="2:10" s="13" customFormat="1" ht="16" customHeight="1">
      <c r="B30" s="21"/>
      <c r="C30" s="361"/>
      <c r="D30" s="362"/>
      <c r="E30" s="21"/>
      <c r="F30" s="21"/>
      <c r="G30" s="21"/>
      <c r="H30" s="20"/>
      <c r="I30" s="20" t="str">
        <f t="shared" si="0"/>
        <v/>
      </c>
      <c r="J30" s="19" t="str">
        <f t="shared" si="1"/>
        <v/>
      </c>
    </row>
    <row r="31" spans="2:10" s="13" customFormat="1" ht="16" customHeight="1">
      <c r="B31" s="21"/>
      <c r="C31" s="361"/>
      <c r="D31" s="362"/>
      <c r="E31" s="21"/>
      <c r="F31" s="21"/>
      <c r="G31" s="21"/>
      <c r="H31" s="20"/>
      <c r="I31" s="20" t="str">
        <f t="shared" si="0"/>
        <v/>
      </c>
      <c r="J31" s="19" t="str">
        <f t="shared" si="1"/>
        <v/>
      </c>
    </row>
    <row r="32" spans="2:10" s="13" customFormat="1" ht="16" customHeight="1">
      <c r="B32" s="21"/>
      <c r="C32" s="361"/>
      <c r="D32" s="362"/>
      <c r="E32" s="21"/>
      <c r="F32" s="21"/>
      <c r="G32" s="21"/>
      <c r="H32" s="20"/>
      <c r="I32" s="20" t="str">
        <f t="shared" si="0"/>
        <v/>
      </c>
      <c r="J32" s="19" t="str">
        <f t="shared" si="1"/>
        <v/>
      </c>
    </row>
    <row r="33" spans="2:10" s="13" customFormat="1" ht="16" customHeight="1">
      <c r="B33" s="21"/>
      <c r="C33" s="361"/>
      <c r="D33" s="362"/>
      <c r="E33" s="21"/>
      <c r="F33" s="21"/>
      <c r="G33" s="21"/>
      <c r="H33" s="20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61"/>
      <c r="D34" s="362"/>
      <c r="E34" s="21"/>
      <c r="F34" s="21"/>
      <c r="G34" s="21"/>
      <c r="H34" s="20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21"/>
      <c r="F35" s="21"/>
      <c r="G35" s="21"/>
      <c r="H35" s="20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21"/>
      <c r="F36" s="21"/>
      <c r="G36" s="21"/>
      <c r="H36" s="20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21"/>
      <c r="F37" s="21"/>
      <c r="G37" s="21"/>
      <c r="H37" s="20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21"/>
      <c r="F38" s="21"/>
      <c r="G38" s="21"/>
      <c r="H38" s="20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21"/>
      <c r="F39" s="21"/>
      <c r="G39" s="21"/>
      <c r="H39" s="20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21"/>
      <c r="F40" s="21"/>
      <c r="G40" s="21"/>
      <c r="H40" s="20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21"/>
      <c r="F41" s="21"/>
      <c r="G41" s="21"/>
      <c r="H41" s="20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7"/>
      <c r="H42" s="7"/>
      <c r="I42" s="7"/>
      <c r="J42" s="18"/>
    </row>
    <row r="43" spans="2:10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7"/>
      <c r="J43" s="17">
        <f>SUM(J25:J41)</f>
        <v>3194.49</v>
      </c>
    </row>
    <row r="44" spans="2:10" s="13" customFormat="1" ht="16" customHeight="1">
      <c r="B44" s="15"/>
      <c r="C44" s="15"/>
      <c r="D44" s="15"/>
      <c r="E44" s="15"/>
      <c r="F44" s="15"/>
      <c r="G44" s="7"/>
      <c r="H44" s="7"/>
      <c r="I44" s="7"/>
      <c r="J44" s="16"/>
    </row>
    <row r="45" spans="2:10" s="13" customFormat="1" ht="16" customHeight="1">
      <c r="B45" s="15"/>
      <c r="C45" s="15"/>
      <c r="D45" s="15"/>
      <c r="E45" s="15"/>
      <c r="F45" s="15"/>
      <c r="G45" s="7"/>
      <c r="H45" s="7"/>
      <c r="I45" s="7"/>
      <c r="J45" s="14"/>
    </row>
    <row r="46" spans="2:10" ht="16" customHeight="1">
      <c r="E46" s="12"/>
      <c r="F46" s="12"/>
      <c r="G46" s="11"/>
      <c r="H46" s="11"/>
      <c r="I46" s="11"/>
      <c r="J46" s="11"/>
    </row>
    <row r="47" spans="2:10" ht="16" customHeight="1">
      <c r="C47" s="10"/>
      <c r="D47" s="10"/>
      <c r="E47" s="9"/>
      <c r="F47" s="8"/>
      <c r="G47" s="7" t="s">
        <v>1</v>
      </c>
      <c r="H47" s="7"/>
      <c r="I47" s="4"/>
      <c r="J47" s="6">
        <f>SUM(H26:H41)</f>
        <v>435.6</v>
      </c>
    </row>
    <row r="48" spans="2:10" ht="16" customHeight="1">
      <c r="C48" s="368"/>
      <c r="D48" s="368"/>
      <c r="E48" s="2"/>
      <c r="F48" s="4"/>
      <c r="G48" s="7" t="s">
        <v>448</v>
      </c>
      <c r="H48" s="7"/>
      <c r="I48" s="4"/>
      <c r="J48" s="162">
        <f>SUM(J43:J47)</f>
        <v>3630.0899999999997</v>
      </c>
    </row>
    <row r="49" spans="2:10" ht="16" customHeight="1">
      <c r="E49" s="4"/>
      <c r="F49" s="4"/>
      <c r="G49" s="4"/>
      <c r="H49" s="4"/>
      <c r="I49" s="4"/>
      <c r="J49" s="4"/>
    </row>
    <row r="50" spans="2:10" ht="16" customHeight="1">
      <c r="C50" s="5"/>
      <c r="D50" s="5"/>
      <c r="E50" s="5"/>
      <c r="F50" s="5"/>
      <c r="G50" s="4"/>
      <c r="H50" s="4"/>
      <c r="I50" s="4"/>
      <c r="J50" s="4"/>
    </row>
    <row r="51" spans="2:10" ht="16" customHeight="1">
      <c r="C51" s="368"/>
      <c r="D51" s="368"/>
      <c r="E51" s="368"/>
      <c r="F51" s="368"/>
      <c r="G51" s="3"/>
      <c r="H51" s="3"/>
      <c r="I51" s="3"/>
      <c r="J51" s="2"/>
    </row>
    <row r="52" spans="2:10" ht="10.5" customHeight="1"/>
    <row r="53" spans="2:10">
      <c r="B53" s="369" t="s">
        <v>0</v>
      </c>
      <c r="C53" s="369"/>
      <c r="D53" s="369"/>
      <c r="E53" s="369"/>
      <c r="F53" s="369"/>
      <c r="G53" s="369"/>
      <c r="H53" s="369"/>
      <c r="I53" s="369"/>
      <c r="J53" s="369"/>
    </row>
  </sheetData>
  <sheetProtection formatCells="0" formatColumns="0" formatRows="0" insertColumns="0" insertRows="0" deleteRows="0" selectLockedCells="1"/>
  <mergeCells count="53">
    <mergeCell ref="K3:L3"/>
    <mergeCell ref="C1:F1"/>
    <mergeCell ref="G1:J1"/>
    <mergeCell ref="B2:C2"/>
    <mergeCell ref="D2:G2"/>
    <mergeCell ref="G3:J3"/>
    <mergeCell ref="C12:D12"/>
    <mergeCell ref="B4:G4"/>
    <mergeCell ref="B5:C5"/>
    <mergeCell ref="E5:I6"/>
    <mergeCell ref="B6:C6"/>
    <mergeCell ref="B7:C7"/>
    <mergeCell ref="D7:E7"/>
    <mergeCell ref="C9:D9"/>
    <mergeCell ref="F9:J9"/>
    <mergeCell ref="C10:D10"/>
    <mergeCell ref="F10:J10"/>
    <mergeCell ref="C11:D11"/>
    <mergeCell ref="J21:J22"/>
    <mergeCell ref="C13:D13"/>
    <mergeCell ref="F13:J13"/>
    <mergeCell ref="C14:D14"/>
    <mergeCell ref="F14:J14"/>
    <mergeCell ref="G16:J16"/>
    <mergeCell ref="C17:E17"/>
    <mergeCell ref="F17:J17"/>
    <mergeCell ref="C21:C22"/>
    <mergeCell ref="D21:D22"/>
    <mergeCell ref="E21:E22"/>
    <mergeCell ref="F21:F22"/>
    <mergeCell ref="G21:G22"/>
    <mergeCell ref="C35:D35"/>
    <mergeCell ref="B24:J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J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64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E26CA-4451-1643-B32B-7182E7138393}">
  <sheetPr codeName="Sheet27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45495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Lansa Parker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CHK 176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4F6FC-0965-164B-BAAF-1B28C889EAE6}">
  <sheetPr codeName="Sheet28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Bruno's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 t="s">
        <v>567</v>
      </c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CHK 177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114</v>
      </c>
      <c r="C27" s="350" t="s">
        <v>566</v>
      </c>
      <c r="D27" s="351"/>
      <c r="E27" s="21">
        <v>1</v>
      </c>
      <c r="F27" s="22">
        <v>14125</v>
      </c>
      <c r="G27" s="21" t="s">
        <v>439</v>
      </c>
      <c r="H27" s="20" t="str">
        <f t="shared" si="0"/>
        <v>N/A</v>
      </c>
      <c r="I27" s="19">
        <f t="shared" si="1"/>
        <v>14125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14125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14125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0AB8-1BBA-3346-8A20-663EBE137CB9}">
  <sheetPr codeName="Sheet29">
    <pageSetUpPr fitToPage="1"/>
  </sheetPr>
  <dimension ref="B1:K53"/>
  <sheetViews>
    <sheetView topLeftCell="A14" workbookViewId="0">
      <selection activeCell="C11" sqref="C11:D11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v>45524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Thought Pro LLC (CAD Expenses)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859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860</v>
      </c>
      <c r="D13" s="348"/>
      <c r="E13" s="45" t="s">
        <v>23</v>
      </c>
      <c r="F13" s="352">
        <v>247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1012</v>
      </c>
      <c r="F14" s="352" t="s">
        <v>1013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8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204</v>
      </c>
      <c r="C27" s="350" t="s">
        <v>1014</v>
      </c>
      <c r="D27" s="351"/>
      <c r="E27" s="21">
        <v>1</v>
      </c>
      <c r="F27" s="22">
        <v>2106.6</v>
      </c>
      <c r="G27" s="21" t="s">
        <v>439</v>
      </c>
      <c r="H27" s="20" t="str">
        <f t="shared" si="0"/>
        <v>N/A</v>
      </c>
      <c r="I27" s="19">
        <f t="shared" si="1"/>
        <v>2106.6</v>
      </c>
    </row>
    <row r="28" spans="2:9" s="13" customFormat="1" ht="16" customHeight="1">
      <c r="B28" s="21">
        <v>204</v>
      </c>
      <c r="C28" s="350" t="s">
        <v>1015</v>
      </c>
      <c r="D28" s="351"/>
      <c r="E28" s="21">
        <v>1</v>
      </c>
      <c r="F28" s="21">
        <v>817.43</v>
      </c>
      <c r="G28" s="21" t="s">
        <v>439</v>
      </c>
      <c r="H28" s="20" t="str">
        <f t="shared" si="0"/>
        <v>N/A</v>
      </c>
      <c r="I28" s="19">
        <f t="shared" si="1"/>
        <v>817.43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89" t="s">
        <v>1016</v>
      </c>
      <c r="D38" s="390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2924.0299999999997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2924.0299999999997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7D53-136E-2945-9A6A-498751005231}">
  <sheetPr codeName="Sheet30">
    <pageSetUpPr fitToPage="1"/>
  </sheetPr>
  <dimension ref="B1:K53"/>
  <sheetViews>
    <sheetView topLeftCell="A9" workbookViewId="0">
      <selection activeCell="C32" sqref="C32:D32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v>45524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Thought Pro LLC (USD Expenses)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859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860</v>
      </c>
      <c r="D13" s="348"/>
      <c r="E13" s="45" t="s">
        <v>23</v>
      </c>
      <c r="F13" s="352">
        <v>248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1013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8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108</v>
      </c>
      <c r="C27" s="350" t="s">
        <v>1020</v>
      </c>
      <c r="D27" s="351"/>
      <c r="E27" s="21">
        <v>1</v>
      </c>
      <c r="F27" s="22">
        <v>734.68</v>
      </c>
      <c r="G27" s="21" t="s">
        <v>439</v>
      </c>
      <c r="H27" s="20" t="str">
        <f t="shared" si="0"/>
        <v>N/A</v>
      </c>
      <c r="I27" s="19">
        <f t="shared" si="1"/>
        <v>734.68</v>
      </c>
    </row>
    <row r="28" spans="2:9" s="13" customFormat="1" ht="16" customHeight="1">
      <c r="B28" s="21">
        <v>120</v>
      </c>
      <c r="C28" s="350" t="s">
        <v>1019</v>
      </c>
      <c r="D28" s="351"/>
      <c r="E28" s="21">
        <v>1</v>
      </c>
      <c r="F28" s="21">
        <v>213.4</v>
      </c>
      <c r="G28" s="21" t="s">
        <v>439</v>
      </c>
      <c r="H28" s="20" t="str">
        <f t="shared" si="0"/>
        <v>N/A</v>
      </c>
      <c r="I28" s="19">
        <f t="shared" si="1"/>
        <v>213.4</v>
      </c>
    </row>
    <row r="29" spans="2:9" s="13" customFormat="1" ht="16" customHeight="1">
      <c r="B29" s="21">
        <v>204</v>
      </c>
      <c r="C29" s="350" t="s">
        <v>1017</v>
      </c>
      <c r="D29" s="351"/>
      <c r="E29" s="21">
        <v>1</v>
      </c>
      <c r="F29" s="21">
        <v>22.72</v>
      </c>
      <c r="G29" s="21" t="s">
        <v>439</v>
      </c>
      <c r="H29" s="20" t="str">
        <f t="shared" si="0"/>
        <v>N/A</v>
      </c>
      <c r="I29" s="19">
        <f t="shared" si="1"/>
        <v>22.72</v>
      </c>
    </row>
    <row r="30" spans="2:9" s="13" customFormat="1" ht="16" customHeight="1">
      <c r="B30" s="21">
        <v>220</v>
      </c>
      <c r="C30" s="350" t="s">
        <v>1018</v>
      </c>
      <c r="D30" s="351"/>
      <c r="E30" s="21">
        <v>1</v>
      </c>
      <c r="F30" s="21">
        <v>539.37</v>
      </c>
      <c r="G30" s="21" t="s">
        <v>439</v>
      </c>
      <c r="H30" s="20" t="str">
        <f t="shared" si="0"/>
        <v>N/A</v>
      </c>
      <c r="I30" s="19">
        <f t="shared" si="1"/>
        <v>539.37</v>
      </c>
    </row>
    <row r="31" spans="2:9" s="13" customFormat="1" ht="16" customHeight="1">
      <c r="B31" s="21"/>
      <c r="C31" s="350"/>
      <c r="D31" s="351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50"/>
      <c r="D32" s="351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50"/>
      <c r="D33" s="351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91" t="s">
        <v>1021</v>
      </c>
      <c r="D34" s="39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50"/>
      <c r="D35" s="351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50"/>
      <c r="D36" s="351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50"/>
      <c r="D37" s="351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1510.17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1510.17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7E2D-C136-184E-BB21-5A0C898F9222}">
  <sheetPr codeName="Sheet31">
    <pageSetUpPr fitToPage="1"/>
  </sheetPr>
  <dimension ref="A1:K53"/>
  <sheetViews>
    <sheetView workbookViewId="0">
      <selection activeCell="G28" sqref="G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0" width="12" style="1" customWidth="1"/>
    <col min="11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241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241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Film &amp; Event Rentals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972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10475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571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1:10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1:10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1:10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1:10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1:10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1:10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1:10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1:10" ht="11" customHeight="1">
      <c r="B24" s="364"/>
      <c r="C24" s="364"/>
      <c r="D24" s="365"/>
      <c r="E24" s="365"/>
      <c r="F24" s="365"/>
      <c r="G24" s="365"/>
      <c r="H24" s="365"/>
      <c r="I24" s="365"/>
    </row>
    <row r="25" spans="1:10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1</v>
      </c>
      <c r="I25" s="23" t="s">
        <v>4</v>
      </c>
      <c r="J25" s="23" t="s">
        <v>3</v>
      </c>
    </row>
    <row r="26" spans="1:10" s="13" customFormat="1" ht="16" customHeight="1">
      <c r="B26" s="21"/>
      <c r="C26" s="350"/>
      <c r="D26" s="351"/>
      <c r="E26" s="21"/>
      <c r="F26" s="21"/>
      <c r="G26" s="21" t="s">
        <v>439</v>
      </c>
      <c r="H26" s="20"/>
      <c r="I26" s="20" t="str">
        <f t="shared" ref="I26:I41" si="0">IF(G26="CAD", "N/A", IF(G26="USD", E26*F26, ""))</f>
        <v>N/A</v>
      </c>
      <c r="J26" s="19">
        <f t="shared" ref="J26:J41" si="1">IF(G26="CAD", (E26*F26)-H26, IF(G26="USD", I26*1.36, ""))</f>
        <v>0</v>
      </c>
    </row>
    <row r="27" spans="1:10" s="13" customFormat="1" ht="16" customHeight="1">
      <c r="B27" s="21">
        <v>205</v>
      </c>
      <c r="C27" s="350" t="s">
        <v>572</v>
      </c>
      <c r="D27" s="351"/>
      <c r="E27" s="21">
        <v>1</v>
      </c>
      <c r="F27" s="22">
        <v>2399.1999999999998</v>
      </c>
      <c r="G27" s="21" t="s">
        <v>439</v>
      </c>
      <c r="H27" s="20"/>
      <c r="I27" s="20" t="str">
        <f t="shared" si="0"/>
        <v>N/A</v>
      </c>
      <c r="J27" s="19">
        <f t="shared" si="1"/>
        <v>2399.1999999999998</v>
      </c>
    </row>
    <row r="28" spans="1:10" s="13" customFormat="1" ht="16" customHeight="1">
      <c r="A28" s="186"/>
      <c r="B28" s="252">
        <v>205</v>
      </c>
      <c r="C28" s="376" t="s">
        <v>573</v>
      </c>
      <c r="D28" s="377"/>
      <c r="E28" s="252">
        <v>1</v>
      </c>
      <c r="F28" s="255">
        <v>154</v>
      </c>
      <c r="G28" s="252" t="s">
        <v>439</v>
      </c>
      <c r="H28" s="253"/>
      <c r="I28" s="253" t="str">
        <f t="shared" si="0"/>
        <v>N/A</v>
      </c>
      <c r="J28" s="254">
        <f t="shared" si="1"/>
        <v>154</v>
      </c>
    </row>
    <row r="29" spans="1:10" s="13" customFormat="1" ht="16" customHeight="1">
      <c r="B29" s="21"/>
      <c r="C29" s="361"/>
      <c r="D29" s="362"/>
      <c r="E29" s="21"/>
      <c r="F29" s="21"/>
      <c r="G29" s="21"/>
      <c r="H29" s="20"/>
      <c r="I29" s="20" t="str">
        <f t="shared" si="0"/>
        <v/>
      </c>
      <c r="J29" s="19" t="str">
        <f t="shared" si="1"/>
        <v/>
      </c>
    </row>
    <row r="30" spans="1:10" s="13" customFormat="1" ht="16" customHeight="1">
      <c r="B30" s="21"/>
      <c r="C30" s="361"/>
      <c r="D30" s="362"/>
      <c r="E30" s="21"/>
      <c r="F30" s="21"/>
      <c r="G30" s="21"/>
      <c r="H30" s="20"/>
      <c r="I30" s="20" t="str">
        <f t="shared" si="0"/>
        <v/>
      </c>
      <c r="J30" s="19" t="str">
        <f t="shared" si="1"/>
        <v/>
      </c>
    </row>
    <row r="31" spans="1:10" s="13" customFormat="1" ht="16" customHeight="1">
      <c r="B31" s="21"/>
      <c r="C31" s="350"/>
      <c r="D31" s="351"/>
      <c r="E31" s="21"/>
      <c r="F31" s="21"/>
      <c r="G31" s="21"/>
      <c r="H31" s="20"/>
      <c r="I31" s="20" t="str">
        <f t="shared" si="0"/>
        <v/>
      </c>
      <c r="J31" s="19" t="str">
        <f t="shared" si="1"/>
        <v/>
      </c>
    </row>
    <row r="32" spans="1:10" s="13" customFormat="1" ht="16" customHeight="1">
      <c r="B32" s="21"/>
      <c r="C32" s="350"/>
      <c r="D32" s="351"/>
      <c r="E32" s="21"/>
      <c r="F32" s="21"/>
      <c r="G32" s="21"/>
      <c r="H32" s="20"/>
      <c r="I32" s="20" t="str">
        <f t="shared" si="0"/>
        <v/>
      </c>
      <c r="J32" s="19" t="str">
        <f t="shared" si="1"/>
        <v/>
      </c>
    </row>
    <row r="33" spans="2:10" s="13" customFormat="1" ht="16" customHeight="1">
      <c r="B33" s="21"/>
      <c r="C33" s="361"/>
      <c r="D33" s="362"/>
      <c r="E33" s="21"/>
      <c r="F33" s="21"/>
      <c r="G33" s="21"/>
      <c r="H33" s="20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61"/>
      <c r="D34" s="362"/>
      <c r="E34" s="21"/>
      <c r="F34" s="21"/>
      <c r="G34" s="21"/>
      <c r="H34" s="20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21"/>
      <c r="F35" s="21"/>
      <c r="G35" s="21"/>
      <c r="H35" s="20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21"/>
      <c r="F36" s="21"/>
      <c r="G36" s="21"/>
      <c r="H36" s="20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21"/>
      <c r="F37" s="21"/>
      <c r="G37" s="21"/>
      <c r="H37" s="20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21"/>
      <c r="F38" s="21"/>
      <c r="G38" s="21"/>
      <c r="H38" s="20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21"/>
      <c r="F39" s="21"/>
      <c r="G39" s="21"/>
      <c r="H39" s="20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21"/>
      <c r="F40" s="21"/>
      <c r="G40" s="21"/>
      <c r="H40" s="20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21"/>
      <c r="F41" s="21"/>
      <c r="G41" s="21"/>
      <c r="H41" s="20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10" s="13" customFormat="1" ht="16" customHeight="1">
      <c r="B43" s="15"/>
      <c r="C43" s="15"/>
      <c r="D43" s="15"/>
      <c r="E43" s="15"/>
      <c r="F43" s="15"/>
      <c r="G43" s="7" t="s">
        <v>2</v>
      </c>
      <c r="H43" s="7"/>
      <c r="J43" s="17">
        <f>SUM(J25:J41)</f>
        <v>2553.1999999999998</v>
      </c>
    </row>
    <row r="44" spans="2:10" s="13" customFormat="1" ht="16" customHeight="1">
      <c r="B44" s="15"/>
      <c r="C44" s="15"/>
      <c r="D44" s="15"/>
      <c r="E44" s="15"/>
      <c r="F44" s="15"/>
      <c r="G44" s="7"/>
      <c r="H44" s="7"/>
      <c r="J44" s="16"/>
    </row>
    <row r="45" spans="2:10" s="13" customFormat="1" ht="16" customHeight="1">
      <c r="B45" s="15"/>
      <c r="C45" s="15"/>
      <c r="D45" s="15"/>
      <c r="E45" s="15"/>
      <c r="F45" s="15"/>
      <c r="G45" s="7"/>
      <c r="H45" s="7"/>
      <c r="J45" s="14"/>
    </row>
    <row r="46" spans="2:10" ht="16" customHeight="1">
      <c r="E46" s="12"/>
      <c r="F46" s="12"/>
      <c r="G46" s="11"/>
      <c r="H46" s="11"/>
      <c r="J46" s="11"/>
    </row>
    <row r="47" spans="2:10" ht="16" customHeight="1">
      <c r="C47" s="10"/>
      <c r="D47" s="10"/>
      <c r="E47" s="9"/>
      <c r="F47" s="8"/>
      <c r="G47" s="7" t="s">
        <v>1</v>
      </c>
      <c r="H47" s="4"/>
      <c r="J47" s="185">
        <v>331.92</v>
      </c>
    </row>
    <row r="48" spans="2:10" ht="16" customHeight="1">
      <c r="C48" s="368"/>
      <c r="D48" s="368"/>
      <c r="E48" s="2"/>
      <c r="F48" s="4"/>
      <c r="G48" s="7" t="s">
        <v>448</v>
      </c>
      <c r="H48" s="4"/>
      <c r="J48" s="162">
        <f>SUM(J43:J47)</f>
        <v>2885.12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B4:G4"/>
    <mergeCell ref="B5:C5"/>
    <mergeCell ref="E5:H6"/>
    <mergeCell ref="B6:C6"/>
    <mergeCell ref="B7:C7"/>
    <mergeCell ref="D7:E7"/>
    <mergeCell ref="F9:I9"/>
    <mergeCell ref="C10:D10"/>
    <mergeCell ref="F10:I10"/>
    <mergeCell ref="C11:D11"/>
    <mergeCell ref="C12:D13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AF57F-F8D8-2B4A-B64E-4683C1475B56}">
  <sheetPr codeName="Sheet32">
    <pageSetUpPr fitToPage="1"/>
  </sheetPr>
  <dimension ref="B1:K53"/>
  <sheetViews>
    <sheetView workbookViewId="0">
      <selection activeCell="H29" sqref="H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Film &amp; Event Rentals (Art)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972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10473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571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10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10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10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10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10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10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10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10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10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1</v>
      </c>
      <c r="I25" s="23" t="s">
        <v>4</v>
      </c>
      <c r="J25" s="23" t="s">
        <v>3</v>
      </c>
    </row>
    <row r="26" spans="2:10" s="13" customFormat="1" ht="16" customHeight="1">
      <c r="B26" s="21"/>
      <c r="C26" s="350"/>
      <c r="D26" s="351"/>
      <c r="E26" s="21"/>
      <c r="F26" s="21"/>
      <c r="G26" s="21" t="s">
        <v>439</v>
      </c>
      <c r="H26" s="20"/>
      <c r="I26" s="20" t="str">
        <f t="shared" ref="I26:I41" si="0">IF(G26="CAD", "N/A", IF(G26="USD", E26*F26, ""))</f>
        <v>N/A</v>
      </c>
      <c r="J26" s="19">
        <f t="shared" ref="J26:J41" si="1">IF(G26="CAD", (E26*F26)-H26, IF(G26="USD", I26*1.36, ""))</f>
        <v>0</v>
      </c>
    </row>
    <row r="27" spans="2:10" s="13" customFormat="1" ht="16" customHeight="1">
      <c r="B27" s="21"/>
      <c r="C27" s="350"/>
      <c r="D27" s="351"/>
      <c r="E27" s="21"/>
      <c r="F27" s="22"/>
      <c r="G27" s="21" t="s">
        <v>439</v>
      </c>
      <c r="H27" s="20"/>
      <c r="I27" s="20" t="str">
        <f t="shared" si="0"/>
        <v>N/A</v>
      </c>
      <c r="J27" s="19">
        <f t="shared" si="1"/>
        <v>0</v>
      </c>
    </row>
    <row r="28" spans="2:10" s="13" customFormat="1" ht="16" customHeight="1">
      <c r="B28" s="21"/>
      <c r="C28" s="350"/>
      <c r="D28" s="351"/>
      <c r="E28" s="21"/>
      <c r="F28" s="22"/>
      <c r="G28" s="21" t="s">
        <v>439</v>
      </c>
      <c r="H28" s="20"/>
      <c r="I28" s="20" t="str">
        <f t="shared" si="0"/>
        <v>N/A</v>
      </c>
      <c r="J28" s="19">
        <f t="shared" si="1"/>
        <v>0</v>
      </c>
    </row>
    <row r="29" spans="2:10" s="13" customFormat="1" ht="16" customHeight="1">
      <c r="B29" s="21">
        <v>182</v>
      </c>
      <c r="C29" s="361" t="s">
        <v>208</v>
      </c>
      <c r="D29" s="362"/>
      <c r="E29" s="21">
        <v>548</v>
      </c>
      <c r="F29" s="21">
        <v>1</v>
      </c>
      <c r="G29" s="21" t="s">
        <v>439</v>
      </c>
      <c r="H29" s="20"/>
      <c r="I29" s="20" t="str">
        <f t="shared" si="0"/>
        <v>N/A</v>
      </c>
      <c r="J29" s="19">
        <f t="shared" si="1"/>
        <v>548</v>
      </c>
    </row>
    <row r="30" spans="2:10" s="13" customFormat="1" ht="16" customHeight="1">
      <c r="B30" s="21">
        <v>182</v>
      </c>
      <c r="C30" s="361" t="s">
        <v>208</v>
      </c>
      <c r="D30" s="362"/>
      <c r="E30" s="21">
        <v>200</v>
      </c>
      <c r="F30" s="21">
        <v>1</v>
      </c>
      <c r="G30" s="21" t="s">
        <v>439</v>
      </c>
      <c r="H30" s="20"/>
      <c r="I30" s="20" t="str">
        <f t="shared" si="0"/>
        <v>N/A</v>
      </c>
      <c r="J30" s="19">
        <f t="shared" si="1"/>
        <v>200</v>
      </c>
    </row>
    <row r="31" spans="2:10" s="13" customFormat="1" ht="16" customHeight="1">
      <c r="B31" s="21">
        <v>182</v>
      </c>
      <c r="C31" s="361" t="s">
        <v>570</v>
      </c>
      <c r="D31" s="362"/>
      <c r="E31" s="21">
        <v>105</v>
      </c>
      <c r="F31" s="21">
        <v>1</v>
      </c>
      <c r="G31" s="21" t="s">
        <v>439</v>
      </c>
      <c r="H31" s="20"/>
      <c r="I31" s="20" t="str">
        <f t="shared" si="0"/>
        <v>N/A</v>
      </c>
      <c r="J31" s="19">
        <f t="shared" si="1"/>
        <v>105</v>
      </c>
    </row>
    <row r="32" spans="2:10" s="13" customFormat="1" ht="16" customHeight="1">
      <c r="B32" s="21"/>
      <c r="C32" s="361"/>
      <c r="D32" s="362"/>
      <c r="E32" s="21"/>
      <c r="F32" s="21"/>
      <c r="G32" s="21"/>
      <c r="H32" s="20"/>
      <c r="I32" s="20" t="str">
        <f t="shared" si="0"/>
        <v/>
      </c>
      <c r="J32" s="19" t="str">
        <f t="shared" si="1"/>
        <v/>
      </c>
    </row>
    <row r="33" spans="2:10" s="13" customFormat="1" ht="16" customHeight="1">
      <c r="B33" s="21"/>
      <c r="C33" s="361"/>
      <c r="D33" s="362"/>
      <c r="E33" s="21"/>
      <c r="F33" s="21"/>
      <c r="G33" s="21"/>
      <c r="H33" s="20"/>
      <c r="I33" s="20" t="str">
        <f t="shared" si="0"/>
        <v/>
      </c>
      <c r="J33" s="19" t="str">
        <f t="shared" si="1"/>
        <v/>
      </c>
    </row>
    <row r="34" spans="2:10" s="13" customFormat="1" ht="16" customHeight="1">
      <c r="B34" s="21"/>
      <c r="C34" s="361"/>
      <c r="D34" s="362"/>
      <c r="E34" s="21"/>
      <c r="F34" s="21"/>
      <c r="G34" s="21"/>
      <c r="H34" s="20"/>
      <c r="I34" s="20" t="str">
        <f t="shared" si="0"/>
        <v/>
      </c>
      <c r="J34" s="19" t="str">
        <f t="shared" si="1"/>
        <v/>
      </c>
    </row>
    <row r="35" spans="2:10" s="13" customFormat="1" ht="16" customHeight="1">
      <c r="B35" s="21"/>
      <c r="C35" s="361"/>
      <c r="D35" s="362"/>
      <c r="E35" s="21"/>
      <c r="F35" s="21"/>
      <c r="G35" s="21"/>
      <c r="H35" s="20"/>
      <c r="I35" s="20" t="str">
        <f t="shared" si="0"/>
        <v/>
      </c>
      <c r="J35" s="19" t="str">
        <f t="shared" si="1"/>
        <v/>
      </c>
    </row>
    <row r="36" spans="2:10" s="13" customFormat="1" ht="16" customHeight="1">
      <c r="B36" s="21"/>
      <c r="C36" s="361"/>
      <c r="D36" s="362"/>
      <c r="E36" s="21"/>
      <c r="F36" s="21"/>
      <c r="G36" s="21"/>
      <c r="H36" s="20"/>
      <c r="I36" s="20" t="str">
        <f t="shared" si="0"/>
        <v/>
      </c>
      <c r="J36" s="19" t="str">
        <f t="shared" si="1"/>
        <v/>
      </c>
    </row>
    <row r="37" spans="2:10" s="13" customFormat="1" ht="16" customHeight="1">
      <c r="B37" s="21"/>
      <c r="C37" s="361"/>
      <c r="D37" s="362"/>
      <c r="E37" s="21"/>
      <c r="F37" s="21"/>
      <c r="G37" s="21"/>
      <c r="H37" s="20"/>
      <c r="I37" s="20" t="str">
        <f t="shared" si="0"/>
        <v/>
      </c>
      <c r="J37" s="19" t="str">
        <f t="shared" si="1"/>
        <v/>
      </c>
    </row>
    <row r="38" spans="2:10" s="13" customFormat="1" ht="16" customHeight="1">
      <c r="B38" s="21"/>
      <c r="C38" s="361"/>
      <c r="D38" s="362"/>
      <c r="E38" s="21"/>
      <c r="F38" s="21"/>
      <c r="G38" s="21"/>
      <c r="H38" s="20"/>
      <c r="I38" s="20" t="str">
        <f t="shared" si="0"/>
        <v/>
      </c>
      <c r="J38" s="19" t="str">
        <f t="shared" si="1"/>
        <v/>
      </c>
    </row>
    <row r="39" spans="2:10" s="13" customFormat="1" ht="16" customHeight="1">
      <c r="B39" s="21"/>
      <c r="C39" s="361"/>
      <c r="D39" s="362"/>
      <c r="E39" s="21"/>
      <c r="F39" s="21"/>
      <c r="G39" s="21"/>
      <c r="H39" s="20"/>
      <c r="I39" s="20" t="str">
        <f t="shared" si="0"/>
        <v/>
      </c>
      <c r="J39" s="19" t="str">
        <f t="shared" si="1"/>
        <v/>
      </c>
    </row>
    <row r="40" spans="2:10" s="13" customFormat="1" ht="16" customHeight="1">
      <c r="B40" s="21"/>
      <c r="C40" s="361"/>
      <c r="D40" s="362"/>
      <c r="E40" s="21"/>
      <c r="F40" s="21"/>
      <c r="G40" s="21"/>
      <c r="H40" s="20"/>
      <c r="I40" s="20" t="str">
        <f t="shared" si="0"/>
        <v/>
      </c>
      <c r="J40" s="19" t="str">
        <f t="shared" si="1"/>
        <v/>
      </c>
    </row>
    <row r="41" spans="2:10" s="13" customFormat="1" ht="16" customHeight="1">
      <c r="B41" s="21"/>
      <c r="C41" s="361"/>
      <c r="D41" s="362"/>
      <c r="E41" s="21"/>
      <c r="F41" s="21"/>
      <c r="G41" s="21"/>
      <c r="H41" s="20"/>
      <c r="I41" s="20" t="str">
        <f t="shared" si="0"/>
        <v/>
      </c>
      <c r="J41" s="19" t="str">
        <f t="shared" si="1"/>
        <v/>
      </c>
    </row>
    <row r="42" spans="2:10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10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/>
      <c r="J43" s="17">
        <f>SUM(J25:J41)</f>
        <v>853</v>
      </c>
    </row>
    <row r="44" spans="2:10" s="13" customFormat="1" ht="16" customHeight="1">
      <c r="B44" s="15"/>
      <c r="C44" s="15"/>
      <c r="D44" s="15"/>
      <c r="E44" s="15"/>
      <c r="F44" s="15"/>
      <c r="G44" s="7"/>
      <c r="H44" s="7"/>
      <c r="I44" s="16"/>
      <c r="J44" s="16"/>
    </row>
    <row r="45" spans="2:10" s="13" customFormat="1" ht="16" customHeight="1">
      <c r="B45" s="15"/>
      <c r="C45" s="15"/>
      <c r="D45" s="15"/>
      <c r="E45" s="15"/>
      <c r="F45" s="15"/>
      <c r="G45" s="7"/>
      <c r="H45" s="7"/>
      <c r="I45" s="14"/>
      <c r="J45" s="14"/>
    </row>
    <row r="46" spans="2:10" ht="16" customHeight="1">
      <c r="E46" s="12"/>
      <c r="F46" s="12"/>
      <c r="G46" s="11"/>
      <c r="H46" s="11"/>
      <c r="I46" s="11"/>
      <c r="J46" s="11"/>
    </row>
    <row r="47" spans="2:10" ht="16" customHeight="1">
      <c r="C47" s="10"/>
      <c r="D47" s="10"/>
      <c r="E47" s="9"/>
      <c r="F47" s="8"/>
      <c r="G47" s="7" t="s">
        <v>1</v>
      </c>
      <c r="H47" s="4"/>
      <c r="I47" s="185"/>
      <c r="J47" s="185">
        <v>110.89</v>
      </c>
    </row>
    <row r="48" spans="2:10" ht="16" customHeight="1">
      <c r="C48" s="368"/>
      <c r="D48" s="368"/>
      <c r="E48" s="2"/>
      <c r="F48" s="4"/>
      <c r="G48" s="7" t="s">
        <v>448</v>
      </c>
      <c r="H48" s="4"/>
      <c r="I48" s="162"/>
      <c r="J48" s="162">
        <f>SUM(J43:J47)</f>
        <v>963.89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C12:D13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09017-508A-2543-9DEA-C874B9D9E58B}">
  <sheetPr codeName="Sheet33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DV Shop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211</v>
      </c>
      <c r="C27" s="350" t="s">
        <v>578</v>
      </c>
      <c r="D27" s="351"/>
      <c r="E27" s="21">
        <v>2</v>
      </c>
      <c r="F27" s="22">
        <v>810</v>
      </c>
      <c r="G27" s="21" t="s">
        <v>439</v>
      </c>
      <c r="H27" s="20" t="str">
        <f t="shared" si="0"/>
        <v>N/A</v>
      </c>
      <c r="I27" s="19">
        <f t="shared" si="1"/>
        <v>1620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1620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210.6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1830.6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53F7-1BD6-4B45-8083-1935AB82D10A}">
  <sheetPr codeName="Sheet34">
    <pageSetUpPr fitToPage="1"/>
  </sheetPr>
  <dimension ref="B1:K53"/>
  <sheetViews>
    <sheetView workbookViewId="0">
      <selection activeCell="D16" sqref="D16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Sunbelt Studio City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973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77290151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196</v>
      </c>
      <c r="C28" s="350" t="s">
        <v>579</v>
      </c>
      <c r="D28" s="351"/>
      <c r="E28" s="21">
        <v>1</v>
      </c>
      <c r="F28" s="21">
        <v>94.8</v>
      </c>
      <c r="G28" s="21" t="s">
        <v>439</v>
      </c>
      <c r="H28" s="20" t="str">
        <f t="shared" si="0"/>
        <v>N/A</v>
      </c>
      <c r="I28" s="19">
        <f t="shared" si="1"/>
        <v>94.8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94.8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12.32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107.12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C12:D13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59D1-C80C-D649-A2A6-9CB0F9396B5B}">
  <sheetPr codeName="Sheet35">
    <pageSetUpPr fitToPage="1"/>
  </sheetPr>
  <dimension ref="B1:K53"/>
  <sheetViews>
    <sheetView workbookViewId="0">
      <selection activeCell="C14" sqref="C14:D1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v>45499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Target Park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AMEX 2009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120</v>
      </c>
      <c r="C27" s="350" t="s">
        <v>1024</v>
      </c>
      <c r="D27" s="351"/>
      <c r="E27" s="21">
        <v>1</v>
      </c>
      <c r="F27" s="22">
        <v>10.25</v>
      </c>
      <c r="G27" s="21" t="s">
        <v>439</v>
      </c>
      <c r="H27" s="20" t="str">
        <f t="shared" si="0"/>
        <v>N/A</v>
      </c>
      <c r="I27" s="19">
        <f t="shared" si="1"/>
        <v>10.25</v>
      </c>
    </row>
    <row r="28" spans="2:9" s="13" customFormat="1" ht="16" customHeight="1">
      <c r="B28" s="21">
        <v>120</v>
      </c>
      <c r="C28" s="350" t="s">
        <v>1024</v>
      </c>
      <c r="D28" s="351"/>
      <c r="E28" s="21">
        <v>1</v>
      </c>
      <c r="F28" s="21">
        <v>30.75</v>
      </c>
      <c r="G28" s="21" t="s">
        <v>439</v>
      </c>
      <c r="H28" s="20" t="str">
        <f t="shared" si="0"/>
        <v>N/A</v>
      </c>
      <c r="I28" s="19">
        <f t="shared" si="1"/>
        <v>30.75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41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41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84E2B-BA7D-1744-B651-41CB9DF9FD72}">
  <sheetPr codeName="Sheet36">
    <pageSetUpPr fitToPage="1"/>
  </sheetPr>
  <dimension ref="B1:K53"/>
  <sheetViews>
    <sheetView topLeftCell="A5" workbookViewId="0">
      <selection activeCell="C32" sqref="C32:D32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309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Lansa Parker (Hotel Cost)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974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114</v>
      </c>
      <c r="C27" s="350" t="s">
        <v>580</v>
      </c>
      <c r="D27" s="351"/>
      <c r="E27" s="21">
        <v>1</v>
      </c>
      <c r="F27" s="21">
        <v>765.8</v>
      </c>
      <c r="G27" s="21" t="s">
        <v>439</v>
      </c>
      <c r="H27" s="20" t="str">
        <f t="shared" si="0"/>
        <v>N/A</v>
      </c>
      <c r="I27" s="19">
        <f t="shared" si="1"/>
        <v>765.8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765.8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765.8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E251-4587-7342-B440-2D9BE9D4E142}">
  <sheetPr codeName="Sheet37">
    <pageSetUpPr fitToPage="1"/>
  </sheetPr>
  <dimension ref="B1:K53"/>
  <sheetViews>
    <sheetView topLeftCell="A3" workbookViewId="0">
      <selection activeCell="C29" sqref="C29:D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Sound Grab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875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876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591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877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194</v>
      </c>
      <c r="C27" s="350" t="s">
        <v>197</v>
      </c>
      <c r="D27" s="351"/>
      <c r="E27" s="21">
        <v>2</v>
      </c>
      <c r="F27" s="22">
        <v>450</v>
      </c>
      <c r="G27" s="21" t="s">
        <v>439</v>
      </c>
      <c r="H27" s="20" t="str">
        <f t="shared" si="0"/>
        <v>N/A</v>
      </c>
      <c r="I27" s="19">
        <f t="shared" si="1"/>
        <v>900</v>
      </c>
    </row>
    <row r="28" spans="2:9" s="13" customFormat="1" ht="16" customHeight="1">
      <c r="B28" s="21">
        <v>71</v>
      </c>
      <c r="C28" s="350" t="s">
        <v>592</v>
      </c>
      <c r="D28" s="351"/>
      <c r="E28" s="21">
        <v>2</v>
      </c>
      <c r="F28" s="21">
        <v>650</v>
      </c>
      <c r="G28" s="21" t="s">
        <v>439</v>
      </c>
      <c r="H28" s="20" t="str">
        <f t="shared" si="0"/>
        <v>N/A</v>
      </c>
      <c r="I28" s="19">
        <f t="shared" si="1"/>
        <v>1300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2200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286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2486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FAB6-E580-2643-B334-F43170A0EA04}">
  <sheetPr codeName="Sheet38">
    <pageSetUpPr fitToPage="1"/>
  </sheetPr>
  <dimension ref="B1:K53"/>
  <sheetViews>
    <sheetView topLeftCell="A20"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Streamwater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979</v>
      </c>
      <c r="D11" s="348"/>
      <c r="E11" s="47"/>
    </row>
    <row r="12" spans="2:11" s="13" customFormat="1" ht="22" customHeight="1">
      <c r="B12" s="45" t="s">
        <v>25</v>
      </c>
      <c r="C12" s="348" t="s">
        <v>33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978</v>
      </c>
      <c r="D13" s="348"/>
      <c r="E13" s="45" t="s">
        <v>23</v>
      </c>
      <c r="F13" s="352" t="s">
        <v>984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980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139</v>
      </c>
      <c r="C28" s="240" t="s">
        <v>977</v>
      </c>
      <c r="D28" s="132"/>
      <c r="E28" s="21">
        <v>1</v>
      </c>
      <c r="F28" s="21">
        <v>81.36</v>
      </c>
      <c r="G28" s="21" t="s">
        <v>439</v>
      </c>
      <c r="H28" s="20" t="str">
        <f t="shared" si="0"/>
        <v>N/A</v>
      </c>
      <c r="I28" s="19">
        <f t="shared" si="1"/>
        <v>81.36</v>
      </c>
    </row>
    <row r="29" spans="2:9" s="13" customFormat="1" ht="16" customHeight="1">
      <c r="B29" s="21">
        <v>218</v>
      </c>
      <c r="C29" s="350" t="s">
        <v>976</v>
      </c>
      <c r="D29" s="351"/>
      <c r="E29" s="21">
        <v>1</v>
      </c>
      <c r="F29" s="21">
        <v>140</v>
      </c>
      <c r="G29" s="21" t="s">
        <v>439</v>
      </c>
      <c r="H29" s="20" t="str">
        <f t="shared" si="0"/>
        <v>N/A</v>
      </c>
      <c r="I29" s="19">
        <f t="shared" si="1"/>
        <v>140</v>
      </c>
    </row>
    <row r="30" spans="2:9" s="13" customFormat="1" ht="16" customHeight="1">
      <c r="B30" s="21">
        <v>139</v>
      </c>
      <c r="C30" s="350" t="s">
        <v>975</v>
      </c>
      <c r="D30" s="351"/>
      <c r="E30" s="21">
        <v>1</v>
      </c>
      <c r="F30" s="21">
        <v>97.63</v>
      </c>
      <c r="G30" s="21" t="s">
        <v>439</v>
      </c>
      <c r="H30" s="20" t="str">
        <f t="shared" si="0"/>
        <v>N/A</v>
      </c>
      <c r="I30" s="19">
        <f t="shared" si="1"/>
        <v>97.63</v>
      </c>
    </row>
    <row r="31" spans="2:9" s="13" customFormat="1" ht="16" customHeight="1">
      <c r="B31" s="21"/>
      <c r="C31" s="350"/>
      <c r="D31" s="351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50"/>
      <c r="D32" s="351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50" t="s">
        <v>983</v>
      </c>
      <c r="D33" s="351"/>
      <c r="E33" s="21"/>
      <c r="F33" s="21">
        <v>9.36</v>
      </c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50" t="s">
        <v>982</v>
      </c>
      <c r="D34" s="351"/>
      <c r="E34" s="21"/>
      <c r="F34" s="21">
        <v>18.2</v>
      </c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50" t="s">
        <v>981</v>
      </c>
      <c r="D35" s="351"/>
      <c r="E35" s="21"/>
      <c r="F35" s="21">
        <v>11.23</v>
      </c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50"/>
      <c r="D37" s="351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50"/>
      <c r="D38" s="351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50"/>
      <c r="D39" s="351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50"/>
      <c r="D40" s="351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50"/>
      <c r="D41" s="351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318.99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f>SUM(F33:F35)</f>
        <v>38.79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357.78000000000003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C17:E17"/>
    <mergeCell ref="F17:I17"/>
    <mergeCell ref="C21:C22"/>
    <mergeCell ref="D21:D22"/>
    <mergeCell ref="E21:E22"/>
    <mergeCell ref="F21:F22"/>
    <mergeCell ref="G21:G22"/>
    <mergeCell ref="C13:D13"/>
    <mergeCell ref="F13:I13"/>
    <mergeCell ref="C14:D14"/>
    <mergeCell ref="F14:I14"/>
    <mergeCell ref="G16:I16"/>
    <mergeCell ref="C30:D30"/>
    <mergeCell ref="C31:D31"/>
    <mergeCell ref="C32:D32"/>
    <mergeCell ref="C34:D34"/>
    <mergeCell ref="I21:I22"/>
    <mergeCell ref="B24:I24"/>
    <mergeCell ref="C25:D25"/>
    <mergeCell ref="C26:D26"/>
    <mergeCell ref="C27:D27"/>
    <mergeCell ref="C29:D29"/>
    <mergeCell ref="C48:D48"/>
    <mergeCell ref="C51:D51"/>
    <mergeCell ref="E51:F51"/>
    <mergeCell ref="B53:I53"/>
    <mergeCell ref="C33:D33"/>
    <mergeCell ref="C37:D37"/>
    <mergeCell ref="C38:D38"/>
    <mergeCell ref="C39:D39"/>
    <mergeCell ref="C40:D40"/>
    <mergeCell ref="C41:D41"/>
    <mergeCell ref="C35:D35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51C4-D45A-0749-9702-5EDF411290AD}">
  <sheetPr codeName="Sheet39">
    <tabColor rgb="FFFFFF00"/>
    <pageSetUpPr fitToPage="1"/>
  </sheetPr>
  <dimension ref="B1:K53"/>
  <sheetViews>
    <sheetView topLeftCell="A26" workbookViewId="0">
      <selection activeCell="D43" sqref="D4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241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241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Film Event (Location Prep)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972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10476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985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576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184">
        <v>205</v>
      </c>
      <c r="C27" s="385" t="s">
        <v>574</v>
      </c>
      <c r="D27" s="395"/>
      <c r="E27" s="21">
        <v>1</v>
      </c>
      <c r="F27" s="22">
        <v>645.20000000000005</v>
      </c>
      <c r="G27" s="21" t="s">
        <v>439</v>
      </c>
      <c r="H27" s="20" t="str">
        <f t="shared" si="0"/>
        <v>N/A</v>
      </c>
      <c r="I27" s="19">
        <f t="shared" si="1"/>
        <v>645.20000000000005</v>
      </c>
    </row>
    <row r="28" spans="2:9" s="13" customFormat="1" ht="16" customHeight="1">
      <c r="B28" s="187">
        <v>205</v>
      </c>
      <c r="C28" s="396" t="s">
        <v>575</v>
      </c>
      <c r="D28" s="397"/>
      <c r="E28" s="21">
        <v>1</v>
      </c>
      <c r="F28" s="21">
        <v>380</v>
      </c>
      <c r="G28" s="21" t="s">
        <v>439</v>
      </c>
      <c r="H28" s="20" t="str">
        <f t="shared" si="0"/>
        <v>N/A</v>
      </c>
      <c r="I28" s="19">
        <f t="shared" si="1"/>
        <v>380</v>
      </c>
    </row>
    <row r="29" spans="2:9" s="13" customFormat="1" ht="16" customHeight="1">
      <c r="B29" s="21">
        <v>114</v>
      </c>
      <c r="C29" s="361" t="s">
        <v>131</v>
      </c>
      <c r="D29" s="362"/>
      <c r="E29" s="21">
        <v>1</v>
      </c>
      <c r="F29" s="21">
        <v>2270</v>
      </c>
      <c r="G29" s="21" t="s">
        <v>439</v>
      </c>
      <c r="H29" s="20" t="str">
        <f t="shared" si="0"/>
        <v>N/A</v>
      </c>
      <c r="I29" s="19">
        <f t="shared" si="1"/>
        <v>2270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3295.2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428.58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3723.7799999999997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B4:G4"/>
    <mergeCell ref="B5:C5"/>
    <mergeCell ref="E5:H6"/>
    <mergeCell ref="B6:C6"/>
    <mergeCell ref="B7:C7"/>
    <mergeCell ref="D7:E7"/>
    <mergeCell ref="F9:I9"/>
    <mergeCell ref="C10:D10"/>
    <mergeCell ref="F10:I10"/>
    <mergeCell ref="C11:D11"/>
    <mergeCell ref="C12:D13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06ED5-2667-B143-9900-3B6EADAB1317}">
  <sheetPr codeName="Sheet40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Pictus Goods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719964918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102</v>
      </c>
      <c r="C27" s="350" t="s">
        <v>593</v>
      </c>
      <c r="D27" s="351"/>
      <c r="E27" s="21">
        <v>1</v>
      </c>
      <c r="F27" s="22">
        <v>1793</v>
      </c>
      <c r="G27" s="21" t="s">
        <v>439</v>
      </c>
      <c r="H27" s="20" t="str">
        <f t="shared" si="0"/>
        <v>N/A</v>
      </c>
      <c r="I27" s="19">
        <f t="shared" si="1"/>
        <v>1793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1793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233.09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2026.09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9D975-026B-B74C-ACA6-E51A7F3012BD}">
  <sheetPr codeName="Sheet41">
    <pageSetUpPr fitToPage="1"/>
  </sheetPr>
  <dimension ref="B1:K53"/>
  <sheetViews>
    <sheetView topLeftCell="A15"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PO_LOG[PO], 0)),
       IF(INDEX(PO_LOG[DATE], MATCH(Sheet_PO, PO_LOG[PO], 0)) = "", "",
          INDEX(PO_LOG[DATE], MATCH(Sheet_PO, PO_LOG[PO],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Nerd Station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84" t="s">
        <v>466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465</v>
      </c>
      <c r="D13" s="348"/>
      <c r="E13" s="45" t="s">
        <v>23</v>
      </c>
      <c r="F13" s="352" t="s">
        <v>463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464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>
        <v>222</v>
      </c>
      <c r="C29" s="361" t="s">
        <v>595</v>
      </c>
      <c r="D29" s="362"/>
      <c r="E29" s="21">
        <v>1</v>
      </c>
      <c r="F29" s="21">
        <v>380</v>
      </c>
      <c r="G29" s="21" t="s">
        <v>439</v>
      </c>
      <c r="H29" s="20" t="str">
        <f t="shared" si="0"/>
        <v>N/A</v>
      </c>
      <c r="I29" s="19">
        <f t="shared" si="1"/>
        <v>380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380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49.4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429.4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CBBC-02EB-9C4A-A1BB-6F324F26C58D}">
  <sheetPr codeName="Sheet42">
    <tabColor rgb="FFFFFF0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Hot Bricks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204</v>
      </c>
      <c r="C27" s="350" t="s">
        <v>594</v>
      </c>
      <c r="D27" s="351"/>
      <c r="E27" s="21">
        <v>1</v>
      </c>
      <c r="F27" s="22">
        <v>100</v>
      </c>
      <c r="G27" s="21" t="s">
        <v>499</v>
      </c>
      <c r="H27" s="20">
        <f t="shared" si="0"/>
        <v>100</v>
      </c>
      <c r="I27" s="19">
        <f t="shared" si="1"/>
        <v>136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D9CFF-7756-004F-AA62-267F3A660460}">
  <sheetPr codeName="Sheet43">
    <pageSetUpPr fitToPage="1"/>
  </sheetPr>
  <dimension ref="B1:K53"/>
  <sheetViews>
    <sheetView topLeftCell="A18" workbookViewId="0">
      <selection activeCell="E39" sqref="E3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/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Total Two Way (L&amp;D)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449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450</v>
      </c>
      <c r="D13" s="348"/>
      <c r="E13" s="45" t="s">
        <v>23</v>
      </c>
      <c r="F13" s="352">
        <v>54130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842625675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7 Vendors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200</v>
      </c>
      <c r="C28" s="350" t="s">
        <v>596</v>
      </c>
      <c r="D28" s="351"/>
      <c r="E28" s="21">
        <v>1</v>
      </c>
      <c r="F28" s="21">
        <v>965</v>
      </c>
      <c r="G28" s="21" t="s">
        <v>439</v>
      </c>
      <c r="H28" s="20" t="str">
        <f t="shared" si="0"/>
        <v>N/A</v>
      </c>
      <c r="I28" s="19">
        <f t="shared" si="1"/>
        <v>965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965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125.45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1090.45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61B05-620C-8748-A969-DCA0097798AC}">
  <sheetPr codeName="Sheet44">
    <pageSetUpPr fitToPage="1"/>
  </sheetPr>
  <dimension ref="B1:K53"/>
  <sheetViews>
    <sheetView topLeftCell="B1" workbookViewId="0">
      <selection activeCell="F15" sqref="F15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PO_LOG[PO], 0)),
       IF(INDEX(PO_LOG[DATE], MATCH(Sheet_PO, PO_LOG[PO], 0)) = "", "",
          INDEX(PO_LOG[DATE], MATCH(Sheet_PO, PO_LOG[PO], 0))),
       ""),
    "No match found")</f>
        <v>45493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Markham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991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113</v>
      </c>
      <c r="C27" s="350" t="s">
        <v>990</v>
      </c>
      <c r="D27" s="351"/>
      <c r="E27" s="21">
        <v>1</v>
      </c>
      <c r="F27" s="22">
        <v>76.67</v>
      </c>
      <c r="G27" s="21" t="s">
        <v>439</v>
      </c>
      <c r="H27" s="20" t="str">
        <f t="shared" si="0"/>
        <v>N/A</v>
      </c>
      <c r="I27" s="19">
        <f t="shared" si="1"/>
        <v>76.67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76.67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9.61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86.28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D5E0D-D818-A745-9522-FD6A4157668D}">
  <sheetPr codeName="Sheet45">
    <pageSetUpPr fitToPage="1"/>
  </sheetPr>
  <dimension ref="B1:K53"/>
  <sheetViews>
    <sheetView workbookViewId="0">
      <selection activeCell="G28" sqref="G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City of Vaughan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98" t="s">
        <v>993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VISA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115</v>
      </c>
      <c r="C27" s="350" t="s">
        <v>994</v>
      </c>
      <c r="D27" s="351"/>
      <c r="E27" s="21">
        <v>1</v>
      </c>
      <c r="F27" s="22">
        <v>423</v>
      </c>
      <c r="G27" s="21" t="s">
        <v>439</v>
      </c>
      <c r="H27" s="20" t="str">
        <f t="shared" si="0"/>
        <v>N/A</v>
      </c>
      <c r="I27" s="19">
        <f t="shared" si="1"/>
        <v>423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423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423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ED45-A81D-FB4F-BF3F-F76D537877C8}">
  <sheetPr codeName="Sheet46">
    <pageSetUpPr fitToPage="1"/>
  </sheetPr>
  <dimension ref="B1:K53"/>
  <sheetViews>
    <sheetView workbookViewId="0">
      <selection activeCell="C11" sqref="C11:D11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319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Nook Productions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944</v>
      </c>
      <c r="D11" s="348"/>
      <c r="E11" s="47"/>
    </row>
    <row r="12" spans="2:11" s="13" customFormat="1" ht="22" customHeight="1">
      <c r="B12" s="45" t="s">
        <v>25</v>
      </c>
      <c r="C12" s="348" t="s">
        <v>940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942</v>
      </c>
      <c r="D13" s="348"/>
      <c r="E13" s="45" t="s">
        <v>23</v>
      </c>
      <c r="F13" s="352">
        <v>2450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941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943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04">
        <v>193</v>
      </c>
      <c r="C26" s="350" t="s">
        <v>779</v>
      </c>
      <c r="D26" s="351"/>
      <c r="E26" s="21">
        <v>1</v>
      </c>
      <c r="F26" s="205">
        <v>2115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2115</v>
      </c>
    </row>
    <row r="27" spans="2:9" s="13" customFormat="1" ht="16" customHeight="1">
      <c r="B27" s="204">
        <v>5</v>
      </c>
      <c r="C27" s="350" t="s">
        <v>791</v>
      </c>
      <c r="D27" s="351"/>
      <c r="E27" s="21">
        <v>1</v>
      </c>
      <c r="F27" s="205">
        <v>686.9</v>
      </c>
      <c r="G27" s="21" t="s">
        <v>439</v>
      </c>
      <c r="H27" s="20" t="str">
        <f t="shared" si="0"/>
        <v>N/A</v>
      </c>
      <c r="I27" s="19">
        <f t="shared" si="1"/>
        <v>686.9</v>
      </c>
    </row>
    <row r="28" spans="2:9" s="13" customFormat="1" ht="16" customHeight="1">
      <c r="B28" s="204">
        <v>55</v>
      </c>
      <c r="C28" s="350" t="s">
        <v>792</v>
      </c>
      <c r="D28" s="351"/>
      <c r="E28" s="21">
        <v>1</v>
      </c>
      <c r="F28" s="205">
        <v>1785.96</v>
      </c>
      <c r="G28" s="21" t="s">
        <v>439</v>
      </c>
      <c r="H28" s="20" t="str">
        <f t="shared" si="0"/>
        <v>N/A</v>
      </c>
      <c r="I28" s="19">
        <f t="shared" si="1"/>
        <v>1785.96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4587.8600000000006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596.42999999999995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5184.2900000000009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7770-9664-3C45-91F4-D26B1EF1A592}">
  <sheetPr codeName="Sheet47">
    <pageSetUpPr fitToPage="1"/>
  </sheetPr>
  <dimension ref="B1:K53"/>
  <sheetViews>
    <sheetView workbookViewId="0">
      <selection activeCell="G28" sqref="G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v>45508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Patrimonio LLC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 t="s">
        <v>1026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Wire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149</v>
      </c>
      <c r="C27" s="350" t="s">
        <v>1027</v>
      </c>
      <c r="D27" s="351"/>
      <c r="E27" s="21">
        <v>1</v>
      </c>
      <c r="F27" s="22">
        <v>5757.95</v>
      </c>
      <c r="G27" s="21" t="s">
        <v>439</v>
      </c>
      <c r="H27" s="20" t="str">
        <f t="shared" si="0"/>
        <v>N/A</v>
      </c>
      <c r="I27" s="19">
        <f t="shared" si="1"/>
        <v>5757.95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5757.95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5757.95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432CA-D4CA-7942-9CED-7F4E6BAB5F4D}">
  <sheetPr codeName="Sheet48">
    <pageSetUpPr fitToPage="1"/>
  </sheetPr>
  <dimension ref="B1:K53"/>
  <sheetViews>
    <sheetView topLeftCell="A23" workbookViewId="0">
      <selection activeCell="E28" sqref="E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/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21 MGMT LIMITED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831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832</v>
      </c>
      <c r="D13" s="348"/>
      <c r="E13" s="45" t="s">
        <v>23</v>
      </c>
      <c r="F13" s="352" t="s">
        <v>829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830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675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27</v>
      </c>
      <c r="C26" s="350" t="s">
        <v>674</v>
      </c>
      <c r="D26" s="351"/>
      <c r="E26" s="21">
        <v>1</v>
      </c>
      <c r="F26" s="21">
        <v>420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420</v>
      </c>
    </row>
    <row r="27" spans="2:9" s="13" customFormat="1" ht="16" customHeight="1">
      <c r="B27" s="21">
        <v>77</v>
      </c>
      <c r="C27" s="350" t="s">
        <v>674</v>
      </c>
      <c r="D27" s="351"/>
      <c r="E27" s="21">
        <v>1</v>
      </c>
      <c r="F27" s="22">
        <v>751.51</v>
      </c>
      <c r="G27" s="21" t="s">
        <v>439</v>
      </c>
      <c r="H27" s="20" t="str">
        <f t="shared" si="0"/>
        <v>N/A</v>
      </c>
      <c r="I27" s="19">
        <f t="shared" si="1"/>
        <v>751.51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1171.51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152.30000000000001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1323.81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1C5DE-D2BD-1A4B-AED6-C57FE1E67042}">
  <sheetPr codeName="Sheet4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Lanny Bolger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833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834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678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</v>
      </c>
      <c r="C26" s="350" t="s">
        <v>677</v>
      </c>
      <c r="D26" s="351"/>
      <c r="E26" s="21">
        <v>1</v>
      </c>
      <c r="F26" s="21">
        <v>1228.5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1228.5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1228.5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1228.5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282F2-9F65-F048-AC71-BDAA102A6B9F}">
  <sheetPr codeName="Sheet50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Littile Immigrant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681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682</v>
      </c>
      <c r="D13" s="348"/>
      <c r="E13" s="45" t="s">
        <v>23</v>
      </c>
      <c r="F13" s="352">
        <v>1165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740710918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835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4</v>
      </c>
      <c r="C26" s="350" t="s">
        <v>679</v>
      </c>
      <c r="D26" s="351"/>
      <c r="E26" s="21">
        <v>1</v>
      </c>
      <c r="F26" s="21">
        <v>4200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4200</v>
      </c>
    </row>
    <row r="27" spans="2:9" s="13" customFormat="1" ht="16" customHeight="1">
      <c r="B27" s="21">
        <v>54</v>
      </c>
      <c r="C27" s="350" t="s">
        <v>657</v>
      </c>
      <c r="D27" s="351"/>
      <c r="E27" s="21">
        <v>1</v>
      </c>
      <c r="F27" s="22">
        <v>6965</v>
      </c>
      <c r="G27" s="21" t="s">
        <v>439</v>
      </c>
      <c r="H27" s="20" t="str">
        <f t="shared" si="0"/>
        <v>N/A</v>
      </c>
      <c r="I27" s="19">
        <f t="shared" si="1"/>
        <v>6965</v>
      </c>
    </row>
    <row r="28" spans="2:9" s="13" customFormat="1" ht="16" customHeight="1">
      <c r="B28" s="21">
        <v>193</v>
      </c>
      <c r="C28" s="350" t="s">
        <v>680</v>
      </c>
      <c r="D28" s="351"/>
      <c r="E28" s="21">
        <v>1</v>
      </c>
      <c r="F28" s="21">
        <v>200</v>
      </c>
      <c r="G28" s="21" t="s">
        <v>439</v>
      </c>
      <c r="H28" s="20" t="str">
        <f t="shared" si="0"/>
        <v>N/A</v>
      </c>
      <c r="I28" s="19">
        <f t="shared" si="1"/>
        <v>200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11365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1451.45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12816.45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47828-B5DA-2A4B-90EE-5083189EB2F2}">
  <sheetPr codeName="Sheet51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Jackson Adams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716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99</v>
      </c>
      <c r="C27" s="350" t="s">
        <v>715</v>
      </c>
      <c r="D27" s="351"/>
      <c r="E27" s="21">
        <v>1</v>
      </c>
      <c r="F27" s="22">
        <v>685.42</v>
      </c>
      <c r="G27" s="21" t="s">
        <v>439</v>
      </c>
      <c r="H27" s="20" t="str">
        <f t="shared" si="0"/>
        <v>N/A</v>
      </c>
      <c r="I27" s="19">
        <f t="shared" si="1"/>
        <v>685.42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685.42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685.42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1E55A-266C-644C-8358-5EF205D88823}">
  <sheetPr codeName="Sheet52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Jessica Jennings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838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99" t="s">
        <v>684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39</v>
      </c>
      <c r="C26" s="350" t="s">
        <v>836</v>
      </c>
      <c r="D26" s="351"/>
      <c r="E26" s="21">
        <v>1</v>
      </c>
      <c r="F26" s="21">
        <v>4600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4600</v>
      </c>
    </row>
    <row r="27" spans="2:9" s="13" customFormat="1" ht="16" customHeight="1">
      <c r="B27" s="21">
        <v>89</v>
      </c>
      <c r="C27" s="350" t="s">
        <v>837</v>
      </c>
      <c r="D27" s="351"/>
      <c r="E27" s="21">
        <v>1</v>
      </c>
      <c r="F27" s="22">
        <v>1500</v>
      </c>
      <c r="G27" s="21" t="s">
        <v>439</v>
      </c>
      <c r="H27" s="20" t="str">
        <f t="shared" si="0"/>
        <v>N/A</v>
      </c>
      <c r="I27" s="19">
        <f t="shared" si="1"/>
        <v>1500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6100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793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6893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7" r:id="rId1" display="jessica@momentummedia.ca" xr:uid="{7B241D71-417E-2A42-A71C-881DBEAD4A6E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BFD1A-2E04-FA48-9941-546BDD16DF09}">
  <sheetPr codeName="Sheet53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Josh Blurton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641</v>
      </c>
      <c r="D16" s="190" t="s">
        <v>642</v>
      </c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99</v>
      </c>
      <c r="C26" s="350" t="s">
        <v>638</v>
      </c>
      <c r="D26" s="351"/>
      <c r="E26" s="21">
        <v>1</v>
      </c>
      <c r="F26" s="21">
        <v>420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420</v>
      </c>
    </row>
    <row r="27" spans="2:9" s="13" customFormat="1" ht="16" customHeight="1">
      <c r="B27" s="21">
        <v>49</v>
      </c>
      <c r="C27" s="350" t="s">
        <v>639</v>
      </c>
      <c r="D27" s="351"/>
      <c r="E27" s="21">
        <v>1</v>
      </c>
      <c r="F27" s="22">
        <v>595</v>
      </c>
      <c r="G27" s="21" t="s">
        <v>439</v>
      </c>
      <c r="H27" s="20" t="str">
        <f t="shared" si="0"/>
        <v>N/A</v>
      </c>
      <c r="I27" s="19">
        <f t="shared" si="1"/>
        <v>595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1015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1015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D16" r:id="rId1" xr:uid="{29D61EA1-B99B-CD41-B450-35BD7BAF415C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26E5-F0B2-144C-83A4-55DE76F896D4}">
  <sheetPr codeName="Sheet54">
    <tabColor theme="6" tint="0.79998168889431442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Max Cameron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648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649</v>
      </c>
      <c r="D16" s="190" t="s">
        <v>650</v>
      </c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49</v>
      </c>
      <c r="C27" s="350" t="s">
        <v>653</v>
      </c>
      <c r="D27" s="351"/>
      <c r="E27" s="21">
        <v>1</v>
      </c>
      <c r="F27" s="22">
        <v>280</v>
      </c>
      <c r="G27" s="21" t="s">
        <v>439</v>
      </c>
      <c r="H27" s="20" t="str">
        <f t="shared" si="0"/>
        <v>N/A</v>
      </c>
      <c r="I27" s="19">
        <f t="shared" si="1"/>
        <v>280</v>
      </c>
    </row>
    <row r="28" spans="2:9" s="13" customFormat="1" ht="16" customHeight="1">
      <c r="B28" s="21">
        <v>99</v>
      </c>
      <c r="C28" s="350" t="s">
        <v>651</v>
      </c>
      <c r="D28" s="351"/>
      <c r="E28" s="21">
        <v>1</v>
      </c>
      <c r="F28" s="21">
        <v>956.67</v>
      </c>
      <c r="G28" s="21" t="s">
        <v>439</v>
      </c>
      <c r="H28" s="20" t="str">
        <f t="shared" si="0"/>
        <v>N/A</v>
      </c>
      <c r="I28" s="19">
        <f t="shared" si="1"/>
        <v>956.67</v>
      </c>
    </row>
    <row r="29" spans="2:9" s="13" customFormat="1" ht="16" customHeight="1">
      <c r="B29" s="21">
        <v>49</v>
      </c>
      <c r="C29" s="361" t="s">
        <v>652</v>
      </c>
      <c r="D29" s="362"/>
      <c r="E29" s="21">
        <v>1</v>
      </c>
      <c r="F29" s="21">
        <v>840</v>
      </c>
      <c r="G29" s="21" t="s">
        <v>439</v>
      </c>
      <c r="H29" s="20" t="str">
        <f t="shared" si="0"/>
        <v>N/A</v>
      </c>
      <c r="I29" s="19">
        <f t="shared" si="1"/>
        <v>840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2076.67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2076.67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D16" r:id="rId1" xr:uid="{B7A6AE50-783F-C242-B15C-AAEB32878CFE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9FBB1-2D59-A441-8038-CFEA0487E150}">
  <sheetPr codeName="Sheet55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Sonny Days Production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788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543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790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68</v>
      </c>
      <c r="C27" s="350" t="s">
        <v>787</v>
      </c>
      <c r="D27" s="351"/>
      <c r="E27" s="21">
        <v>1</v>
      </c>
      <c r="F27" s="22">
        <v>1470.8</v>
      </c>
      <c r="G27" s="21" t="s">
        <v>439</v>
      </c>
      <c r="H27" s="20" t="str">
        <f t="shared" si="0"/>
        <v>N/A</v>
      </c>
      <c r="I27" s="19">
        <f t="shared" si="1"/>
        <v>1470.8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1470.8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191.2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1662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4F17B-D2C4-8045-A9DC-D74E384CDDD8}">
  <sheetPr codeName="Sheet56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277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Rachel Coyle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400" t="s">
        <v>685</v>
      </c>
      <c r="D17" s="400"/>
      <c r="E17" s="400"/>
      <c r="F17" s="401" t="s">
        <v>686</v>
      </c>
      <c r="G17" s="402"/>
      <c r="H17" s="402"/>
      <c r="I17" s="402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173</v>
      </c>
      <c r="C26" s="350" t="s">
        <v>173</v>
      </c>
      <c r="D26" s="351"/>
      <c r="E26" s="21">
        <v>1</v>
      </c>
      <c r="F26" s="21">
        <v>1166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1166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1166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1166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F17" r:id="rId1" xr:uid="{77C749B0-1E44-2745-A5E8-81396D20C53C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678A0-48E8-9F4B-8660-E893F8153F15}">
  <sheetPr codeName="Sheet5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329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Paul Lampa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179</v>
      </c>
      <c r="C27" s="350" t="s">
        <v>687</v>
      </c>
      <c r="D27" s="351"/>
      <c r="E27" s="21">
        <v>1</v>
      </c>
      <c r="F27" s="22">
        <v>1233.75</v>
      </c>
      <c r="G27" s="21" t="s">
        <v>439</v>
      </c>
      <c r="H27" s="20" t="str">
        <f t="shared" si="0"/>
        <v>N/A</v>
      </c>
      <c r="I27" s="19">
        <f t="shared" si="1"/>
        <v>1233.75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1233.75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1233.75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1C94A-8815-C143-B9F1-24BDBD05C9BB}">
  <sheetPr codeName="Sheet58">
    <pageSetUpPr fitToPage="1"/>
  </sheetPr>
  <dimension ref="B1:K53"/>
  <sheetViews>
    <sheetView topLeftCell="A30" workbookViewId="0">
      <selection activeCell="F13" sqref="F13:I1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Edmond Kpopp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945</v>
      </c>
      <c r="D11" s="348"/>
      <c r="E11" s="47"/>
    </row>
    <row r="12" spans="2:11" s="13" customFormat="1" ht="22" customHeight="1">
      <c r="B12" s="45" t="s">
        <v>25</v>
      </c>
      <c r="C12" s="348" t="s">
        <v>783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543</v>
      </c>
      <c r="D13" s="348"/>
      <c r="E13" s="45" t="s">
        <v>23</v>
      </c>
      <c r="F13" s="352" t="s">
        <v>946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784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11</v>
      </c>
      <c r="C27" s="350" t="s">
        <v>786</v>
      </c>
      <c r="D27" s="351"/>
      <c r="E27" s="21">
        <v>1</v>
      </c>
      <c r="F27" s="22">
        <v>605</v>
      </c>
      <c r="G27" s="21" t="s">
        <v>439</v>
      </c>
      <c r="H27" s="20" t="str">
        <f t="shared" si="0"/>
        <v>N/A</v>
      </c>
      <c r="I27" s="19">
        <f t="shared" si="1"/>
        <v>605</v>
      </c>
    </row>
    <row r="28" spans="2:9" s="13" customFormat="1" ht="16" customHeight="1">
      <c r="B28" s="21">
        <v>51</v>
      </c>
      <c r="C28" s="350" t="s">
        <v>785</v>
      </c>
      <c r="D28" s="351"/>
      <c r="E28" s="21">
        <v>1</v>
      </c>
      <c r="F28" s="21">
        <v>1693.8</v>
      </c>
      <c r="G28" s="21" t="s">
        <v>439</v>
      </c>
      <c r="H28" s="20" t="str">
        <f t="shared" si="0"/>
        <v>N/A</v>
      </c>
      <c r="I28" s="19">
        <f t="shared" si="1"/>
        <v>1693.8</v>
      </c>
    </row>
    <row r="29" spans="2:9" s="13" customFormat="1" ht="16" customHeight="1">
      <c r="B29" s="21">
        <v>195</v>
      </c>
      <c r="C29" s="350" t="s">
        <v>768</v>
      </c>
      <c r="D29" s="351"/>
      <c r="E29" s="21">
        <v>1</v>
      </c>
      <c r="F29" s="21">
        <v>500</v>
      </c>
      <c r="G29" s="21" t="s">
        <v>439</v>
      </c>
      <c r="H29" s="20" t="str">
        <f t="shared" si="0"/>
        <v>N/A</v>
      </c>
      <c r="I29" s="19">
        <f t="shared" si="1"/>
        <v>500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2798.8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363.84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3162.6400000000003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11914F33-E1E6-EA41-944E-95C0C27E9711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192E3-99AF-6146-9E2E-83FE27C987A0}">
  <sheetPr codeName="Sheet5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Sis D'souza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688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174</v>
      </c>
      <c r="C27" s="350" t="s">
        <v>173</v>
      </c>
      <c r="D27" s="351"/>
      <c r="E27" s="21">
        <v>1</v>
      </c>
      <c r="F27" s="22">
        <v>829</v>
      </c>
      <c r="G27" s="21" t="s">
        <v>439</v>
      </c>
      <c r="H27" s="20" t="str">
        <f t="shared" si="0"/>
        <v>N/A</v>
      </c>
      <c r="I27" s="19">
        <f t="shared" si="1"/>
        <v>829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829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829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CF21-0F5D-844D-AD14-4460FBACABF7}">
  <sheetPr codeName="Sheet60">
    <pageSetUpPr fitToPage="1"/>
  </sheetPr>
  <dimension ref="B1:K53"/>
  <sheetViews>
    <sheetView workbookViewId="0">
      <selection activeCell="G29" sqref="G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Tyson Erb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949</v>
      </c>
      <c r="D11" s="348"/>
      <c r="E11" s="47"/>
    </row>
    <row r="12" spans="2:11" s="13" customFormat="1" ht="22" customHeight="1">
      <c r="B12" s="45" t="s">
        <v>25</v>
      </c>
      <c r="C12" s="348" t="s">
        <v>782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948</v>
      </c>
      <c r="D13" s="348"/>
      <c r="E13" s="45" t="s">
        <v>23</v>
      </c>
      <c r="F13" s="352" t="s">
        <v>947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781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766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63</v>
      </c>
      <c r="C26" s="350" t="s">
        <v>780</v>
      </c>
      <c r="D26" s="351"/>
      <c r="E26" s="21">
        <v>1</v>
      </c>
      <c r="F26" s="21">
        <v>1418.2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1418.2</v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1418.2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184.37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1602.5700000000002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6A6A4EB5-F2C1-BD4F-BCAA-8262BAB00EF2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1044D-DF4A-6644-9031-7F8B8892F0A4}">
  <sheetPr codeName="Sheet61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Austin Marshall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97</v>
      </c>
      <c r="C28" s="350" t="s">
        <v>689</v>
      </c>
      <c r="D28" s="351"/>
      <c r="E28" s="21">
        <v>1</v>
      </c>
      <c r="F28" s="21">
        <v>632.20000000000005</v>
      </c>
      <c r="G28" s="21" t="s">
        <v>439</v>
      </c>
      <c r="H28" s="20" t="str">
        <f t="shared" si="0"/>
        <v>N/A</v>
      </c>
      <c r="I28" s="19">
        <f t="shared" si="1"/>
        <v>632.20000000000005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632.20000000000005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632.20000000000005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172E-05DD-BD4B-B0AC-2CF9090AB7AE}">
  <sheetPr codeName="Sheet62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Brian Johnston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839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840</v>
      </c>
      <c r="D13" s="348"/>
      <c r="E13" s="45" t="s">
        <v>23</v>
      </c>
      <c r="F13" s="352" t="s">
        <v>841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65</v>
      </c>
      <c r="C27" s="350" t="s">
        <v>714</v>
      </c>
      <c r="D27" s="351"/>
      <c r="E27" s="21">
        <v>1</v>
      </c>
      <c r="F27" s="22">
        <v>250</v>
      </c>
      <c r="G27" s="21" t="s">
        <v>439</v>
      </c>
      <c r="H27" s="20" t="str">
        <f t="shared" si="0"/>
        <v>N/A</v>
      </c>
      <c r="I27" s="19">
        <f t="shared" si="1"/>
        <v>250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250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250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6398C-C598-6849-B779-CF59663D5C8F}">
  <sheetPr codeName="Sheet63">
    <pageSetUpPr fitToPage="1"/>
  </sheetPr>
  <dimension ref="B1:K53"/>
  <sheetViews>
    <sheetView workbookViewId="0">
      <selection activeCell="C28" sqref="C28:D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Kwaku Acheampong-Kufor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881</v>
      </c>
      <c r="D11" s="348"/>
      <c r="E11" s="47"/>
    </row>
    <row r="12" spans="2:11" s="13" customFormat="1" ht="22" customHeight="1">
      <c r="B12" s="45" t="s">
        <v>25</v>
      </c>
      <c r="C12" s="348" t="s">
        <v>879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880</v>
      </c>
      <c r="D13" s="348"/>
      <c r="E13" s="45" t="s">
        <v>23</v>
      </c>
      <c r="F13" s="352">
        <v>18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798598611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882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56</v>
      </c>
      <c r="C27" s="350" t="s">
        <v>878</v>
      </c>
      <c r="D27" s="351"/>
      <c r="E27" s="21">
        <v>1</v>
      </c>
      <c r="F27" s="22">
        <v>1178.8</v>
      </c>
      <c r="G27" s="21" t="s">
        <v>439</v>
      </c>
      <c r="H27" s="20" t="str">
        <f t="shared" si="0"/>
        <v>N/A</v>
      </c>
      <c r="I27" s="19">
        <f t="shared" si="1"/>
        <v>1178.8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1178.8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153.24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1332.04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2CFD1760-211C-1043-83BB-EE271BA13E7C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B4588-9A00-5347-8F62-F665A9E50F4E}">
  <sheetPr codeName="Sheet64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Lisa Mandel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691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73</v>
      </c>
      <c r="C27" s="350" t="s">
        <v>690</v>
      </c>
      <c r="D27" s="351"/>
      <c r="E27" s="21">
        <v>1</v>
      </c>
      <c r="F27" s="22">
        <v>1280</v>
      </c>
      <c r="G27" s="21" t="s">
        <v>439</v>
      </c>
      <c r="H27" s="20" t="str">
        <f t="shared" si="0"/>
        <v>N/A</v>
      </c>
      <c r="I27" s="19">
        <f t="shared" si="1"/>
        <v>1280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1280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1280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92FF-C4B5-4643-8AFB-607423CDD822}">
  <sheetPr codeName="Sheet65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David Maccaullum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845</v>
      </c>
      <c r="D11" s="348"/>
      <c r="E11" s="47"/>
    </row>
    <row r="12" spans="2:11" s="13" customFormat="1" ht="22" customHeight="1">
      <c r="B12" s="45" t="s">
        <v>25</v>
      </c>
      <c r="C12" s="348" t="s">
        <v>843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844</v>
      </c>
      <c r="D13" s="348"/>
      <c r="E13" s="45" t="s">
        <v>23</v>
      </c>
      <c r="F13" s="352">
        <v>16451</v>
      </c>
      <c r="G13" s="353"/>
      <c r="H13" s="353"/>
      <c r="I13" s="354"/>
    </row>
    <row r="14" spans="2:11" s="13" customFormat="1" ht="16">
      <c r="B14" s="44"/>
      <c r="C14" s="355" t="s">
        <v>694</v>
      </c>
      <c r="D14" s="355"/>
      <c r="E14" s="43" t="s">
        <v>22</v>
      </c>
      <c r="F14" s="352" t="s">
        <v>695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842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62</v>
      </c>
      <c r="C27" s="350" t="s">
        <v>692</v>
      </c>
      <c r="D27" s="351"/>
      <c r="E27" s="21">
        <v>1</v>
      </c>
      <c r="F27" s="22">
        <v>1415.92</v>
      </c>
      <c r="G27" s="21" t="s">
        <v>439</v>
      </c>
      <c r="H27" s="20" t="str">
        <f t="shared" si="0"/>
        <v>N/A</v>
      </c>
      <c r="I27" s="19">
        <f t="shared" si="1"/>
        <v>1415.92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1415.92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184.07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1599.99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C31D7-B936-024E-AF7C-68F6B9120A26}">
  <sheetPr codeName="Sheet66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Jack Langenhahn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699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174</v>
      </c>
      <c r="C27" s="350" t="s">
        <v>173</v>
      </c>
      <c r="D27" s="351"/>
      <c r="E27" s="21">
        <v>1</v>
      </c>
      <c r="F27" s="22">
        <v>734</v>
      </c>
      <c r="G27" s="21" t="s">
        <v>439</v>
      </c>
      <c r="H27" s="20" t="str">
        <f t="shared" si="0"/>
        <v>N/A</v>
      </c>
      <c r="I27" s="19">
        <f t="shared" si="1"/>
        <v>734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734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734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9171B-717F-8848-BE10-984BED4A2AAE}">
  <sheetPr codeName="Sheet6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339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2431579 Ontario LTD (AE Driver)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846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847</v>
      </c>
      <c r="D13" s="348"/>
      <c r="E13" s="45" t="s">
        <v>23</v>
      </c>
      <c r="F13" s="352">
        <v>916126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700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701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65</v>
      </c>
      <c r="C27" s="350" t="s">
        <v>702</v>
      </c>
      <c r="D27" s="351"/>
      <c r="E27" s="21">
        <v>1</v>
      </c>
      <c r="F27" s="22">
        <v>1210</v>
      </c>
      <c r="G27" s="21" t="s">
        <v>439</v>
      </c>
      <c r="H27" s="20" t="str">
        <f t="shared" si="0"/>
        <v>N/A</v>
      </c>
      <c r="I27" s="19">
        <f t="shared" si="1"/>
        <v>1210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1210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157.30000000000001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1367.3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7F0A-3D54-654C-AB8A-D4337AF4C118}">
  <sheetPr codeName="Sheet68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Nicola Samuels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705</v>
      </c>
      <c r="D12" s="348"/>
      <c r="E12" s="45" t="s">
        <v>24</v>
      </c>
      <c r="F12" s="46" t="s">
        <v>704</v>
      </c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848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177</v>
      </c>
      <c r="C27" s="350" t="s">
        <v>703</v>
      </c>
      <c r="D27" s="351"/>
      <c r="E27" s="21">
        <v>1</v>
      </c>
      <c r="F27" s="22">
        <v>440</v>
      </c>
      <c r="G27" s="21" t="s">
        <v>439</v>
      </c>
      <c r="H27" s="20" t="str">
        <f t="shared" si="0"/>
        <v>N/A</v>
      </c>
      <c r="I27" s="19">
        <f t="shared" si="1"/>
        <v>440</v>
      </c>
    </row>
    <row r="28" spans="2:9" s="13" customFormat="1" ht="16" customHeight="1">
      <c r="B28" s="21">
        <v>179</v>
      </c>
      <c r="C28" s="350" t="s">
        <v>703</v>
      </c>
      <c r="D28" s="351"/>
      <c r="E28" s="21">
        <v>1</v>
      </c>
      <c r="F28" s="21">
        <v>1265</v>
      </c>
      <c r="G28" s="21" t="s">
        <v>439</v>
      </c>
      <c r="H28" s="20" t="str">
        <f t="shared" si="0"/>
        <v>N/A</v>
      </c>
      <c r="I28" s="19">
        <f t="shared" si="1"/>
        <v>1265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1705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1705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EA64-BD46-9A40-AFBB-4A644E31C4B1}">
  <sheetPr codeName="Sheet6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Justin Martel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849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850</v>
      </c>
      <c r="D13" s="348"/>
      <c r="E13" s="45" t="s">
        <v>23</v>
      </c>
      <c r="F13" s="352">
        <v>133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707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91</v>
      </c>
      <c r="C27" s="350" t="s">
        <v>706</v>
      </c>
      <c r="D27" s="351"/>
      <c r="E27" s="21">
        <v>1</v>
      </c>
      <c r="F27" s="22">
        <v>1300</v>
      </c>
      <c r="G27" s="21" t="s">
        <v>439</v>
      </c>
      <c r="H27" s="20" t="str">
        <f t="shared" si="0"/>
        <v>N/A</v>
      </c>
      <c r="I27" s="19">
        <f t="shared" si="1"/>
        <v>1300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1300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B6CB9-757C-524E-8815-F23CA30ED919}">
  <sheetPr codeName="Sheet70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Jon Chema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0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4051-1646-214A-91F2-6C53D692FF74}">
  <sheetPr codeName="Sheet71">
    <pageSetUpPr fitToPage="1"/>
  </sheetPr>
  <dimension ref="B1:K53"/>
  <sheetViews>
    <sheetView topLeftCell="A21" workbookViewId="0">
      <selection activeCell="C18" sqref="C1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David Stuart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950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2450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951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952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04">
        <v>5</v>
      </c>
      <c r="C26" s="350" t="s">
        <v>777</v>
      </c>
      <c r="D26" s="351"/>
      <c r="E26" s="21">
        <v>1</v>
      </c>
      <c r="F26" s="205">
        <v>686.9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686.9</v>
      </c>
    </row>
    <row r="27" spans="2:9" s="13" customFormat="1" ht="16" customHeight="1">
      <c r="B27" s="204">
        <v>55</v>
      </c>
      <c r="C27" s="350" t="s">
        <v>778</v>
      </c>
      <c r="D27" s="351"/>
      <c r="E27" s="21">
        <v>1</v>
      </c>
      <c r="F27" s="205">
        <v>1528.36</v>
      </c>
      <c r="G27" s="21" t="s">
        <v>439</v>
      </c>
      <c r="H27" s="20" t="str">
        <f t="shared" si="0"/>
        <v>N/A</v>
      </c>
      <c r="I27" s="19">
        <f t="shared" si="1"/>
        <v>1528.36</v>
      </c>
    </row>
    <row r="28" spans="2:9" s="13" customFormat="1" ht="16" customHeight="1">
      <c r="B28" s="204">
        <v>193</v>
      </c>
      <c r="C28" s="350" t="s">
        <v>779</v>
      </c>
      <c r="D28" s="351"/>
      <c r="E28" s="21">
        <v>1</v>
      </c>
      <c r="F28" s="205">
        <v>1525</v>
      </c>
      <c r="G28" s="21" t="s">
        <v>439</v>
      </c>
      <c r="H28" s="20" t="str">
        <f t="shared" si="0"/>
        <v>N/A</v>
      </c>
      <c r="I28" s="19">
        <f t="shared" si="1"/>
        <v>1525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3740.2599999999998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486.23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4226.49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24A3-682D-5947-BC6F-CAAE52D3FA37}">
  <sheetPr codeName="Sheet72">
    <pageSetUpPr fitToPage="1"/>
  </sheetPr>
  <dimension ref="B1:K53"/>
  <sheetViews>
    <sheetView topLeftCell="A5" workbookViewId="0">
      <selection activeCell="C30" sqref="C30:D3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Denis Scouten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885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886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884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887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180</v>
      </c>
      <c r="C27" s="350" t="s">
        <v>883</v>
      </c>
      <c r="D27" s="351"/>
      <c r="E27" s="21">
        <v>1</v>
      </c>
      <c r="F27" s="22">
        <v>726.12</v>
      </c>
      <c r="G27" s="21" t="s">
        <v>439</v>
      </c>
      <c r="H27" s="20" t="str">
        <f t="shared" si="0"/>
        <v>N/A</v>
      </c>
      <c r="I27" s="19">
        <f t="shared" si="1"/>
        <v>726.12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726.12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726.12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C89D9-71A0-D445-B8EC-24AABE883868}">
  <sheetPr codeName="Sheet73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Deyla Antonin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710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852</v>
      </c>
      <c r="D13" s="348"/>
      <c r="E13" s="45" t="s">
        <v>23</v>
      </c>
      <c r="F13" s="352" t="s">
        <v>851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711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169</v>
      </c>
      <c r="C27" s="350" t="s">
        <v>709</v>
      </c>
      <c r="D27" s="351"/>
      <c r="E27" s="21">
        <v>1</v>
      </c>
      <c r="F27" s="22">
        <v>3122</v>
      </c>
      <c r="G27" s="21" t="s">
        <v>439</v>
      </c>
      <c r="H27" s="20" t="str">
        <f t="shared" si="0"/>
        <v>N/A</v>
      </c>
      <c r="I27" s="19">
        <f t="shared" si="1"/>
        <v>3122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3122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3122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4F58-4302-CF4F-8C63-435BE508A321}">
  <sheetPr codeName="Sheet74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Steven Clark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853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854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708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68</v>
      </c>
      <c r="C27" s="350" t="s">
        <v>472</v>
      </c>
      <c r="D27" s="351"/>
      <c r="E27" s="21">
        <v>1</v>
      </c>
      <c r="F27" s="22">
        <v>1375.47</v>
      </c>
      <c r="G27" s="21" t="s">
        <v>439</v>
      </c>
      <c r="H27" s="20" t="str">
        <f t="shared" si="0"/>
        <v>N/A</v>
      </c>
      <c r="I27" s="19">
        <f t="shared" si="1"/>
        <v>1375.47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1375.47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1375.47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E785D-B3CE-2440-8AA0-3781693C28B0}">
  <sheetPr codeName="Sheet75">
    <pageSetUpPr fitToPage="1"/>
  </sheetPr>
  <dimension ref="B1:K53"/>
  <sheetViews>
    <sheetView workbookViewId="0">
      <selection activeCell="C30" sqref="C30:D3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Aegis Film Company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775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543</v>
      </c>
      <c r="D13" s="348"/>
      <c r="E13" s="45" t="s">
        <v>23</v>
      </c>
      <c r="F13" s="352" t="s">
        <v>953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774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776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04">
        <v>195</v>
      </c>
      <c r="C26" s="350" t="s">
        <v>772</v>
      </c>
      <c r="D26" s="351"/>
      <c r="E26" s="21">
        <v>1</v>
      </c>
      <c r="F26" s="205">
        <v>150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150</v>
      </c>
    </row>
    <row r="27" spans="2:9" s="13" customFormat="1" ht="16" customHeight="1">
      <c r="B27" s="204">
        <v>62</v>
      </c>
      <c r="C27" s="350" t="s">
        <v>773</v>
      </c>
      <c r="D27" s="351"/>
      <c r="E27" s="21">
        <v>1</v>
      </c>
      <c r="F27" s="205">
        <v>1510.32</v>
      </c>
      <c r="G27" s="21" t="s">
        <v>439</v>
      </c>
      <c r="H27" s="20" t="str">
        <f t="shared" si="0"/>
        <v>N/A</v>
      </c>
      <c r="I27" s="19">
        <f t="shared" si="1"/>
        <v>1510.32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1660.32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215.84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1876.1599999999999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A8B07-D941-E54E-8B83-048D1A927F04}">
  <sheetPr codeName="Sheet76">
    <tabColor theme="9" tint="0.79998168889431442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Ali Gilliani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646</v>
      </c>
      <c r="D16" s="190" t="s">
        <v>647</v>
      </c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99</v>
      </c>
      <c r="C27" s="350" t="s">
        <v>645</v>
      </c>
      <c r="D27" s="351"/>
      <c r="E27" s="21">
        <v>1</v>
      </c>
      <c r="F27" s="22">
        <v>350</v>
      </c>
      <c r="G27" s="21" t="s">
        <v>439</v>
      </c>
      <c r="H27" s="20" t="str">
        <f t="shared" si="0"/>
        <v>N/A</v>
      </c>
      <c r="I27" s="19">
        <f t="shared" si="1"/>
        <v>350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350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350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D16" r:id="rId1" xr:uid="{BE8A5938-6EE5-3249-B6CA-1A43DA1637BB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03493-D5F8-EC4A-BFA6-923BB2D4750E}">
  <sheetPr codeName="Sheet77">
    <pageSetUpPr fitToPage="1"/>
  </sheetPr>
  <dimension ref="B1:K53"/>
  <sheetViews>
    <sheetView topLeftCell="B17" workbookViewId="0">
      <selection activeCell="F40" sqref="F4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349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Pathfinder Productions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909</v>
      </c>
      <c r="D12" s="348"/>
      <c r="E12" s="45" t="s">
        <v>24</v>
      </c>
      <c r="F12" s="46" t="s">
        <v>735</v>
      </c>
      <c r="G12" s="46"/>
      <c r="H12" s="46"/>
      <c r="I12" s="46"/>
    </row>
    <row r="13" spans="2:11" s="13" customFormat="1" ht="16">
      <c r="B13" s="44"/>
      <c r="C13" s="348" t="s">
        <v>910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736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36</v>
      </c>
      <c r="C27" s="350" t="s">
        <v>732</v>
      </c>
      <c r="D27" s="351"/>
      <c r="E27" s="21">
        <v>1</v>
      </c>
      <c r="F27" s="22">
        <v>750</v>
      </c>
      <c r="G27" s="21" t="s">
        <v>439</v>
      </c>
      <c r="H27" s="20" t="str">
        <f t="shared" si="0"/>
        <v>N/A</v>
      </c>
      <c r="I27" s="19">
        <f t="shared" si="1"/>
        <v>750</v>
      </c>
    </row>
    <row r="28" spans="2:9" s="13" customFormat="1" ht="16" customHeight="1">
      <c r="B28" s="21">
        <v>86</v>
      </c>
      <c r="C28" s="350" t="s">
        <v>733</v>
      </c>
      <c r="D28" s="351"/>
      <c r="E28" s="21">
        <v>1</v>
      </c>
      <c r="F28" s="21">
        <v>2500</v>
      </c>
      <c r="G28" s="21" t="s">
        <v>439</v>
      </c>
      <c r="H28" s="20" t="str">
        <f t="shared" si="0"/>
        <v>N/A</v>
      </c>
      <c r="I28" s="19">
        <f t="shared" si="1"/>
        <v>2500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 t="s">
        <v>908</v>
      </c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3250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422.5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3672.5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5D453-7AC7-8841-97B5-E74B2C19D8B8}">
  <sheetPr codeName="Sheet78">
    <pageSetUpPr fitToPage="1"/>
  </sheetPr>
  <dimension ref="B1:K53"/>
  <sheetViews>
    <sheetView workbookViewId="0">
      <selection activeCell="E15" sqref="E15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Stephen Connor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911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543</v>
      </c>
      <c r="D13" s="348"/>
      <c r="E13" s="45" t="s">
        <v>23</v>
      </c>
      <c r="F13" s="352">
        <v>229514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912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737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37</v>
      </c>
      <c r="C27" s="350" t="s">
        <v>732</v>
      </c>
      <c r="D27" s="351"/>
      <c r="E27" s="21">
        <v>1</v>
      </c>
      <c r="F27" s="22">
        <v>5250</v>
      </c>
      <c r="G27" s="21" t="s">
        <v>439</v>
      </c>
      <c r="H27" s="20" t="str">
        <f t="shared" si="0"/>
        <v>N/A</v>
      </c>
      <c r="I27" s="19">
        <f t="shared" si="1"/>
        <v>5250</v>
      </c>
    </row>
    <row r="28" spans="2:9" s="13" customFormat="1" ht="16" customHeight="1">
      <c r="B28" s="21">
        <v>87</v>
      </c>
      <c r="C28" s="350" t="s">
        <v>733</v>
      </c>
      <c r="D28" s="351"/>
      <c r="E28" s="21">
        <v>1</v>
      </c>
      <c r="F28" s="21">
        <v>2250</v>
      </c>
      <c r="G28" s="21" t="s">
        <v>439</v>
      </c>
      <c r="H28" s="20" t="str">
        <f t="shared" si="0"/>
        <v>N/A</v>
      </c>
      <c r="I28" s="19">
        <f t="shared" si="1"/>
        <v>2250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7500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975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8475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B7B7-EB1F-1C4B-9EE8-AC4400F71C71}">
  <sheetPr codeName="Sheet79">
    <pageSetUpPr fitToPage="1"/>
  </sheetPr>
  <dimension ref="B1:K53"/>
  <sheetViews>
    <sheetView workbookViewId="0">
      <selection activeCell="C17" sqref="C17:E1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1424214 Ontario Inc. (Maciej)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954</v>
      </c>
      <c r="D11" s="348"/>
      <c r="E11" s="47"/>
    </row>
    <row r="12" spans="2:11" s="13" customFormat="1" ht="22" customHeight="1">
      <c r="B12" s="45" t="s">
        <v>25</v>
      </c>
      <c r="C12" s="393" t="s">
        <v>955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240723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866480296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04">
        <v>16</v>
      </c>
      <c r="C27" s="350" t="s">
        <v>770</v>
      </c>
      <c r="D27" s="351"/>
      <c r="E27" s="21">
        <v>1</v>
      </c>
      <c r="F27" s="205">
        <v>605.1</v>
      </c>
      <c r="G27" s="21" t="s">
        <v>439</v>
      </c>
      <c r="H27" s="20" t="str">
        <f t="shared" si="0"/>
        <v>N/A</v>
      </c>
      <c r="I27" s="19">
        <f t="shared" si="1"/>
        <v>605.1</v>
      </c>
    </row>
    <row r="28" spans="2:9" s="13" customFormat="1" ht="16" customHeight="1">
      <c r="B28" s="204">
        <v>66</v>
      </c>
      <c r="C28" s="350" t="s">
        <v>771</v>
      </c>
      <c r="D28" s="351"/>
      <c r="E28" s="21">
        <v>1</v>
      </c>
      <c r="F28" s="205">
        <v>1694.28</v>
      </c>
      <c r="G28" s="21" t="s">
        <v>439</v>
      </c>
      <c r="H28" s="20" t="str">
        <f t="shared" si="0"/>
        <v>N/A</v>
      </c>
      <c r="I28" s="19">
        <f t="shared" si="1"/>
        <v>1694.28</v>
      </c>
    </row>
    <row r="29" spans="2:9" s="13" customFormat="1" ht="16" customHeight="1">
      <c r="B29" s="204">
        <v>196</v>
      </c>
      <c r="C29" s="361" t="s">
        <v>199</v>
      </c>
      <c r="D29" s="362"/>
      <c r="E29" s="21">
        <v>1</v>
      </c>
      <c r="F29" s="205">
        <v>625</v>
      </c>
      <c r="G29" s="21" t="s">
        <v>439</v>
      </c>
      <c r="H29" s="20" t="str">
        <f t="shared" si="0"/>
        <v>N/A</v>
      </c>
      <c r="I29" s="19">
        <f t="shared" si="1"/>
        <v>625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2924.38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380.17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3304.55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1075-7EDA-9B47-8A3C-3A7306D36E48}">
  <sheetPr codeName="Sheet80">
    <pageSetUpPr fitToPage="1"/>
  </sheetPr>
  <dimension ref="B1:K53"/>
  <sheetViews>
    <sheetView topLeftCell="A6" workbookViewId="0">
      <selection activeCell="F13" sqref="F13:I1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Kevin Edwards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888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889</v>
      </c>
      <c r="D13" s="348"/>
      <c r="E13" s="45" t="s">
        <v>23</v>
      </c>
      <c r="F13" s="352">
        <v>121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892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890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78</v>
      </c>
      <c r="C27" s="350" t="s">
        <v>891</v>
      </c>
      <c r="D27" s="351"/>
      <c r="E27" s="21">
        <v>1</v>
      </c>
      <c r="F27" s="239">
        <v>1437.12</v>
      </c>
      <c r="G27" s="21" t="s">
        <v>439</v>
      </c>
      <c r="H27" s="20" t="str">
        <f t="shared" si="0"/>
        <v>N/A</v>
      </c>
      <c r="I27" s="19">
        <f t="shared" si="1"/>
        <v>1437.12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1437.12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186.82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1623.9399999999998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0EBAD-9D2D-CE42-B0B1-23DAF3CF4621}">
  <sheetPr codeName="Sheet81">
    <pageSetUpPr fitToPage="1"/>
  </sheetPr>
  <dimension ref="B1:K53"/>
  <sheetViews>
    <sheetView topLeftCell="A5" workbookViewId="0">
      <selection activeCell="C28" sqref="C28:D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Alexandra Douglas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740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741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742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172</v>
      </c>
      <c r="C28" s="350" t="s">
        <v>738</v>
      </c>
      <c r="D28" s="351"/>
      <c r="E28" s="21">
        <v>1</v>
      </c>
      <c r="F28" s="21">
        <v>1960</v>
      </c>
      <c r="G28" s="21" t="s">
        <v>439</v>
      </c>
      <c r="H28" s="20" t="str">
        <f t="shared" si="0"/>
        <v>N/A</v>
      </c>
      <c r="I28" s="19">
        <f t="shared" si="1"/>
        <v>1960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1960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1960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014D-287E-3348-9499-D1C760560CAE}">
  <sheetPr codeName="Sheet82">
    <pageSetUpPr fitToPage="1"/>
  </sheetPr>
  <dimension ref="B1:K53"/>
  <sheetViews>
    <sheetView workbookViewId="0">
      <selection activeCell="C17" sqref="C17:E1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Trevor Sean Lawley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915</v>
      </c>
      <c r="D11" s="348"/>
      <c r="E11" s="47"/>
    </row>
    <row r="12" spans="2:11" s="13" customFormat="1" ht="22" customHeight="1">
      <c r="B12" s="45" t="s">
        <v>25</v>
      </c>
      <c r="C12" s="348" t="s">
        <v>913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914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916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>
        <v>81</v>
      </c>
      <c r="C29" s="361" t="s">
        <v>743</v>
      </c>
      <c r="D29" s="362"/>
      <c r="E29" s="21">
        <v>1</v>
      </c>
      <c r="F29" s="21">
        <v>1543.02</v>
      </c>
      <c r="G29" s="21" t="s">
        <v>439</v>
      </c>
      <c r="H29" s="20" t="str">
        <f t="shared" si="0"/>
        <v>N/A</v>
      </c>
      <c r="I29" s="19">
        <f t="shared" si="1"/>
        <v>1543.02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1543.02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1543.02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80F613DE-CE00-DB4D-9708-F2D55DD0994E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D468C-00EE-C843-A2F5-CDF2B712D25A}">
  <sheetPr codeName="Sheet83">
    <pageSetUpPr fitToPage="1"/>
  </sheetPr>
  <dimension ref="B1:K53"/>
  <sheetViews>
    <sheetView topLeftCell="A16" workbookViewId="0">
      <selection activeCell="C39" sqref="C39:D3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Bilal Mirza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956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957</v>
      </c>
      <c r="D13" s="348"/>
      <c r="E13" s="45" t="s">
        <v>23</v>
      </c>
      <c r="F13" s="352" t="s">
        <v>958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>
        <v>175</v>
      </c>
      <c r="C29" s="361" t="s">
        <v>173</v>
      </c>
      <c r="D29" s="362"/>
      <c r="E29" s="21">
        <v>1</v>
      </c>
      <c r="F29" s="22">
        <v>1518</v>
      </c>
      <c r="G29" s="21" t="s">
        <v>439</v>
      </c>
      <c r="H29" s="20" t="str">
        <f t="shared" si="0"/>
        <v>N/A</v>
      </c>
      <c r="I29" s="19">
        <f t="shared" si="1"/>
        <v>1518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1518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1518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2660E-171E-F447-BDB0-CF562859E535}">
  <sheetPr codeName="Sheet84">
    <pageSetUpPr fitToPage="1"/>
  </sheetPr>
  <dimension ref="B1:K53"/>
  <sheetViews>
    <sheetView workbookViewId="0">
      <selection activeCell="C17" sqref="C17:E1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Hans Leon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919</v>
      </c>
      <c r="D11" s="348"/>
      <c r="E11" s="47"/>
    </row>
    <row r="12" spans="2:11" s="13" customFormat="1" ht="22" customHeight="1">
      <c r="B12" s="45" t="s">
        <v>25</v>
      </c>
      <c r="C12" s="348" t="s">
        <v>917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918</v>
      </c>
      <c r="D13" s="348"/>
      <c r="E13" s="45" t="s">
        <v>23</v>
      </c>
      <c r="F13" s="352">
        <v>3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920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176</v>
      </c>
      <c r="C28" s="350" t="s">
        <v>744</v>
      </c>
      <c r="D28" s="351"/>
      <c r="E28" s="21">
        <v>1</v>
      </c>
      <c r="F28" s="21">
        <v>1713.26</v>
      </c>
      <c r="G28" s="21" t="s">
        <v>439</v>
      </c>
      <c r="H28" s="20" t="str">
        <f t="shared" si="0"/>
        <v>N/A</v>
      </c>
      <c r="I28" s="19">
        <f t="shared" si="1"/>
        <v>1713.26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1713.26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1713.26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B4D31070-0753-B548-977F-85DE8DAAE301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931E-22A4-C84F-9DAD-A6B470268817}">
  <sheetPr codeName="Sheet85">
    <pageSetUpPr fitToPage="1"/>
  </sheetPr>
  <dimension ref="B1:K53"/>
  <sheetViews>
    <sheetView topLeftCell="A21" workbookViewId="0">
      <selection activeCell="C17" sqref="C17:E1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Kendall Mccoll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921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922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923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916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68</v>
      </c>
      <c r="C28" s="350" t="s">
        <v>745</v>
      </c>
      <c r="D28" s="351"/>
      <c r="E28" s="21">
        <v>1</v>
      </c>
      <c r="F28" s="21">
        <v>1418.2</v>
      </c>
      <c r="G28" s="21" t="s">
        <v>439</v>
      </c>
      <c r="H28" s="20" t="str">
        <f t="shared" si="0"/>
        <v>N/A</v>
      </c>
      <c r="I28" s="19">
        <f t="shared" si="1"/>
        <v>1418.2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1418.2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1418.2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5FD77-ADC5-5649-9708-795721B96D87}">
  <sheetPr codeName="Sheet86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Ammar Yunas (key craft)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"No match found")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2490E-F991-1340-83E1-1816AC8EAE24}">
  <sheetPr codeName="Sheet87">
    <pageSetUpPr fitToPage="1"/>
  </sheetPr>
  <dimension ref="B1:K53"/>
  <sheetViews>
    <sheetView workbookViewId="0">
      <selection activeCell="C12" sqref="C12:D1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359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Gustavo Franco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960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403"/>
      <c r="D13" s="403"/>
      <c r="E13" s="45" t="s">
        <v>23</v>
      </c>
      <c r="F13" s="352" t="s">
        <v>959</v>
      </c>
      <c r="G13" s="353"/>
      <c r="H13" s="353"/>
      <c r="I13" s="354"/>
    </row>
    <row r="14" spans="2:11" s="13" customFormat="1" ht="16">
      <c r="B14" s="44"/>
      <c r="C14" s="394"/>
      <c r="D14" s="394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171</v>
      </c>
      <c r="C27" s="350" t="s">
        <v>769</v>
      </c>
      <c r="D27" s="351"/>
      <c r="E27" s="21">
        <v>1</v>
      </c>
      <c r="F27" s="205">
        <v>1753.26</v>
      </c>
      <c r="G27" s="21" t="s">
        <v>439</v>
      </c>
      <c r="H27" s="20" t="str">
        <f t="shared" si="0"/>
        <v>N/A</v>
      </c>
      <c r="I27" s="19">
        <f t="shared" si="1"/>
        <v>1753.26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1753.26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1753.26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4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775D2-78DF-FF41-ACE3-790BD73412CB}">
  <sheetPr codeName="Sheet88">
    <pageSetUpPr fitToPage="1"/>
  </sheetPr>
  <dimension ref="B1:K53"/>
  <sheetViews>
    <sheetView workbookViewId="0">
      <selection activeCell="E29" sqref="E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Food and Music Arts LLC (reimbursements)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747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748</v>
      </c>
      <c r="D13" s="348"/>
      <c r="E13" s="45" t="s">
        <v>23</v>
      </c>
      <c r="F13" s="352">
        <v>11490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749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187</v>
      </c>
      <c r="C27" s="350" t="s">
        <v>746</v>
      </c>
      <c r="D27" s="351"/>
      <c r="E27" s="21">
        <v>1302.3900000000001</v>
      </c>
      <c r="F27" s="22">
        <v>1</v>
      </c>
      <c r="G27" s="21" t="s">
        <v>499</v>
      </c>
      <c r="H27" s="20">
        <f t="shared" si="0"/>
        <v>1302.3900000000001</v>
      </c>
      <c r="I27" s="19">
        <f t="shared" si="1"/>
        <v>1771.2504000000004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1771.2504000000004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1771.2504000000004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7F76-4E9F-E34D-A8C2-39EDDB5F2ACE}">
  <sheetPr codeName="Sheet89">
    <pageSetUpPr fitToPage="1"/>
  </sheetPr>
  <dimension ref="B1:K53"/>
  <sheetViews>
    <sheetView workbookViewId="0">
      <selection activeCell="I34" sqref="I3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Monogrip Limited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893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202</v>
      </c>
      <c r="C27" s="350" t="s">
        <v>894</v>
      </c>
      <c r="D27" s="351"/>
      <c r="E27" s="21">
        <v>1</v>
      </c>
      <c r="F27" s="22">
        <v>500</v>
      </c>
      <c r="G27" s="21" t="s">
        <v>439</v>
      </c>
      <c r="H27" s="20" t="str">
        <f t="shared" si="0"/>
        <v>N/A</v>
      </c>
      <c r="I27" s="19">
        <f t="shared" si="1"/>
        <v>500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65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565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8CCB-2564-1D4F-8AA7-6E761C7A21AF}">
  <sheetPr codeName="Sheet90">
    <pageSetUpPr fitToPage="1"/>
  </sheetPr>
  <dimension ref="B1:K53"/>
  <sheetViews>
    <sheetView topLeftCell="A20" workbookViewId="0">
      <selection activeCell="C26" sqref="C26:D26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Big Rock Candy Mountain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925</v>
      </c>
      <c r="D11" s="348"/>
      <c r="E11" s="47"/>
    </row>
    <row r="12" spans="2:11" s="13" customFormat="1" ht="22" customHeight="1">
      <c r="B12" s="45" t="s">
        <v>25</v>
      </c>
      <c r="C12" s="393" t="s">
        <v>924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>
        <v>192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717522734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916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63</v>
      </c>
      <c r="C27" s="350" t="s">
        <v>425</v>
      </c>
      <c r="D27" s="351"/>
      <c r="E27" s="21">
        <v>1</v>
      </c>
      <c r="F27" s="22">
        <v>1370.88</v>
      </c>
      <c r="G27" s="21" t="s">
        <v>439</v>
      </c>
      <c r="H27" s="20" t="str">
        <f t="shared" si="0"/>
        <v>N/A</v>
      </c>
      <c r="I27" s="19">
        <f t="shared" si="1"/>
        <v>1370.88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1370.88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178.2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1549.0800000000002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884EF720-9888-5C48-A3FC-7018FF79E31D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680D-6006-7749-8BA6-34B592A04F14}">
  <sheetPr codeName="Sheet91">
    <pageSetUpPr fitToPage="1"/>
  </sheetPr>
  <dimension ref="B1:K53"/>
  <sheetViews>
    <sheetView workbookViewId="0">
      <selection activeCell="G16" sqref="G16:I16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Katie Yealland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962</v>
      </c>
      <c r="D11" s="348"/>
      <c r="E11" s="47"/>
    </row>
    <row r="12" spans="2:11" s="13" customFormat="1" ht="22" customHeight="1">
      <c r="B12" s="45" t="s">
        <v>25</v>
      </c>
      <c r="C12" s="393" t="s">
        <v>961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403"/>
      <c r="D13" s="403"/>
      <c r="E13" s="45" t="s">
        <v>23</v>
      </c>
      <c r="F13" s="352">
        <v>173</v>
      </c>
      <c r="G13" s="353"/>
      <c r="H13" s="353"/>
      <c r="I13" s="354"/>
    </row>
    <row r="14" spans="2:11" s="13" customFormat="1" ht="16">
      <c r="B14" s="44"/>
      <c r="C14" s="394"/>
      <c r="D14" s="394"/>
      <c r="E14" s="43" t="s">
        <v>22</v>
      </c>
      <c r="F14" s="352" t="s">
        <v>765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963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04">
        <v>67</v>
      </c>
      <c r="C27" s="350" t="s">
        <v>767</v>
      </c>
      <c r="D27" s="351"/>
      <c r="E27" s="21">
        <v>1</v>
      </c>
      <c r="F27" s="205">
        <v>1543.01</v>
      </c>
      <c r="G27" s="21" t="s">
        <v>439</v>
      </c>
      <c r="H27" s="20" t="str">
        <f t="shared" si="0"/>
        <v>N/A</v>
      </c>
      <c r="I27" s="19">
        <f t="shared" si="1"/>
        <v>1543.01</v>
      </c>
    </row>
    <row r="28" spans="2:9" s="13" customFormat="1" ht="16" customHeight="1">
      <c r="B28" s="204">
        <v>196</v>
      </c>
      <c r="C28" s="350" t="s">
        <v>768</v>
      </c>
      <c r="D28" s="351"/>
      <c r="E28" s="21">
        <v>1</v>
      </c>
      <c r="F28" s="205">
        <v>405</v>
      </c>
      <c r="G28" s="21" t="s">
        <v>439</v>
      </c>
      <c r="H28" s="20" t="str">
        <f t="shared" si="0"/>
        <v>N/A</v>
      </c>
      <c r="I28" s="19">
        <f t="shared" si="1"/>
        <v>405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1948.01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253.24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2201.25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4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4CB5E3E0-637E-1442-A5D3-91F864E9D824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A54D-2006-2F4B-A1D1-1ED4B435889A}">
  <sheetPr codeName="Sheet92">
    <pageSetUpPr fitToPage="1"/>
  </sheetPr>
  <dimension ref="B1:K53"/>
  <sheetViews>
    <sheetView workbookViewId="0">
      <selection activeCell="F14" sqref="F14:I1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Karianne Taklo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926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403"/>
      <c r="D13" s="403"/>
      <c r="E13" s="45" t="s">
        <v>23</v>
      </c>
      <c r="F13" s="352">
        <v>10</v>
      </c>
      <c r="G13" s="353"/>
      <c r="H13" s="353"/>
      <c r="I13" s="354"/>
    </row>
    <row r="14" spans="2:11" s="13" customFormat="1" ht="16">
      <c r="B14" s="44"/>
      <c r="C14" s="394"/>
      <c r="D14" s="394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753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172</v>
      </c>
      <c r="C27" s="350" t="s">
        <v>754</v>
      </c>
      <c r="D27" s="351"/>
      <c r="E27" s="21">
        <v>1</v>
      </c>
      <c r="F27" s="22">
        <v>362</v>
      </c>
      <c r="G27" s="21" t="s">
        <v>439</v>
      </c>
      <c r="H27" s="20" t="str">
        <f t="shared" si="0"/>
        <v>N/A</v>
      </c>
      <c r="I27" s="19">
        <f t="shared" si="1"/>
        <v>362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362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362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4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BC6D7-FD5D-0F42-AB7C-134D441CC698}">
  <sheetPr codeName="Sheet93">
    <pageSetUpPr fitToPage="1"/>
  </sheetPr>
  <dimension ref="B1:K53"/>
  <sheetViews>
    <sheetView topLeftCell="A13" workbookViewId="0">
      <selection activeCell="C40" sqref="C40:D4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Natali Trivuncic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750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751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172</v>
      </c>
      <c r="C27" s="350" t="s">
        <v>752</v>
      </c>
      <c r="D27" s="351"/>
      <c r="E27" s="21">
        <v>1</v>
      </c>
      <c r="F27" s="22">
        <v>397</v>
      </c>
      <c r="G27" s="21" t="s">
        <v>439</v>
      </c>
      <c r="H27" s="20" t="str">
        <f t="shared" si="0"/>
        <v>N/A</v>
      </c>
      <c r="I27" s="19">
        <f t="shared" si="1"/>
        <v>397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397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397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2C73F-7860-AD4D-BEC7-C4E2E8799CE8}">
  <sheetPr codeName="Sheet94">
    <pageSetUpPr fitToPage="1"/>
  </sheetPr>
  <dimension ref="B1:K53"/>
  <sheetViews>
    <sheetView topLeftCell="A39" workbookViewId="0">
      <selection activeCell="B53" sqref="B53:I5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/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Omar Hirji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1002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1003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404" t="s">
        <v>1004</v>
      </c>
      <c r="D17" s="404"/>
      <c r="E17" s="404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">
        <v>467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93</v>
      </c>
      <c r="C27" s="350" t="s">
        <v>1000</v>
      </c>
      <c r="D27" s="351"/>
      <c r="E27" s="21"/>
      <c r="F27" s="22">
        <f>(418.32)+(F29*2)</f>
        <v>522.9</v>
      </c>
      <c r="G27" s="21" t="s">
        <v>439</v>
      </c>
      <c r="H27" s="20" t="str">
        <f t="shared" si="0"/>
        <v>N/A</v>
      </c>
      <c r="I27" s="19">
        <v>522.9</v>
      </c>
    </row>
    <row r="28" spans="2:9" s="13" customFormat="1" ht="16" customHeight="1">
      <c r="B28" s="21"/>
      <c r="C28" s="350" t="s">
        <v>1001</v>
      </c>
      <c r="D28" s="351"/>
      <c r="E28" s="21"/>
      <c r="F28" s="21">
        <f>418.32/12</f>
        <v>34.86</v>
      </c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>
        <f>F28*1.5</f>
        <v>52.29</v>
      </c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522.9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522.9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1873-494E-8A48-95F1-0709AC2B9BDB}">
  <sheetPr codeName="Sheet95">
    <pageSetUpPr fitToPage="1"/>
  </sheetPr>
  <dimension ref="B1:K53"/>
  <sheetViews>
    <sheetView topLeftCell="A4" zoomScale="111" workbookViewId="0">
      <selection activeCell="C15" sqref="C15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Grace Guerra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1006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1007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 t="s">
        <v>1010</v>
      </c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1009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8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94</v>
      </c>
      <c r="C27" s="350" t="s">
        <v>1008</v>
      </c>
      <c r="D27" s="351"/>
      <c r="E27" s="21">
        <v>1</v>
      </c>
      <c r="F27" s="22">
        <f>(E28*12)+(E29*1.5)</f>
        <v>434.37562500000001</v>
      </c>
      <c r="G27" s="21" t="s">
        <v>439</v>
      </c>
      <c r="H27" s="20" t="str">
        <f t="shared" si="0"/>
        <v>N/A</v>
      </c>
      <c r="I27" s="19">
        <f t="shared" si="1"/>
        <v>434.37562500000001</v>
      </c>
    </row>
    <row r="28" spans="2:9" s="13" customFormat="1" ht="16" customHeight="1">
      <c r="B28" s="21"/>
      <c r="C28" s="350"/>
      <c r="D28" s="351"/>
      <c r="E28" s="21">
        <f>365.79/12</f>
        <v>30.482500000000002</v>
      </c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>
        <f>E28*1.5</f>
        <v>45.723750000000003</v>
      </c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434.37562500000001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434.37562500000001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0FC16-88A6-EC4F-8812-E2EC28AD78CC}">
  <sheetPr codeName="Sheet96">
    <pageSetUpPr fitToPage="1"/>
  </sheetPr>
  <dimension ref="B1:K53"/>
  <sheetViews>
    <sheetView workbookViewId="0">
      <selection activeCell="D16" sqref="D16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True North Enterprises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929</v>
      </c>
      <c r="D11" s="348"/>
      <c r="E11" s="47"/>
    </row>
    <row r="12" spans="2:11" s="13" customFormat="1" ht="22" customHeight="1">
      <c r="B12" s="45" t="s">
        <v>25</v>
      </c>
      <c r="C12" s="393" t="s">
        <v>927</v>
      </c>
      <c r="D12" s="405"/>
      <c r="E12" s="45" t="s">
        <v>24</v>
      </c>
      <c r="F12" s="46"/>
      <c r="G12" s="46"/>
      <c r="H12" s="46"/>
      <c r="I12" s="46"/>
    </row>
    <row r="13" spans="2:11" s="13" customFormat="1" ht="16" customHeight="1">
      <c r="B13" s="44"/>
      <c r="C13" s="406"/>
      <c r="D13" s="406"/>
      <c r="E13" s="45" t="s">
        <v>23</v>
      </c>
      <c r="F13" s="352" t="s">
        <v>928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730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65</v>
      </c>
      <c r="C27" s="350" t="s">
        <v>60</v>
      </c>
      <c r="D27" s="351"/>
      <c r="E27" s="21">
        <v>1</v>
      </c>
      <c r="F27" s="22">
        <v>1694.13</v>
      </c>
      <c r="G27" s="21" t="s">
        <v>439</v>
      </c>
      <c r="H27" s="20" t="str">
        <f t="shared" si="0"/>
        <v>N/A</v>
      </c>
      <c r="I27" s="19">
        <f t="shared" si="1"/>
        <v>1694.13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1694.13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220.24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1914.3700000000001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B9FF7-1BA1-7346-8D20-E4E026EF9507}">
  <sheetPr codeName="Sheet97">
    <pageSetUpPr fitToPage="1"/>
  </sheetPr>
  <dimension ref="B1:K53"/>
  <sheetViews>
    <sheetView topLeftCell="A5" workbookViewId="0">
      <selection activeCell="C34" sqref="C34:D3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369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Maxwell Sims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930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403"/>
      <c r="D13" s="403"/>
      <c r="E13" s="45" t="s">
        <v>23</v>
      </c>
      <c r="F13" s="352" t="s">
        <v>931</v>
      </c>
      <c r="G13" s="353"/>
      <c r="H13" s="353"/>
      <c r="I13" s="354"/>
    </row>
    <row r="14" spans="2:11" s="13" customFormat="1" ht="16">
      <c r="B14" s="44"/>
      <c r="C14" s="394"/>
      <c r="D14" s="394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729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56</v>
      </c>
      <c r="C27" s="350" t="s">
        <v>728</v>
      </c>
      <c r="D27" s="351"/>
      <c r="E27" s="21">
        <v>1</v>
      </c>
      <c r="F27" s="22">
        <v>1456.38</v>
      </c>
      <c r="G27" s="21" t="s">
        <v>439</v>
      </c>
      <c r="H27" s="20" t="str">
        <f t="shared" si="0"/>
        <v>N/A</v>
      </c>
      <c r="I27" s="19">
        <f t="shared" si="1"/>
        <v>1456.38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1456.38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1456.38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1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4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B19-D37E-0948-8F1A-F72168612DEF}">
  <sheetPr codeName="Sheet98">
    <pageSetUpPr fitToPage="1"/>
  </sheetPr>
  <dimension ref="B1:K53"/>
  <sheetViews>
    <sheetView topLeftCell="A9" workbookViewId="0">
      <selection activeCell="C33" sqref="C33:D3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Corey Stewart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9" t="s">
        <v>933</v>
      </c>
      <c r="D11" s="348"/>
      <c r="E11" s="47"/>
    </row>
    <row r="12" spans="2:11" s="13" customFormat="1" ht="22" customHeight="1">
      <c r="B12" s="45" t="s">
        <v>25</v>
      </c>
      <c r="C12" s="393" t="s">
        <v>932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356"/>
      <c r="D16" s="356"/>
      <c r="E16" s="356"/>
      <c r="F16" s="40"/>
      <c r="G16" s="363"/>
      <c r="H16" s="363"/>
      <c r="I16" s="363"/>
    </row>
    <row r="17" spans="2:9" s="12" customFormat="1" ht="18" customHeight="1">
      <c r="B17" s="27"/>
      <c r="C17" s="356" t="s">
        <v>920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92</v>
      </c>
      <c r="C27" s="350" t="s">
        <v>723</v>
      </c>
      <c r="D27" s="351"/>
      <c r="E27" s="21">
        <v>1</v>
      </c>
      <c r="F27" s="22">
        <v>1410</v>
      </c>
      <c r="G27" s="21" t="s">
        <v>439</v>
      </c>
      <c r="H27" s="20" t="str">
        <f t="shared" si="0"/>
        <v>N/A</v>
      </c>
      <c r="I27" s="19">
        <f t="shared" si="1"/>
        <v>1410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1410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1410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6:E16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1" r:id="rId1" xr:uid="{03F84D9A-450E-5A4F-9880-BA72D63D118C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26DB3-0430-864C-A543-E8368BFA2D99}">
  <sheetPr codeName="Sheet9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Christina D'Almeida (Prep Week)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670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669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48</v>
      </c>
      <c r="C27" s="350" t="s">
        <v>668</v>
      </c>
      <c r="D27" s="351"/>
      <c r="E27" s="21">
        <v>1</v>
      </c>
      <c r="F27" s="22">
        <v>1500</v>
      </c>
      <c r="G27" s="21" t="s">
        <v>439</v>
      </c>
      <c r="H27" s="20" t="str">
        <f t="shared" si="0"/>
        <v>N/A</v>
      </c>
      <c r="I27" s="19">
        <f t="shared" si="1"/>
        <v>1500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1500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68B21-E207-D743-AE75-231A7E1A2043}">
  <sheetPr codeName="Sheet100">
    <pageSetUpPr fitToPage="1"/>
  </sheetPr>
  <dimension ref="B1:K53"/>
  <sheetViews>
    <sheetView topLeftCell="A25" workbookViewId="0">
      <selection activeCell="C37" sqref="C37:D3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Gouri Misra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934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935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726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172</v>
      </c>
      <c r="C27" s="350" t="s">
        <v>727</v>
      </c>
      <c r="D27" s="351"/>
      <c r="E27" s="21">
        <v>1</v>
      </c>
      <c r="F27" s="22">
        <v>362</v>
      </c>
      <c r="G27" s="21" t="s">
        <v>439</v>
      </c>
      <c r="H27" s="20" t="str">
        <f t="shared" si="0"/>
        <v>N/A</v>
      </c>
      <c r="I27" s="19">
        <f t="shared" si="1"/>
        <v>362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362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362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E3C96-96DF-AD44-83FC-B9F43C6BBCF6}">
  <sheetPr codeName="Sheet101">
    <pageSetUpPr fitToPage="1"/>
  </sheetPr>
  <dimension ref="B1:K53"/>
  <sheetViews>
    <sheetView topLeftCell="J1" workbookViewId="0">
      <selection activeCell="C12" sqref="C12:D1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14434692 Canada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93" t="s">
        <v>936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14434692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720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64</v>
      </c>
      <c r="C27" s="350" t="s">
        <v>721</v>
      </c>
      <c r="D27" s="351"/>
      <c r="E27" s="21">
        <v>1</v>
      </c>
      <c r="F27" s="22">
        <v>707.71</v>
      </c>
      <c r="G27" s="21" t="s">
        <v>439</v>
      </c>
      <c r="H27" s="20" t="str">
        <f t="shared" si="0"/>
        <v>N/A</v>
      </c>
      <c r="I27" s="19">
        <f t="shared" si="1"/>
        <v>707.71</v>
      </c>
    </row>
    <row r="28" spans="2:9" s="13" customFormat="1" ht="16" customHeight="1">
      <c r="B28" s="21">
        <v>69</v>
      </c>
      <c r="C28" s="350" t="s">
        <v>722</v>
      </c>
      <c r="D28" s="351"/>
      <c r="E28" s="21">
        <v>1</v>
      </c>
      <c r="F28" s="21">
        <v>581.78</v>
      </c>
      <c r="G28" s="21" t="s">
        <v>439</v>
      </c>
      <c r="H28" s="20" t="str">
        <f t="shared" si="0"/>
        <v>N/A</v>
      </c>
      <c r="I28" s="19">
        <f t="shared" si="1"/>
        <v>581.78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1289.49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167.64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1457.13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65-4722-CC4E-B277-3852564DE8A6}">
  <sheetPr codeName="Sheet102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Carter Roul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667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99</v>
      </c>
      <c r="C27" s="350" t="s">
        <v>657</v>
      </c>
      <c r="D27" s="351"/>
      <c r="E27" s="21">
        <v>1</v>
      </c>
      <c r="F27" s="22">
        <v>840</v>
      </c>
      <c r="G27" s="21" t="s">
        <v>439</v>
      </c>
      <c r="H27" s="20" t="str">
        <f t="shared" si="0"/>
        <v>N/A</v>
      </c>
      <c r="I27" s="19">
        <f t="shared" si="1"/>
        <v>840</v>
      </c>
    </row>
    <row r="28" spans="2:9" s="13" customFormat="1" ht="16" customHeight="1">
      <c r="B28" s="21">
        <v>49</v>
      </c>
      <c r="C28" s="350" t="s">
        <v>663</v>
      </c>
      <c r="D28" s="351"/>
      <c r="E28" s="21">
        <v>1</v>
      </c>
      <c r="F28" s="21">
        <v>280</v>
      </c>
      <c r="G28" s="21" t="s">
        <v>439</v>
      </c>
      <c r="H28" s="20" t="str">
        <f t="shared" si="0"/>
        <v>N/A</v>
      </c>
      <c r="I28" s="19">
        <f t="shared" si="1"/>
        <v>280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1120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1120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D0A2D-6D77-D245-94D6-9B9695310621}">
  <sheetPr codeName="Sheet103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Amanda Campbell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643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794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0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39</v>
      </c>
      <c r="C28" s="350" t="s">
        <v>793</v>
      </c>
      <c r="D28" s="351"/>
      <c r="E28" s="21">
        <v>1</v>
      </c>
      <c r="F28" s="21">
        <v>5000</v>
      </c>
      <c r="G28" s="21" t="s">
        <v>439</v>
      </c>
      <c r="H28" s="20" t="str">
        <f t="shared" si="0"/>
        <v>N/A</v>
      </c>
      <c r="I28" s="19">
        <f t="shared" si="1"/>
        <v>5000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5000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650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5650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A0515-5F93-6E47-BFCD-0FEFB829B23B}">
  <sheetPr codeName="Sheet104">
    <tabColor rgb="FF92D05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Korneila Lauren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665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99</v>
      </c>
      <c r="C28" s="350" t="s">
        <v>666</v>
      </c>
      <c r="D28" s="351"/>
      <c r="E28" s="21">
        <v>1</v>
      </c>
      <c r="F28" s="21">
        <v>840</v>
      </c>
      <c r="G28" s="21" t="s">
        <v>439</v>
      </c>
      <c r="H28" s="20" t="str">
        <f t="shared" si="0"/>
        <v>N/A</v>
      </c>
      <c r="I28" s="19">
        <f t="shared" si="1"/>
        <v>840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840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840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96FB3-8432-1A4A-87FE-49AEF66C6525}">
  <sheetPr codeName="Sheet105">
    <pageSetUpPr fitToPage="1"/>
  </sheetPr>
  <dimension ref="B1:K53"/>
  <sheetViews>
    <sheetView topLeftCell="A15" workbookViewId="0">
      <selection activeCell="F28" sqref="F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377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Thought Pro LLC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862</v>
      </c>
      <c r="D11" s="348"/>
      <c r="E11" s="47"/>
    </row>
    <row r="12" spans="2:11" s="13" customFormat="1" ht="22" customHeight="1">
      <c r="B12" s="45" t="s">
        <v>25</v>
      </c>
      <c r="C12" s="348" t="s">
        <v>859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860</v>
      </c>
      <c r="D13" s="348"/>
      <c r="E13" s="45" t="s">
        <v>23</v>
      </c>
      <c r="F13" s="352">
        <v>245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861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0 PAID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38</v>
      </c>
      <c r="C27" s="350" t="s">
        <v>858</v>
      </c>
      <c r="D27" s="351"/>
      <c r="E27" s="21">
        <v>1</v>
      </c>
      <c r="F27" s="21">
        <v>16924.95</v>
      </c>
      <c r="G27" s="21" t="s">
        <v>439</v>
      </c>
      <c r="H27" s="20" t="str">
        <f t="shared" si="0"/>
        <v>N/A</v>
      </c>
      <c r="I27" s="19">
        <f t="shared" si="1"/>
        <v>16924.95</v>
      </c>
    </row>
    <row r="28" spans="2:9" s="13" customFormat="1" ht="16" customHeight="1">
      <c r="B28" s="21">
        <v>88</v>
      </c>
      <c r="C28" s="350" t="s">
        <v>857</v>
      </c>
      <c r="D28" s="351"/>
      <c r="E28" s="21">
        <v>1</v>
      </c>
      <c r="F28" s="21">
        <v>2986.76</v>
      </c>
      <c r="G28" s="21" t="s">
        <v>439</v>
      </c>
      <c r="H28" s="20" t="str">
        <f t="shared" si="0"/>
        <v>N/A</v>
      </c>
      <c r="I28" s="19">
        <f t="shared" si="1"/>
        <v>2986.76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19911.71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19911.71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C630-A17B-4848-83C0-DE29E9B0B8E6}">
  <sheetPr codeName="Sheet106">
    <pageSetUpPr fitToPage="1"/>
  </sheetPr>
  <dimension ref="B1:K53"/>
  <sheetViews>
    <sheetView workbookViewId="0">
      <selection activeCell="C30" sqref="C30:D3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615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Spoiled Dog INC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895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896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823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824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52</v>
      </c>
      <c r="C27" s="350" t="s">
        <v>825</v>
      </c>
      <c r="D27" s="351"/>
      <c r="E27" s="21">
        <v>2</v>
      </c>
      <c r="F27" s="22">
        <v>1500</v>
      </c>
      <c r="G27" s="21" t="s">
        <v>439</v>
      </c>
      <c r="H27" s="20" t="str">
        <f t="shared" si="0"/>
        <v>N/A</v>
      </c>
      <c r="I27" s="19">
        <f t="shared" si="1"/>
        <v>3000</v>
      </c>
    </row>
    <row r="28" spans="2:9" s="13" customFormat="1" ht="16" customHeight="1">
      <c r="B28" s="21">
        <v>2</v>
      </c>
      <c r="C28" s="350" t="s">
        <v>826</v>
      </c>
      <c r="D28" s="351"/>
      <c r="E28" s="21">
        <v>1</v>
      </c>
      <c r="F28" s="22">
        <v>2678</v>
      </c>
      <c r="G28" s="21" t="s">
        <v>439</v>
      </c>
      <c r="H28" s="20" t="str">
        <f t="shared" si="0"/>
        <v>N/A</v>
      </c>
      <c r="I28" s="19">
        <f t="shared" si="1"/>
        <v>2678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5678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738.14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6416.14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8B1BA-B0F2-FD49-9B99-E652F4C346C6}">
  <sheetPr codeName="Sheet10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616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Olya Sovtus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856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543</v>
      </c>
      <c r="D13" s="348"/>
      <c r="E13" s="45" t="s">
        <v>23</v>
      </c>
      <c r="F13" s="352" t="s">
        <v>855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713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3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49</v>
      </c>
      <c r="C27" s="350" t="s">
        <v>712</v>
      </c>
      <c r="D27" s="351"/>
      <c r="E27" s="21">
        <v>1</v>
      </c>
      <c r="F27" s="22">
        <v>289</v>
      </c>
      <c r="G27" s="21" t="s">
        <v>439</v>
      </c>
      <c r="H27" s="20" t="str">
        <f t="shared" si="0"/>
        <v>N/A</v>
      </c>
      <c r="I27" s="19">
        <f t="shared" si="1"/>
        <v>289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289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289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3E793-5E69-D343-9E5E-0E3329C440C2}">
  <sheetPr codeName="Sheet108">
    <pageSetUpPr fitToPage="1"/>
  </sheetPr>
  <dimension ref="B1:K53"/>
  <sheetViews>
    <sheetView workbookViewId="0">
      <selection activeCell="D16" sqref="D16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617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Tim Chiavarini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937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939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938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4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189</v>
      </c>
      <c r="C27" s="350" t="s">
        <v>173</v>
      </c>
      <c r="D27" s="351"/>
      <c r="E27" s="21">
        <v>1</v>
      </c>
      <c r="F27" s="22">
        <v>1686.43</v>
      </c>
      <c r="G27" s="21" t="s">
        <v>439</v>
      </c>
      <c r="H27" s="20" t="str">
        <f t="shared" si="0"/>
        <v>N/A</v>
      </c>
      <c r="I27" s="19">
        <f t="shared" si="1"/>
        <v>1686.43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1686.43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1686.43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E0909-5B8D-6F48-A337-15C0DC9DD7A7}">
  <sheetPr codeName="Sheet109">
    <tabColor rgb="FF92D05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618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Kathy Osadchin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664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99</v>
      </c>
      <c r="C27" s="350" t="s">
        <v>657</v>
      </c>
      <c r="D27" s="351"/>
      <c r="E27" s="21">
        <v>1</v>
      </c>
      <c r="F27" s="22">
        <v>840</v>
      </c>
      <c r="G27" s="21" t="s">
        <v>439</v>
      </c>
      <c r="H27" s="20" t="str">
        <f t="shared" si="0"/>
        <v>N/A</v>
      </c>
      <c r="I27" s="19">
        <f t="shared" si="1"/>
        <v>840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840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840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3B04D-7817-8846-BEE1-C2FA4BF5C11E}">
  <sheetPr codeName="Sheet110">
    <tabColor theme="9" tint="0.79998168889431442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619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Nicholas Akindolire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660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49</v>
      </c>
      <c r="C27" s="350" t="s">
        <v>663</v>
      </c>
      <c r="D27" s="351"/>
      <c r="E27" s="21">
        <v>1</v>
      </c>
      <c r="F27" s="22">
        <v>280</v>
      </c>
      <c r="G27" s="21" t="s">
        <v>439</v>
      </c>
      <c r="H27" s="20" t="str">
        <f t="shared" si="0"/>
        <v>N/A</v>
      </c>
      <c r="I27" s="19">
        <f t="shared" si="1"/>
        <v>280</v>
      </c>
    </row>
    <row r="28" spans="2:9" s="13" customFormat="1" ht="16" customHeight="1">
      <c r="B28" s="21">
        <v>48</v>
      </c>
      <c r="C28" s="350" t="s">
        <v>662</v>
      </c>
      <c r="D28" s="351"/>
      <c r="E28" s="21">
        <v>1</v>
      </c>
      <c r="F28" s="21">
        <v>280</v>
      </c>
      <c r="G28" s="21" t="s">
        <v>439</v>
      </c>
      <c r="H28" s="20" t="str">
        <f t="shared" si="0"/>
        <v>N/A</v>
      </c>
      <c r="I28" s="19">
        <f t="shared" si="1"/>
        <v>280</v>
      </c>
    </row>
    <row r="29" spans="2:9" s="13" customFormat="1" ht="16" customHeight="1">
      <c r="B29" s="21">
        <v>99</v>
      </c>
      <c r="C29" s="361" t="s">
        <v>661</v>
      </c>
      <c r="D29" s="362"/>
      <c r="E29" s="21">
        <v>1</v>
      </c>
      <c r="F29" s="21">
        <v>863.33</v>
      </c>
      <c r="G29" s="21" t="s">
        <v>439</v>
      </c>
      <c r="H29" s="20" t="str">
        <f t="shared" si="0"/>
        <v>N/A</v>
      </c>
      <c r="I29" s="19">
        <f t="shared" si="1"/>
        <v>863.33</v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1423.33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1423.33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7ECDB-6724-BC4D-9F20-D8A87105D032}">
  <sheetPr codeName="Sheet111">
    <tabColor rgb="FF92D05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Riley Marini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658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99</v>
      </c>
      <c r="C27" s="350" t="s">
        <v>659</v>
      </c>
      <c r="D27" s="351"/>
      <c r="E27" s="21">
        <v>1</v>
      </c>
      <c r="F27" s="22">
        <v>840</v>
      </c>
      <c r="G27" s="21" t="s">
        <v>439</v>
      </c>
      <c r="H27" s="20" t="str">
        <f t="shared" si="0"/>
        <v>N/A</v>
      </c>
      <c r="I27" s="19">
        <f t="shared" si="1"/>
        <v>840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840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840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E17C-A7A3-8A4F-933B-96D4D265392B}">
  <sheetPr codeName="Sheet112">
    <pageSetUpPr fitToPage="1"/>
  </sheetPr>
  <dimension ref="B1:K53"/>
  <sheetViews>
    <sheetView workbookViewId="0">
      <selection activeCell="D21" sqref="D21:D22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Jamie Rocha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899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900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898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/>
      <c r="C27" s="350"/>
      <c r="D27" s="351"/>
      <c r="E27" s="21"/>
      <c r="F27" s="22"/>
      <c r="G27" s="21"/>
      <c r="H27" s="20" t="str">
        <f t="shared" si="0"/>
        <v/>
      </c>
      <c r="I27" s="19" t="str">
        <f t="shared" si="1"/>
        <v/>
      </c>
    </row>
    <row r="28" spans="2:9" s="13" customFormat="1" ht="16" customHeight="1">
      <c r="B28" s="21">
        <v>97</v>
      </c>
      <c r="C28" s="350" t="s">
        <v>897</v>
      </c>
      <c r="D28" s="351"/>
      <c r="E28" s="21">
        <v>1</v>
      </c>
      <c r="F28" s="21">
        <v>481.05</v>
      </c>
      <c r="G28" s="21" t="s">
        <v>439</v>
      </c>
      <c r="H28" s="20" t="str">
        <f t="shared" si="0"/>
        <v>N/A</v>
      </c>
      <c r="I28" s="19">
        <f t="shared" si="1"/>
        <v>481.05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481.05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481.05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FB3-6D27-5741-8232-D0E7FB4384FE}">
  <sheetPr codeName="Sheet113">
    <tabColor rgb="FF92D050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Christina D'Almeida (Shoot Week)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644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654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655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48</v>
      </c>
      <c r="C27" s="350" t="s">
        <v>656</v>
      </c>
      <c r="D27" s="351"/>
      <c r="E27" s="21">
        <v>1</v>
      </c>
      <c r="F27" s="22">
        <v>600</v>
      </c>
      <c r="G27" s="21" t="s">
        <v>439</v>
      </c>
      <c r="H27" s="20" t="str">
        <f t="shared" si="0"/>
        <v>N/A</v>
      </c>
      <c r="I27" s="19">
        <f t="shared" si="1"/>
        <v>600</v>
      </c>
    </row>
    <row r="28" spans="2:9" s="13" customFormat="1" ht="16" customHeight="1">
      <c r="B28" s="21">
        <v>98</v>
      </c>
      <c r="C28" s="350" t="s">
        <v>657</v>
      </c>
      <c r="D28" s="351"/>
      <c r="E28" s="21">
        <v>1</v>
      </c>
      <c r="F28" s="21">
        <v>1037.5</v>
      </c>
      <c r="G28" s="21" t="s">
        <v>439</v>
      </c>
      <c r="H28" s="20" t="str">
        <f t="shared" si="0"/>
        <v>N/A</v>
      </c>
      <c r="I28" s="19">
        <f t="shared" si="1"/>
        <v>1037.5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1637.5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1637.5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1" orientation="portrait" r:id="rId1"/>
  <headerFooter alignWithMargins="0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65FA-3EEF-494A-8B5A-4EA0AA042132}">
  <sheetPr codeName="Sheet114">
    <tabColor theme="9" tint="0.79998168889431442"/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600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Benjamin Dzikowicz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643</v>
      </c>
      <c r="D12" s="348"/>
      <c r="E12" s="45" t="s">
        <v>24</v>
      </c>
      <c r="F12" s="191" t="s">
        <v>635</v>
      </c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190" t="s">
        <v>635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2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>
        <v>49</v>
      </c>
      <c r="C26" s="350" t="s">
        <v>636</v>
      </c>
      <c r="D26" s="351"/>
      <c r="E26" s="21">
        <v>1</v>
      </c>
      <c r="F26" s="21">
        <v>840</v>
      </c>
      <c r="G26" s="21" t="s">
        <v>439</v>
      </c>
      <c r="H26" s="20" t="str">
        <f t="shared" ref="H26:H41" si="0">IF(G26="CAD", "N/A", IF(G26="USD", E26*F26, ""))</f>
        <v>N/A</v>
      </c>
      <c r="I26" s="19">
        <f t="shared" ref="I26:I41" si="1">IF(G26="CAD", E26*F26, IF(G26="USD", H26*1.36, ""))</f>
        <v>840</v>
      </c>
    </row>
    <row r="27" spans="2:9" s="13" customFormat="1" ht="16" customHeight="1">
      <c r="B27" s="21">
        <v>99</v>
      </c>
      <c r="C27" s="350" t="s">
        <v>637</v>
      </c>
      <c r="D27" s="351"/>
      <c r="E27" s="21">
        <v>1</v>
      </c>
      <c r="F27" s="22">
        <v>711.67</v>
      </c>
      <c r="G27" s="21" t="s">
        <v>439</v>
      </c>
      <c r="H27" s="20" t="str">
        <f t="shared" si="0"/>
        <v>N/A</v>
      </c>
      <c r="I27" s="19">
        <f t="shared" si="1"/>
        <v>711.67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1551.67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1551.67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6" r:id="rId1" xr:uid="{CEAF14F8-A991-8B4F-A0C3-5A30BD57D579}"/>
    <hyperlink ref="F12" r:id="rId2" xr:uid="{5C25611C-220E-C346-BE9A-DF0405E70540}"/>
  </hyperlinks>
  <printOptions horizontalCentered="1"/>
  <pageMargins left="0.75" right="0.75" top="0.5" bottom="0.5" header="0.5" footer="0.5"/>
  <pageSetup scale="71" orientation="portrait" r:id="rId3"/>
  <headerFooter alignWithMargins="0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81D3C-471F-1A41-A40C-7410C6021B70}">
  <sheetPr codeName="Sheet115">
    <pageSetUpPr fitToPage="1"/>
  </sheetPr>
  <dimension ref="B1:K53"/>
  <sheetViews>
    <sheetView workbookViewId="0">
      <selection activeCell="F29" sqref="F29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Capture Management &amp; Production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965</v>
      </c>
      <c r="D11" s="348"/>
      <c r="E11" s="47"/>
    </row>
    <row r="12" spans="2:11" s="13" customFormat="1" ht="22" customHeight="1">
      <c r="B12" s="45" t="s">
        <v>25</v>
      </c>
      <c r="C12" s="393" t="s">
        <v>964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 t="s">
        <v>966</v>
      </c>
      <c r="G13" s="353"/>
      <c r="H13" s="353"/>
      <c r="I13" s="354"/>
    </row>
    <row r="14" spans="2:11" s="13" customFormat="1" ht="16">
      <c r="B14" s="44"/>
      <c r="C14" s="407" t="s">
        <v>967</v>
      </c>
      <c r="D14" s="355"/>
      <c r="E14" s="43" t="s">
        <v>22</v>
      </c>
      <c r="F14" s="352" t="s">
        <v>764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968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1">
        <v>58</v>
      </c>
      <c r="C27" s="350" t="s">
        <v>763</v>
      </c>
      <c r="D27" s="351"/>
      <c r="E27" s="21">
        <v>1</v>
      </c>
      <c r="F27" s="22">
        <v>1998.03</v>
      </c>
      <c r="G27" s="21" t="s">
        <v>439</v>
      </c>
      <c r="H27" s="20" t="str">
        <f t="shared" si="0"/>
        <v>N/A</v>
      </c>
      <c r="I27" s="19">
        <f t="shared" si="1"/>
        <v>1998.03</v>
      </c>
    </row>
    <row r="28" spans="2:9" s="13" customFormat="1" ht="16" customHeight="1">
      <c r="B28" s="21"/>
      <c r="C28" s="350"/>
      <c r="D28" s="351"/>
      <c r="E28" s="21"/>
      <c r="F28" s="21"/>
      <c r="G28" s="21"/>
      <c r="H28" s="20" t="str">
        <f t="shared" si="0"/>
        <v/>
      </c>
      <c r="I28" s="19" t="str">
        <f t="shared" si="1"/>
        <v/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1998.03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1998.03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4" r:id="rId1" xr:uid="{62E8F55D-894C-6741-9D2B-A9F20DEC0DBB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DF2F5-676B-E04A-BDC9-989FF66AD8CF}">
  <sheetPr codeName="Sheet116">
    <pageSetUpPr fitToPage="1"/>
  </sheetPr>
  <dimension ref="B1:K53"/>
  <sheetViews>
    <sheetView workbookViewId="0">
      <selection activeCell="C17" sqref="C17:E17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2.33203125" style="1" customWidth="1"/>
    <col min="8" max="8" width="22.3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"No match found",
          INDEX(PO_LOG[DATE], MATCH(Sheet_PO, PO_LOG[[#All],[PO]], 0))),
       "No match found"),
    "No match found")</f>
        <v>No match found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Capture Management &amp; Production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 t="s">
        <v>965</v>
      </c>
      <c r="D11" s="348"/>
      <c r="E11" s="47"/>
    </row>
    <row r="12" spans="2:11" s="13" customFormat="1" ht="22" customHeight="1">
      <c r="B12" s="45" t="s">
        <v>25</v>
      </c>
      <c r="C12" s="393" t="s">
        <v>964</v>
      </c>
      <c r="D12" s="393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94"/>
      <c r="D13" s="394"/>
      <c r="E13" s="45" t="s">
        <v>23</v>
      </c>
      <c r="F13" s="352" t="s">
        <v>969</v>
      </c>
      <c r="G13" s="353"/>
      <c r="H13" s="353"/>
      <c r="I13" s="354"/>
    </row>
    <row r="14" spans="2:11" s="13" customFormat="1" ht="16">
      <c r="B14" s="44"/>
      <c r="C14" s="407" t="s">
        <v>967</v>
      </c>
      <c r="D14" s="355"/>
      <c r="E14" s="43" t="s">
        <v>22</v>
      </c>
      <c r="F14" s="352" t="s">
        <v>764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968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PO_LOG[[#All],[PO]], 0)), "No match found")</f>
        <v>BATCH 5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4" t="s">
        <v>5</v>
      </c>
      <c r="H25" s="23" t="s">
        <v>4</v>
      </c>
      <c r="I25" s="23" t="s">
        <v>3</v>
      </c>
    </row>
    <row r="26" spans="2:9" s="13" customFormat="1" ht="16" customHeight="1">
      <c r="B26" s="21"/>
      <c r="C26" s="350"/>
      <c r="D26" s="351"/>
      <c r="E26" s="21"/>
      <c r="F26" s="21"/>
      <c r="G26" s="21"/>
      <c r="H26" s="20" t="str">
        <f t="shared" ref="H26:H41" si="0">IF(G26="CAD", "N/A", IF(G26="USD", E26*F26, ""))</f>
        <v/>
      </c>
      <c r="I26" s="19" t="str">
        <f t="shared" ref="I26:I41" si="1">IF(G26="CAD", E26*F26, IF(G26="USD", H26*1.36, ""))</f>
        <v/>
      </c>
    </row>
    <row r="27" spans="2:9" s="13" customFormat="1" ht="16" customHeight="1">
      <c r="B27" s="204">
        <v>207</v>
      </c>
      <c r="C27" s="350" t="s">
        <v>761</v>
      </c>
      <c r="D27" s="351"/>
      <c r="E27" s="21">
        <v>1</v>
      </c>
      <c r="F27" s="22">
        <v>1450</v>
      </c>
      <c r="G27" s="21" t="s">
        <v>439</v>
      </c>
      <c r="H27" s="20" t="str">
        <f t="shared" si="0"/>
        <v>N/A</v>
      </c>
      <c r="I27" s="19">
        <f t="shared" si="1"/>
        <v>1450</v>
      </c>
    </row>
    <row r="28" spans="2:9" s="13" customFormat="1" ht="16" customHeight="1">
      <c r="B28" s="204">
        <v>213</v>
      </c>
      <c r="C28" s="350" t="s">
        <v>762</v>
      </c>
      <c r="D28" s="351"/>
      <c r="E28" s="21">
        <v>1</v>
      </c>
      <c r="F28" s="21">
        <v>725</v>
      </c>
      <c r="G28" s="21" t="s">
        <v>439</v>
      </c>
      <c r="H28" s="20" t="str">
        <f t="shared" si="0"/>
        <v>N/A</v>
      </c>
      <c r="I28" s="19">
        <f t="shared" si="1"/>
        <v>725</v>
      </c>
    </row>
    <row r="29" spans="2:9" s="13" customFormat="1" ht="16" customHeight="1">
      <c r="B29" s="21"/>
      <c r="C29" s="361"/>
      <c r="D29" s="362"/>
      <c r="E29" s="21"/>
      <c r="F29" s="21"/>
      <c r="G29" s="21"/>
      <c r="H29" s="20" t="str">
        <f t="shared" si="0"/>
        <v/>
      </c>
      <c r="I29" s="19" t="str">
        <f t="shared" si="1"/>
        <v/>
      </c>
    </row>
    <row r="30" spans="2:9" s="13" customFormat="1" ht="16" customHeight="1">
      <c r="B30" s="21"/>
      <c r="C30" s="361"/>
      <c r="D30" s="362"/>
      <c r="E30" s="21"/>
      <c r="F30" s="21"/>
      <c r="G30" s="21"/>
      <c r="H30" s="20" t="str">
        <f t="shared" si="0"/>
        <v/>
      </c>
      <c r="I30" s="19" t="str">
        <f t="shared" si="1"/>
        <v/>
      </c>
    </row>
    <row r="31" spans="2:9" s="13" customFormat="1" ht="16" customHeight="1">
      <c r="B31" s="21"/>
      <c r="C31" s="361"/>
      <c r="D31" s="362"/>
      <c r="E31" s="21"/>
      <c r="F31" s="21"/>
      <c r="G31" s="21"/>
      <c r="H31" s="20" t="str">
        <f t="shared" si="0"/>
        <v/>
      </c>
      <c r="I31" s="19" t="str">
        <f t="shared" si="1"/>
        <v/>
      </c>
    </row>
    <row r="32" spans="2:9" s="13" customFormat="1" ht="16" customHeight="1">
      <c r="B32" s="21"/>
      <c r="C32" s="361"/>
      <c r="D32" s="362"/>
      <c r="E32" s="21"/>
      <c r="F32" s="21"/>
      <c r="G32" s="21"/>
      <c r="H32" s="20" t="str">
        <f t="shared" si="0"/>
        <v/>
      </c>
      <c r="I32" s="19" t="str">
        <f t="shared" si="1"/>
        <v/>
      </c>
    </row>
    <row r="33" spans="2:9" s="13" customFormat="1" ht="16" customHeight="1">
      <c r="B33" s="21"/>
      <c r="C33" s="361"/>
      <c r="D33" s="362"/>
      <c r="E33" s="21"/>
      <c r="F33" s="21"/>
      <c r="G33" s="21"/>
      <c r="H33" s="20" t="str">
        <f t="shared" si="0"/>
        <v/>
      </c>
      <c r="I33" s="19" t="str">
        <f t="shared" si="1"/>
        <v/>
      </c>
    </row>
    <row r="34" spans="2:9" s="13" customFormat="1" ht="16" customHeight="1">
      <c r="B34" s="21"/>
      <c r="C34" s="361"/>
      <c r="D34" s="362"/>
      <c r="E34" s="21"/>
      <c r="F34" s="21"/>
      <c r="G34" s="21"/>
      <c r="H34" s="20" t="str">
        <f t="shared" si="0"/>
        <v/>
      </c>
      <c r="I34" s="19" t="str">
        <f t="shared" si="1"/>
        <v/>
      </c>
    </row>
    <row r="35" spans="2:9" s="13" customFormat="1" ht="16" customHeight="1">
      <c r="B35" s="21"/>
      <c r="C35" s="361"/>
      <c r="D35" s="362"/>
      <c r="E35" s="21"/>
      <c r="F35" s="21"/>
      <c r="G35" s="21"/>
      <c r="H35" s="20" t="str">
        <f t="shared" si="0"/>
        <v/>
      </c>
      <c r="I35" s="19" t="str">
        <f t="shared" si="1"/>
        <v/>
      </c>
    </row>
    <row r="36" spans="2:9" s="13" customFormat="1" ht="16" customHeight="1">
      <c r="B36" s="21"/>
      <c r="C36" s="361"/>
      <c r="D36" s="362"/>
      <c r="E36" s="21"/>
      <c r="F36" s="21"/>
      <c r="G36" s="21"/>
      <c r="H36" s="20" t="str">
        <f t="shared" si="0"/>
        <v/>
      </c>
      <c r="I36" s="19" t="str">
        <f t="shared" si="1"/>
        <v/>
      </c>
    </row>
    <row r="37" spans="2:9" s="13" customFormat="1" ht="16" customHeight="1">
      <c r="B37" s="21"/>
      <c r="C37" s="361"/>
      <c r="D37" s="362"/>
      <c r="E37" s="21"/>
      <c r="F37" s="21"/>
      <c r="G37" s="21"/>
      <c r="H37" s="20" t="str">
        <f t="shared" si="0"/>
        <v/>
      </c>
      <c r="I37" s="19" t="str">
        <f t="shared" si="1"/>
        <v/>
      </c>
    </row>
    <row r="38" spans="2:9" s="13" customFormat="1" ht="16" customHeight="1">
      <c r="B38" s="21"/>
      <c r="C38" s="361"/>
      <c r="D38" s="362"/>
      <c r="E38" s="21"/>
      <c r="F38" s="21"/>
      <c r="G38" s="21"/>
      <c r="H38" s="20" t="str">
        <f t="shared" si="0"/>
        <v/>
      </c>
      <c r="I38" s="19" t="str">
        <f t="shared" si="1"/>
        <v/>
      </c>
    </row>
    <row r="39" spans="2:9" s="13" customFormat="1" ht="16" customHeight="1">
      <c r="B39" s="21"/>
      <c r="C39" s="361"/>
      <c r="D39" s="362"/>
      <c r="E39" s="21"/>
      <c r="F39" s="21"/>
      <c r="G39" s="21"/>
      <c r="H39" s="20" t="str">
        <f t="shared" si="0"/>
        <v/>
      </c>
      <c r="I39" s="19" t="str">
        <f t="shared" si="1"/>
        <v/>
      </c>
    </row>
    <row r="40" spans="2:9" s="13" customFormat="1" ht="16" customHeight="1">
      <c r="B40" s="21"/>
      <c r="C40" s="361"/>
      <c r="D40" s="362"/>
      <c r="E40" s="21"/>
      <c r="F40" s="21"/>
      <c r="G40" s="21"/>
      <c r="H40" s="20" t="str">
        <f t="shared" si="0"/>
        <v/>
      </c>
      <c r="I40" s="19" t="str">
        <f t="shared" si="1"/>
        <v/>
      </c>
    </row>
    <row r="41" spans="2:9" s="13" customFormat="1" ht="16" customHeight="1">
      <c r="B41" s="21"/>
      <c r="C41" s="361"/>
      <c r="D41" s="362"/>
      <c r="E41" s="21"/>
      <c r="F41" s="21"/>
      <c r="G41" s="21"/>
      <c r="H41" s="20" t="str">
        <f t="shared" si="0"/>
        <v/>
      </c>
      <c r="I41" s="19" t="str">
        <f t="shared" si="1"/>
        <v/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2175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282.75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2457.75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9:D9"/>
    <mergeCell ref="F9:I9"/>
    <mergeCell ref="C10:D10"/>
    <mergeCell ref="F10:I10"/>
    <mergeCell ref="C11:D11"/>
    <mergeCell ref="B4:G4"/>
    <mergeCell ref="B5:C5"/>
    <mergeCell ref="E5:H6"/>
    <mergeCell ref="B6:C6"/>
    <mergeCell ref="B7:C7"/>
    <mergeCell ref="D7:E7"/>
    <mergeCell ref="I21:I22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12:D13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hyperlinks>
    <hyperlink ref="C14" r:id="rId1" xr:uid="{2C3FE70E-4843-DF40-BBE9-4932C74C51B6}"/>
  </hyperlinks>
  <printOptions horizontalCentered="1"/>
  <pageMargins left="0.75" right="0.75" top="0.5" bottom="0.5" header="0.5" footer="0.5"/>
  <pageSetup scale="71" orientation="portrait" r:id="rId2"/>
  <headerFooter alignWithMargins="0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BF8A-0BE7-5841-BD38-4F4E3AD6C712}">
  <sheetPr codeName="Sheet11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(LP 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>
        <v>1</v>
      </c>
      <c r="C26" s="350" t="s">
        <v>798</v>
      </c>
      <c r="D26" s="351"/>
      <c r="E26" s="21">
        <v>1</v>
      </c>
      <c r="F26" s="21">
        <v>12000</v>
      </c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12000</v>
      </c>
    </row>
    <row r="27" spans="2:9" s="13" customFormat="1" ht="16" customHeight="1">
      <c r="B27" s="21">
        <v>51</v>
      </c>
      <c r="C27" s="350" t="s">
        <v>798</v>
      </c>
      <c r="D27" s="351"/>
      <c r="E27" s="21">
        <v>1</v>
      </c>
      <c r="F27" s="22">
        <v>2400</v>
      </c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2400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14400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14400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BE46-F8FE-1C4D-AD33-7444891B2501}">
  <sheetPr codeName="Sheet118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(MELISSA SHOULDICE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>
        <v>76</v>
      </c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>
        <v>26</v>
      </c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BDFD5-FB52-2F4D-9DB2-0C1CAB4ABD1A}">
  <sheetPr codeName="Sheet11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D9E2B-F681-EF4F-867B-5998B6128778}">
  <sheetPr codeName="Sheet120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2F8-9836-9343-AD00-C43506407840}">
  <sheetPr codeName="Sheet121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629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DAA0-3A2B-614F-BA55-348D4282EA4A}">
  <sheetPr codeName="Sheet122">
    <pageSetUpPr fitToPage="1"/>
  </sheetPr>
  <dimension ref="B1:K53"/>
  <sheetViews>
    <sheetView topLeftCell="A3" workbookViewId="0">
      <selection activeCell="F14" sqref="F14:I14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630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871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872</v>
      </c>
      <c r="D13" s="348"/>
      <c r="E13" s="45" t="s">
        <v>23</v>
      </c>
      <c r="F13" s="352">
        <v>149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584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873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>
        <v>199</v>
      </c>
      <c r="C26" s="350" t="s">
        <v>874</v>
      </c>
      <c r="D26" s="351"/>
      <c r="E26" s="21">
        <v>1</v>
      </c>
      <c r="F26" s="21">
        <v>2248.15</v>
      </c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2248.15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2248.15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292.31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2540.46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3EB0-ED52-6446-B203-E4633E36B8DF}">
  <sheetPr codeName="Sheet123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631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Art2Atlantis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WIRE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>
        <v>113</v>
      </c>
      <c r="C27" s="350" t="s">
        <v>1037</v>
      </c>
      <c r="D27" s="351"/>
      <c r="E27" s="21">
        <v>1</v>
      </c>
      <c r="F27" s="22">
        <v>445.38</v>
      </c>
      <c r="G27" s="21" t="s">
        <v>499</v>
      </c>
      <c r="H27" s="20">
        <f t="shared" ref="H27:H41" si="1">IF(G27="CAD", "", IF(G27="USD", E27*F27, ""))</f>
        <v>445.38</v>
      </c>
      <c r="I27" s="19">
        <f t="shared" si="0"/>
        <v>605.71680000000003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605.71680000000003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605.71680000000003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A6CA5-E58F-D94D-B24B-446E6CE49DAA}">
  <sheetPr codeName="Sheet124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632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DF40-57DA-6845-A5D5-6F918C3DB12D}">
  <sheetPr codeName="Sheet125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633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DCEB4-8F94-2B48-B824-C2D564D5ECA0}">
  <sheetPr codeName="Sheet126">
    <pageSetUpPr fitToPage="1"/>
  </sheetPr>
  <dimension ref="B1:K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634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PO_LOG[PO], 0)),
       IF(INDEX(PO_LOG[DATE], MATCH(Sheet_PO, PO_LOG[[#All],[PO]], 0)) = "", "",
          INDEX(PO_LOG[DATE], MATCH(Sheet_PO, PO_LOG[[#All],[PO]], 0))),
       ""),
    "No match found")</f>
        <v>45516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(WARDROBE PLACEHOLDER)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A92E1-05B1-934A-96C5-32EC5445294C}">
  <sheetPr codeName="Sheet127">
    <pageSetUpPr fitToPage="1"/>
  </sheetPr>
  <dimension ref="B1:K53"/>
  <sheetViews>
    <sheetView topLeftCell="B31" workbookViewId="0">
      <selection activeCell="F13" sqref="F13:I13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799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PO_LOG[PO], 0)),
       IF(INDEX(PO_LOG[DATE], MATCH(Sheet_PO, PO_LOG[PO], 0)) = "", "",
          INDEX(PO_LOG[DATE], MATCH(Sheet_PO, PO_LOG[PO], 0))),
       ""),
    "No match found")</f>
        <v>45516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DIANA ABBATANGELO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1032</v>
      </c>
      <c r="D12" s="348"/>
      <c r="E12" s="45" t="s">
        <v>24</v>
      </c>
      <c r="F12" s="46">
        <v>388</v>
      </c>
      <c r="G12" s="46"/>
      <c r="H12" s="46"/>
      <c r="I12" s="46"/>
    </row>
    <row r="13" spans="2:11" s="13" customFormat="1" ht="16">
      <c r="B13" s="44"/>
      <c r="C13" s="348" t="s">
        <v>1033</v>
      </c>
      <c r="D13" s="348"/>
      <c r="E13" s="45" t="s">
        <v>23</v>
      </c>
      <c r="F13" s="352">
        <v>388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 t="s">
        <v>1034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BATCH 8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>
        <v>68</v>
      </c>
      <c r="C26" s="350" t="s">
        <v>168</v>
      </c>
      <c r="D26" s="351"/>
      <c r="E26" s="21">
        <v>1</v>
      </c>
      <c r="F26" s="21">
        <v>21250</v>
      </c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21250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21250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2762.5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24012.5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D251-389A-AE4E-A59F-2D483C86B446}">
  <sheetPr codeName="Sheet128">
    <pageSetUpPr fitToPage="1"/>
  </sheetPr>
  <dimension ref="B1:K53"/>
  <sheetViews>
    <sheetView topLeftCell="A2" workbookViewId="0">
      <selection activeCell="C40" sqref="C40:D4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Hilary Jenset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902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903</v>
      </c>
      <c r="D13" s="348"/>
      <c r="E13" s="45" t="s">
        <v>23</v>
      </c>
      <c r="F13" s="352">
        <v>216</v>
      </c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>
        <v>13732444</v>
      </c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904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>
        <v>69</v>
      </c>
      <c r="C27" s="350" t="s">
        <v>901</v>
      </c>
      <c r="D27" s="351"/>
      <c r="E27" s="21">
        <v>1</v>
      </c>
      <c r="F27" s="205">
        <v>6910</v>
      </c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6910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6910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>
        <v>887.9</v>
      </c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7797.9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3C2CA-444C-A146-952A-42428B228FDB}">
  <sheetPr codeName="Sheet12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(void)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0277C-B47D-0741-B776-CEC4E185267D}">
  <sheetPr codeName="Sheet130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(void)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9A658-EE0E-AA4C-A3F3-AFA91FFC9A01}">
  <sheetPr codeName="Sheet131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>45514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(BLANK)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>
        <f>IFERROR(INDEX(PO_LOG[PAY ID], MATCH(Sheet_PO, PO_LOG[PO], 0)), "")</f>
        <v>0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48AA-964F-8F4F-B694-711D768D5B08}">
  <sheetPr codeName="Sheet132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A9FD-FDA7-2A4D-B917-4054CD452E9D}">
  <sheetPr codeName="Sheet133">
    <pageSetUpPr fitToPage="1"/>
  </sheetPr>
  <dimension ref="B1:K53"/>
  <sheetViews>
    <sheetView workbookViewId="0">
      <selection activeCell="C28" sqref="C28:D28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>
        <f>IFERROR(
    IF(ISNUMBER(MATCH(Sheet_PO, PO_LOG[PO], 0)),
       IF(INDEX(PO_LOG[DATE], MATCH(Sheet_PO, PO_LOG[PO], 0)) = "", "",
          INDEX(PO_LOG[DATE], MATCH(Sheet_PO, PO_LOG[PO], 0))),
       ""),
    "No match found")</f>
        <v>45514</v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93" t="str">
        <f>IFERROR(INDEX(PO_LOG[PAYEE], MATCH(Sheet_PO, PO_LOG[PO], 0)), "No match found")</f>
        <v>Jessica Jennings (rehearsal reimbursement)</v>
      </c>
      <c r="D10" s="393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94"/>
      <c r="D11" s="394"/>
      <c r="E11" s="47"/>
    </row>
    <row r="12" spans="2:11" s="13" customFormat="1" ht="22" customHeight="1">
      <c r="B12" s="45" t="s">
        <v>25</v>
      </c>
      <c r="C12" s="348" t="s">
        <v>565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 t="s">
        <v>988</v>
      </c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 Transfer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>
        <v>111</v>
      </c>
      <c r="C27" s="350" t="s">
        <v>107</v>
      </c>
      <c r="D27" s="351"/>
      <c r="E27" s="21">
        <v>1</v>
      </c>
      <c r="F27" s="22">
        <v>210.54</v>
      </c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210.54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210.54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210.54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F10:I10"/>
    <mergeCell ref="C10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15AA-6157-DE4C-85C7-6EDB426BBA0C}">
  <sheetPr codeName="Sheet134">
    <pageSetUpPr fitToPage="1"/>
  </sheetPr>
  <dimension ref="B1:K53"/>
  <sheetViews>
    <sheetView topLeftCell="A8" workbookViewId="0">
      <selection activeCell="E31" sqref="E31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Jesse Marcildon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 t="s">
        <v>905</v>
      </c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 t="s">
        <v>906</v>
      </c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 t="s">
        <v>907</v>
      </c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BATCH 6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>
        <v>174</v>
      </c>
      <c r="C27" s="350" t="s">
        <v>173</v>
      </c>
      <c r="D27" s="351"/>
      <c r="E27" s="21">
        <v>1</v>
      </c>
      <c r="F27" s="205">
        <v>1538</v>
      </c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1538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1538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1538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2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21:C22"/>
    <mergeCell ref="D21:D22"/>
    <mergeCell ref="E21:E22"/>
    <mergeCell ref="F21:F22"/>
    <mergeCell ref="G21:G22"/>
    <mergeCell ref="C17:I17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EF8F6-BA1C-4347-9B75-642DDED5E809}">
  <sheetPr codeName="Sheet135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9D2DE-4706-414D-AF2E-A957819C77C5}">
  <sheetPr codeName="Sheet136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(Adrian PM Placeholder x 2 Days)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>EST</v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7690F-CB99-A246-84CE-44F251DB5625}">
  <sheetPr codeName="Sheet13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809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D655-3C0C-D447-BA06-A93E27528A07}">
  <sheetPr codeName="Sheet138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810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84F9A-BA68-D44C-93AC-3273E6B92F37}">
  <sheetPr codeName="Sheet139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811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3B115-9E56-4842-A064-3D38BEB4CBCF}">
  <sheetPr codeName="Sheet140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812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92E9-206E-6243-BCEB-9F540A84012C}">
  <sheetPr codeName="Sheet141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813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EDF86-615E-C445-BF23-1BAC46076A14}">
  <sheetPr codeName="Sheet142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814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9A22-B8FE-7D42-9667-48E389325136}">
  <sheetPr codeName="Sheet143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815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ED8D-149E-7745-8E9A-35B409B2C426}">
  <sheetPr codeName="Sheet144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816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8A605-FE95-5546-8CFF-F2F4005541C7}">
  <sheetPr codeName="Sheet145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817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6B1E-13F9-2642-98CD-9F2F539A2D3A}">
  <sheetPr codeName="Sheet146">
    <pageSetUpPr fitToPage="1"/>
  </sheetPr>
  <dimension ref="B1:K53"/>
  <sheetViews>
    <sheetView workbookViewId="0">
      <selection activeCell="C10" sqref="C10:D10"/>
    </sheetView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818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9C83-583C-274F-92C8-59CAF36783C0}">
  <sheetPr codeName="Sheet147">
    <pageSetUpPr fitToPage="1"/>
  </sheetPr>
  <dimension ref="B1:K53"/>
  <sheetViews>
    <sheetView workbookViewId="0"/>
  </sheetViews>
  <sheetFormatPr baseColWidth="10" defaultColWidth="8.83203125" defaultRowHeight="14"/>
  <cols>
    <col min="1" max="1" width="0.83203125" style="1" customWidth="1"/>
    <col min="2" max="2" width="9.6640625" style="1" customWidth="1"/>
    <col min="3" max="3" width="14.6640625" style="1" customWidth="1"/>
    <col min="4" max="4" width="19.33203125" style="1" customWidth="1"/>
    <col min="5" max="5" width="13.5" style="1" customWidth="1"/>
    <col min="6" max="6" width="11.6640625" style="1" bestFit="1" customWidth="1"/>
    <col min="7" max="7" width="10.1640625" style="1" customWidth="1"/>
    <col min="8" max="8" width="18.83203125" style="1" customWidth="1"/>
    <col min="9" max="9" width="13.33203125" style="1" customWidth="1"/>
    <col min="10" max="16384" width="8.83203125" style="1"/>
  </cols>
  <sheetData>
    <row r="1" spans="2:11" ht="45" customHeight="1">
      <c r="B1" s="60"/>
      <c r="C1" s="336" t="s">
        <v>36</v>
      </c>
      <c r="D1" s="336"/>
      <c r="E1" s="336"/>
      <c r="F1" s="336"/>
      <c r="G1" s="337"/>
      <c r="H1" s="337"/>
      <c r="I1" s="337"/>
    </row>
    <row r="2" spans="2:11" ht="12.75" customHeight="1">
      <c r="B2" s="338"/>
      <c r="C2" s="339"/>
      <c r="D2" s="340"/>
      <c r="E2" s="340"/>
      <c r="F2" s="340"/>
      <c r="G2" s="340"/>
    </row>
    <row r="3" spans="2:11" ht="22">
      <c r="B3" s="59" t="s">
        <v>35</v>
      </c>
      <c r="C3" s="58"/>
      <c r="D3" s="57"/>
      <c r="E3" s="57"/>
      <c r="F3" s="56" t="s">
        <v>34</v>
      </c>
      <c r="G3" s="341" t="s">
        <v>819</v>
      </c>
      <c r="H3" s="341"/>
      <c r="I3" s="341"/>
      <c r="J3" s="335"/>
      <c r="K3" s="335"/>
    </row>
    <row r="4" spans="2:11" s="12" customFormat="1" ht="9" customHeight="1">
      <c r="B4" s="342"/>
      <c r="C4" s="342"/>
      <c r="D4" s="342"/>
      <c r="E4" s="342"/>
      <c r="F4" s="342"/>
      <c r="G4" s="342"/>
      <c r="H4" s="55"/>
      <c r="I4" s="55"/>
    </row>
    <row r="5" spans="2:11" s="13" customFormat="1" ht="16" customHeight="1">
      <c r="B5" s="343" t="s">
        <v>33</v>
      </c>
      <c r="C5" s="343"/>
      <c r="D5" s="53"/>
      <c r="E5" s="344" t="s">
        <v>32</v>
      </c>
      <c r="F5" s="344"/>
      <c r="G5" s="344"/>
      <c r="H5" s="344"/>
      <c r="I5" s="54"/>
    </row>
    <row r="6" spans="2:11" s="13" customFormat="1" ht="16">
      <c r="B6" s="343" t="s">
        <v>31</v>
      </c>
      <c r="C6" s="343"/>
      <c r="D6" s="53"/>
      <c r="E6" s="344"/>
      <c r="F6" s="344"/>
      <c r="G6" s="344"/>
      <c r="H6" s="344"/>
      <c r="I6" s="52"/>
    </row>
    <row r="7" spans="2:11" s="13" customFormat="1" ht="16">
      <c r="B7" s="343"/>
      <c r="C7" s="343"/>
      <c r="D7" s="345"/>
      <c r="E7" s="345"/>
      <c r="F7" s="49"/>
      <c r="G7" s="49"/>
      <c r="H7" s="49"/>
      <c r="I7" s="49"/>
    </row>
    <row r="8" spans="2:11" s="13" customFormat="1" ht="16">
      <c r="B8" s="51"/>
      <c r="C8" s="51"/>
      <c r="D8" s="50"/>
      <c r="E8" s="50"/>
      <c r="F8" s="49"/>
      <c r="G8" s="49"/>
      <c r="H8" s="49"/>
      <c r="I8" s="49"/>
    </row>
    <row r="9" spans="2:11" s="13" customFormat="1" ht="16">
      <c r="B9" s="45" t="s">
        <v>30</v>
      </c>
      <c r="C9" s="346" t="str">
        <f>IFERROR(
    IF(ISNUMBER(MATCH(Sheet_PO, PO_LOG[[#All],[PO]], 0)),
       IF(INDEX(PO_LOG[DATE], MATCH(Sheet_PO, PO_LOG[[#All],[PO]], 0)) = "", "",
          INDEX(PO_LOG[DATE], MATCH(Sheet_PO, PO_LOG[[#All],[PO]], 0))),
       ""),
    "No match found")</f>
        <v/>
      </c>
      <c r="D9" s="346"/>
      <c r="E9" s="45" t="s">
        <v>29</v>
      </c>
      <c r="F9" s="347" t="str">
        <f>IF(TRIM(Job_Number)="", "", Job_Number)</f>
        <v>KS24-03</v>
      </c>
      <c r="G9" s="347"/>
      <c r="H9" s="347"/>
      <c r="I9" s="347"/>
    </row>
    <row r="10" spans="2:11" s="13" customFormat="1" ht="14" customHeight="1">
      <c r="B10" s="45" t="s">
        <v>27</v>
      </c>
      <c r="C10" s="348" t="str">
        <f>IFERROR(INDEX(PO_LOG[PAYEE], MATCH(Sheet_PO, PO_LOG[PO], 0)), "No match found")</f>
        <v>No match found</v>
      </c>
      <c r="D10" s="348"/>
      <c r="E10" s="45" t="s">
        <v>26</v>
      </c>
      <c r="F10" s="349" t="str">
        <f>IF(TRIM(Job_Name)="", "", Job_Name)</f>
        <v>Goya</v>
      </c>
      <c r="G10" s="349"/>
      <c r="H10" s="349"/>
      <c r="I10" s="349"/>
    </row>
    <row r="11" spans="2:11" s="13" customFormat="1" ht="16">
      <c r="B11" s="48"/>
      <c r="C11" s="348"/>
      <c r="D11" s="348"/>
      <c r="E11" s="47"/>
    </row>
    <row r="12" spans="2:11" s="13" customFormat="1" ht="22" customHeight="1">
      <c r="B12" s="45" t="s">
        <v>25</v>
      </c>
      <c r="C12" s="348"/>
      <c r="D12" s="348"/>
      <c r="E12" s="45" t="s">
        <v>24</v>
      </c>
      <c r="F12" s="46"/>
      <c r="G12" s="46"/>
      <c r="H12" s="46"/>
      <c r="I12" s="46"/>
    </row>
    <row r="13" spans="2:11" s="13" customFormat="1" ht="16">
      <c r="B13" s="44"/>
      <c r="C13" s="348"/>
      <c r="D13" s="348"/>
      <c r="E13" s="45" t="s">
        <v>23</v>
      </c>
      <c r="F13" s="352"/>
      <c r="G13" s="353"/>
      <c r="H13" s="353"/>
      <c r="I13" s="354"/>
    </row>
    <row r="14" spans="2:11" s="13" customFormat="1" ht="16">
      <c r="B14" s="44"/>
      <c r="C14" s="355"/>
      <c r="D14" s="355"/>
      <c r="E14" s="43" t="s">
        <v>22</v>
      </c>
      <c r="F14" s="352"/>
      <c r="G14" s="353"/>
      <c r="H14" s="353"/>
      <c r="I14" s="354"/>
    </row>
    <row r="15" spans="2:11" s="13" customFormat="1" ht="16">
      <c r="B15" s="42"/>
      <c r="C15" s="41"/>
      <c r="D15" s="41"/>
    </row>
    <row r="16" spans="2:11" s="12" customFormat="1" ht="23" customHeight="1">
      <c r="B16" s="27" t="s">
        <v>21</v>
      </c>
      <c r="C16" s="40"/>
      <c r="D16" s="40"/>
      <c r="E16" s="40"/>
      <c r="F16" s="40"/>
      <c r="G16" s="363"/>
      <c r="H16" s="363"/>
      <c r="I16" s="363"/>
    </row>
    <row r="17" spans="2:9" s="12" customFormat="1" ht="18" customHeight="1">
      <c r="B17" s="27"/>
      <c r="C17" s="356"/>
      <c r="D17" s="356"/>
      <c r="E17" s="356"/>
      <c r="F17" s="356"/>
      <c r="G17" s="356"/>
      <c r="H17" s="356"/>
      <c r="I17" s="356"/>
    </row>
    <row r="18" spans="2:9" s="12" customFormat="1" ht="5" customHeight="1" thickBot="1">
      <c r="B18" s="27"/>
      <c r="C18" s="26"/>
      <c r="D18" s="26"/>
      <c r="E18" s="26"/>
      <c r="F18" s="26"/>
      <c r="G18" s="26"/>
      <c r="H18" s="26"/>
      <c r="I18" s="26"/>
    </row>
    <row r="19" spans="2:9" s="12" customFormat="1" ht="18" customHeight="1" thickTop="1">
      <c r="B19" s="27"/>
      <c r="C19" s="39" t="s">
        <v>20</v>
      </c>
      <c r="D19" s="38" t="s">
        <v>19</v>
      </c>
      <c r="E19" s="38" t="s">
        <v>18</v>
      </c>
      <c r="F19" s="38" t="s">
        <v>17</v>
      </c>
      <c r="G19" s="37" t="s">
        <v>16</v>
      </c>
      <c r="H19" s="31"/>
      <c r="I19" s="36" t="s">
        <v>15</v>
      </c>
    </row>
    <row r="20" spans="2:9" s="12" customFormat="1" ht="17" customHeight="1" thickBot="1">
      <c r="B20" s="27"/>
      <c r="C20" s="35" t="s">
        <v>14</v>
      </c>
      <c r="D20" s="34" t="s">
        <v>14</v>
      </c>
      <c r="E20" s="33" t="s">
        <v>13</v>
      </c>
      <c r="F20" s="33" t="s">
        <v>12</v>
      </c>
      <c r="G20" s="32" t="s">
        <v>11</v>
      </c>
      <c r="H20" s="31"/>
      <c r="I20" s="30" t="s">
        <v>10</v>
      </c>
    </row>
    <row r="21" spans="2:9" s="12" customFormat="1" ht="18" customHeight="1" thickTop="1">
      <c r="B21" s="27"/>
      <c r="C21" s="357"/>
      <c r="D21" s="357"/>
      <c r="E21" s="357"/>
      <c r="F21" s="357"/>
      <c r="G21" s="359"/>
      <c r="H21" s="29"/>
      <c r="I21" s="359" t="str">
        <f>IFERROR(INDEX(PO_LOG[PAY ID], MATCH(Sheet_PO, PO_LOG[PO], 0)), "")</f>
        <v/>
      </c>
    </row>
    <row r="22" spans="2:9" s="12" customFormat="1" ht="13" customHeight="1" thickBot="1">
      <c r="B22" s="27"/>
      <c r="C22" s="358"/>
      <c r="D22" s="358"/>
      <c r="E22" s="358"/>
      <c r="F22" s="358"/>
      <c r="G22" s="360"/>
      <c r="H22" s="28"/>
      <c r="I22" s="360"/>
    </row>
    <row r="23" spans="2:9" s="12" customFormat="1" ht="6" customHeight="1" thickTop="1">
      <c r="B23" s="27"/>
      <c r="C23" s="26"/>
      <c r="D23" s="26"/>
      <c r="E23" s="26"/>
      <c r="F23" s="26"/>
      <c r="G23" s="26"/>
      <c r="H23" s="26"/>
      <c r="I23" s="26"/>
    </row>
    <row r="24" spans="2:9" ht="11" customHeight="1">
      <c r="B24" s="364"/>
      <c r="C24" s="364"/>
      <c r="D24" s="365"/>
      <c r="E24" s="365"/>
      <c r="F24" s="365"/>
      <c r="G24" s="365"/>
      <c r="H24" s="365"/>
      <c r="I24" s="365"/>
    </row>
    <row r="25" spans="2:9" s="13" customFormat="1" ht="16" customHeight="1">
      <c r="B25" s="25" t="s">
        <v>9</v>
      </c>
      <c r="C25" s="366" t="s">
        <v>8</v>
      </c>
      <c r="D25" s="367"/>
      <c r="E25" s="24" t="s">
        <v>7</v>
      </c>
      <c r="F25" s="24" t="s">
        <v>6</v>
      </c>
      <c r="G25" s="225" t="s">
        <v>5</v>
      </c>
      <c r="H25" s="224" t="s">
        <v>822</v>
      </c>
      <c r="I25" s="23" t="s">
        <v>3</v>
      </c>
    </row>
    <row r="26" spans="2:9" s="13" customFormat="1" ht="16" customHeight="1">
      <c r="B26" s="21"/>
      <c r="C26" s="350"/>
      <c r="D26" s="351"/>
      <c r="E26" s="21">
        <v>1</v>
      </c>
      <c r="F26" s="21"/>
      <c r="G26" s="21" t="s">
        <v>439</v>
      </c>
      <c r="H26" s="20" t="str">
        <f>IF(G26="CAD", "", IF(G26="USD", E26*F26, ""))</f>
        <v/>
      </c>
      <c r="I26" s="19">
        <f t="shared" ref="I26:I41" si="0">IF(G26="CAD", E26*F26, IF(G26="USD", H26*1.36, ""))</f>
        <v>0</v>
      </c>
    </row>
    <row r="27" spans="2:9" s="13" customFormat="1" ht="16" customHeight="1">
      <c r="B27" s="21"/>
      <c r="C27" s="350"/>
      <c r="D27" s="351"/>
      <c r="E27" s="21">
        <v>1</v>
      </c>
      <c r="F27" s="22"/>
      <c r="G27" s="21" t="s">
        <v>439</v>
      </c>
      <c r="H27" s="20" t="str">
        <f t="shared" ref="H27:H41" si="1">IF(G27="CAD", "", IF(G27="USD", E27*F27, ""))</f>
        <v/>
      </c>
      <c r="I27" s="19">
        <f t="shared" si="0"/>
        <v>0</v>
      </c>
    </row>
    <row r="28" spans="2:9" s="13" customFormat="1" ht="16" customHeight="1">
      <c r="B28" s="21"/>
      <c r="C28" s="350"/>
      <c r="D28" s="351"/>
      <c r="E28" s="21">
        <v>1</v>
      </c>
      <c r="F28" s="21"/>
      <c r="G28" s="21" t="s">
        <v>439</v>
      </c>
      <c r="H28" s="20" t="str">
        <f t="shared" si="1"/>
        <v/>
      </c>
      <c r="I28" s="19">
        <f t="shared" si="0"/>
        <v>0</v>
      </c>
    </row>
    <row r="29" spans="2:9" s="13" customFormat="1" ht="16" customHeight="1">
      <c r="B29" s="21"/>
      <c r="C29" s="361"/>
      <c r="D29" s="362"/>
      <c r="E29" s="21">
        <v>1</v>
      </c>
      <c r="F29" s="21"/>
      <c r="G29" s="21" t="s">
        <v>439</v>
      </c>
      <c r="H29" s="20" t="str">
        <f t="shared" si="1"/>
        <v/>
      </c>
      <c r="I29" s="19">
        <f t="shared" si="0"/>
        <v>0</v>
      </c>
    </row>
    <row r="30" spans="2:9" s="13" customFormat="1" ht="16" customHeight="1">
      <c r="B30" s="21"/>
      <c r="C30" s="361"/>
      <c r="D30" s="362"/>
      <c r="E30" s="21">
        <v>1</v>
      </c>
      <c r="F30" s="21"/>
      <c r="G30" s="21" t="s">
        <v>439</v>
      </c>
      <c r="H30" s="20" t="str">
        <f t="shared" si="1"/>
        <v/>
      </c>
      <c r="I30" s="19">
        <f t="shared" si="0"/>
        <v>0</v>
      </c>
    </row>
    <row r="31" spans="2:9" s="13" customFormat="1" ht="16" customHeight="1">
      <c r="B31" s="21"/>
      <c r="C31" s="361"/>
      <c r="D31" s="362"/>
      <c r="E31" s="21">
        <v>1</v>
      </c>
      <c r="F31" s="21"/>
      <c r="G31" s="21" t="s">
        <v>439</v>
      </c>
      <c r="H31" s="20" t="str">
        <f t="shared" si="1"/>
        <v/>
      </c>
      <c r="I31" s="19">
        <f t="shared" si="0"/>
        <v>0</v>
      </c>
    </row>
    <row r="32" spans="2:9" s="13" customFormat="1" ht="16" customHeight="1">
      <c r="B32" s="21"/>
      <c r="C32" s="361"/>
      <c r="D32" s="362"/>
      <c r="E32" s="21">
        <v>1</v>
      </c>
      <c r="F32" s="21"/>
      <c r="G32" s="21" t="s">
        <v>439</v>
      </c>
      <c r="H32" s="20" t="str">
        <f t="shared" si="1"/>
        <v/>
      </c>
      <c r="I32" s="19">
        <f t="shared" si="0"/>
        <v>0</v>
      </c>
    </row>
    <row r="33" spans="2:9" s="13" customFormat="1" ht="16" customHeight="1">
      <c r="B33" s="21"/>
      <c r="C33" s="361"/>
      <c r="D33" s="362"/>
      <c r="E33" s="21">
        <v>1</v>
      </c>
      <c r="F33" s="21"/>
      <c r="G33" s="21" t="s">
        <v>439</v>
      </c>
      <c r="H33" s="20" t="str">
        <f t="shared" si="1"/>
        <v/>
      </c>
      <c r="I33" s="19">
        <f t="shared" si="0"/>
        <v>0</v>
      </c>
    </row>
    <row r="34" spans="2:9" s="13" customFormat="1" ht="16" customHeight="1">
      <c r="B34" s="21"/>
      <c r="C34" s="361"/>
      <c r="D34" s="362"/>
      <c r="E34" s="21">
        <v>1</v>
      </c>
      <c r="F34" s="21"/>
      <c r="G34" s="21" t="s">
        <v>439</v>
      </c>
      <c r="H34" s="20" t="str">
        <f t="shared" si="1"/>
        <v/>
      </c>
      <c r="I34" s="19">
        <f t="shared" si="0"/>
        <v>0</v>
      </c>
    </row>
    <row r="35" spans="2:9" s="13" customFormat="1" ht="16" customHeight="1">
      <c r="B35" s="21"/>
      <c r="C35" s="361"/>
      <c r="D35" s="362"/>
      <c r="E35" s="21">
        <v>1</v>
      </c>
      <c r="F35" s="21"/>
      <c r="G35" s="21" t="s">
        <v>439</v>
      </c>
      <c r="H35" s="20" t="str">
        <f t="shared" si="1"/>
        <v/>
      </c>
      <c r="I35" s="19">
        <f t="shared" si="0"/>
        <v>0</v>
      </c>
    </row>
    <row r="36" spans="2:9" s="13" customFormat="1" ht="16" customHeight="1">
      <c r="B36" s="21"/>
      <c r="C36" s="361"/>
      <c r="D36" s="362"/>
      <c r="E36" s="21">
        <v>1</v>
      </c>
      <c r="F36" s="21"/>
      <c r="G36" s="21" t="s">
        <v>439</v>
      </c>
      <c r="H36" s="20" t="str">
        <f t="shared" si="1"/>
        <v/>
      </c>
      <c r="I36" s="19">
        <f t="shared" si="0"/>
        <v>0</v>
      </c>
    </row>
    <row r="37" spans="2:9" s="13" customFormat="1" ht="16" customHeight="1">
      <c r="B37" s="21"/>
      <c r="C37" s="361"/>
      <c r="D37" s="362"/>
      <c r="E37" s="21">
        <v>1</v>
      </c>
      <c r="F37" s="21"/>
      <c r="G37" s="21" t="s">
        <v>439</v>
      </c>
      <c r="H37" s="20" t="str">
        <f t="shared" si="1"/>
        <v/>
      </c>
      <c r="I37" s="19">
        <f t="shared" si="0"/>
        <v>0</v>
      </c>
    </row>
    <row r="38" spans="2:9" s="13" customFormat="1" ht="16" customHeight="1">
      <c r="B38" s="21"/>
      <c r="C38" s="361"/>
      <c r="D38" s="362"/>
      <c r="E38" s="21">
        <v>1</v>
      </c>
      <c r="F38" s="21"/>
      <c r="G38" s="21" t="s">
        <v>439</v>
      </c>
      <c r="H38" s="20" t="str">
        <f t="shared" si="1"/>
        <v/>
      </c>
      <c r="I38" s="19">
        <f t="shared" si="0"/>
        <v>0</v>
      </c>
    </row>
    <row r="39" spans="2:9" s="13" customFormat="1" ht="16" customHeight="1">
      <c r="B39" s="21"/>
      <c r="C39" s="361"/>
      <c r="D39" s="362"/>
      <c r="E39" s="21">
        <v>1</v>
      </c>
      <c r="F39" s="21"/>
      <c r="G39" s="21" t="s">
        <v>439</v>
      </c>
      <c r="H39" s="20" t="str">
        <f t="shared" si="1"/>
        <v/>
      </c>
      <c r="I39" s="19">
        <f t="shared" si="0"/>
        <v>0</v>
      </c>
    </row>
    <row r="40" spans="2:9" s="13" customFormat="1" ht="16" customHeight="1">
      <c r="B40" s="21"/>
      <c r="C40" s="361"/>
      <c r="D40" s="362"/>
      <c r="E40" s="21">
        <v>1</v>
      </c>
      <c r="F40" s="21"/>
      <c r="G40" s="21" t="s">
        <v>439</v>
      </c>
      <c r="H40" s="20" t="str">
        <f t="shared" si="1"/>
        <v/>
      </c>
      <c r="I40" s="19">
        <f t="shared" si="0"/>
        <v>0</v>
      </c>
    </row>
    <row r="41" spans="2:9" s="13" customFormat="1" ht="16" customHeight="1">
      <c r="B41" s="21"/>
      <c r="C41" s="361"/>
      <c r="D41" s="362"/>
      <c r="E41" s="21">
        <v>1</v>
      </c>
      <c r="F41" s="21"/>
      <c r="G41" s="21" t="s">
        <v>439</v>
      </c>
      <c r="H41" s="20" t="str">
        <f t="shared" si="1"/>
        <v/>
      </c>
      <c r="I41" s="19">
        <f t="shared" si="0"/>
        <v>0</v>
      </c>
    </row>
    <row r="42" spans="2:9" s="13" customFormat="1" ht="16" customHeight="1">
      <c r="B42" s="15"/>
      <c r="C42" s="15"/>
      <c r="D42" s="15"/>
      <c r="E42" s="15"/>
      <c r="F42" s="15"/>
      <c r="G42" s="7"/>
      <c r="H42" s="7"/>
      <c r="I42" s="18"/>
    </row>
    <row r="43" spans="2:9" s="13" customFormat="1" ht="16" customHeight="1">
      <c r="B43" s="15"/>
      <c r="C43" s="15"/>
      <c r="D43" s="15"/>
      <c r="E43" s="15"/>
      <c r="F43" s="15"/>
      <c r="G43" s="7" t="s">
        <v>2</v>
      </c>
      <c r="H43" s="7"/>
      <c r="I43" s="17">
        <f>SUM(I25:I41)</f>
        <v>0</v>
      </c>
    </row>
    <row r="44" spans="2:9" s="13" customFormat="1" ht="16" customHeight="1">
      <c r="B44" s="15"/>
      <c r="C44" s="15"/>
      <c r="D44" s="15"/>
      <c r="E44" s="15"/>
      <c r="F44" s="15"/>
      <c r="G44" s="7"/>
      <c r="H44" s="7"/>
      <c r="I44" s="16"/>
    </row>
    <row r="45" spans="2:9" s="13" customFormat="1" ht="16" customHeight="1">
      <c r="B45" s="15"/>
      <c r="C45" s="15"/>
      <c r="D45" s="15"/>
      <c r="E45" s="15"/>
      <c r="F45" s="15"/>
      <c r="G45" s="7"/>
      <c r="H45" s="7"/>
      <c r="I45" s="14"/>
    </row>
    <row r="46" spans="2:9" ht="16" customHeight="1">
      <c r="E46" s="12"/>
      <c r="F46" s="12"/>
      <c r="G46" s="11"/>
      <c r="H46" s="11"/>
      <c r="I46" s="11"/>
    </row>
    <row r="47" spans="2:9" ht="16" customHeight="1">
      <c r="C47" s="10"/>
      <c r="D47" s="10"/>
      <c r="E47" s="9"/>
      <c r="F47" s="8"/>
      <c r="G47" s="7" t="s">
        <v>1</v>
      </c>
      <c r="H47" s="4"/>
      <c r="I47" s="6"/>
    </row>
    <row r="48" spans="2:9" ht="16" customHeight="1">
      <c r="C48" s="368"/>
      <c r="D48" s="368"/>
      <c r="E48" s="2"/>
      <c r="F48" s="4"/>
      <c r="G48" s="7" t="s">
        <v>448</v>
      </c>
      <c r="H48" s="4"/>
      <c r="I48" s="162">
        <f>SUM(I43:I47)</f>
        <v>0</v>
      </c>
    </row>
    <row r="49" spans="2:9" ht="16" customHeight="1">
      <c r="E49" s="4"/>
      <c r="F49" s="4"/>
      <c r="G49" s="4"/>
      <c r="H49" s="4"/>
      <c r="I49" s="4"/>
    </row>
    <row r="50" spans="2:9" ht="16" customHeight="1">
      <c r="C50" s="5"/>
      <c r="D50" s="5"/>
      <c r="E50" s="5"/>
      <c r="F50" s="5"/>
      <c r="G50" s="4"/>
      <c r="H50" s="4"/>
      <c r="I50" s="4"/>
    </row>
    <row r="51" spans="2:9" ht="16" customHeight="1">
      <c r="C51" s="368"/>
      <c r="D51" s="368"/>
      <c r="E51" s="368"/>
      <c r="F51" s="368"/>
      <c r="G51" s="3"/>
      <c r="H51" s="3"/>
      <c r="I51" s="2"/>
    </row>
    <row r="52" spans="2:9" ht="10.5" customHeight="1"/>
    <row r="53" spans="2:9">
      <c r="B53" s="369" t="s">
        <v>0</v>
      </c>
      <c r="C53" s="369"/>
      <c r="D53" s="369"/>
      <c r="E53" s="369"/>
      <c r="F53" s="369"/>
      <c r="G53" s="369"/>
      <c r="H53" s="369"/>
      <c r="I53" s="369"/>
    </row>
  </sheetData>
  <sheetProtection formatCells="0" formatColumns="0" formatRows="0" insertColumns="0" insertRows="0" deleteRows="0" selectLockedCells="1"/>
  <mergeCells count="53">
    <mergeCell ref="J3:K3"/>
    <mergeCell ref="C1:F1"/>
    <mergeCell ref="G1:I1"/>
    <mergeCell ref="B2:C2"/>
    <mergeCell ref="D2:G2"/>
    <mergeCell ref="G3:I3"/>
    <mergeCell ref="C12:D12"/>
    <mergeCell ref="B4:G4"/>
    <mergeCell ref="B5:C5"/>
    <mergeCell ref="E5:H6"/>
    <mergeCell ref="B6:C6"/>
    <mergeCell ref="B7:C7"/>
    <mergeCell ref="D7:E7"/>
    <mergeCell ref="C9:D9"/>
    <mergeCell ref="F9:I9"/>
    <mergeCell ref="C10:D10"/>
    <mergeCell ref="F10:I10"/>
    <mergeCell ref="C11:D11"/>
    <mergeCell ref="I21:I22"/>
    <mergeCell ref="C13:D13"/>
    <mergeCell ref="F13:I13"/>
    <mergeCell ref="C14:D14"/>
    <mergeCell ref="F14:I14"/>
    <mergeCell ref="G16:I16"/>
    <mergeCell ref="C17:E17"/>
    <mergeCell ref="F17:I17"/>
    <mergeCell ref="C21:C22"/>
    <mergeCell ref="D21:D22"/>
    <mergeCell ref="E21:E22"/>
    <mergeCell ref="F21:F22"/>
    <mergeCell ref="G21:G22"/>
    <mergeCell ref="C35:D35"/>
    <mergeCell ref="B24:I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51:D51"/>
    <mergeCell ref="E51:F51"/>
    <mergeCell ref="B53:I53"/>
    <mergeCell ref="C36:D36"/>
    <mergeCell ref="C37:D37"/>
    <mergeCell ref="C38:D38"/>
    <mergeCell ref="C39:D39"/>
    <mergeCell ref="C40:D40"/>
    <mergeCell ref="C41:D41"/>
  </mergeCells>
  <printOptions horizontalCentered="1"/>
  <pageMargins left="0.75" right="0.75" top="0.5" bottom="0.5" header="0.5" footer="0.5"/>
  <pageSetup scale="7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146</vt:i4>
      </vt:variant>
      <vt:variant>
        <vt:lpstr>Named Ranges</vt:lpstr>
      </vt:variant>
      <vt:variant>
        <vt:i4>716</vt:i4>
      </vt:variant>
    </vt:vector>
  </HeadingPairs>
  <TitlesOfParts>
    <vt:vector size="862" baseType="lpstr">
      <vt:lpstr>PO DATA</vt:lpstr>
      <vt:lpstr>Line No</vt:lpstr>
      <vt:lpstr>Scrap</vt:lpstr>
      <vt:lpstr>PO Log</vt:lpstr>
      <vt:lpstr>TEMPLATE-SHEET</vt:lpstr>
      <vt:lpstr>2403-001</vt:lpstr>
      <vt:lpstr>2403-002</vt:lpstr>
      <vt:lpstr>2403-003</vt:lpstr>
      <vt:lpstr>2403-004</vt:lpstr>
      <vt:lpstr>2403-005</vt:lpstr>
      <vt:lpstr>2403-006</vt:lpstr>
      <vt:lpstr>2403-007</vt:lpstr>
      <vt:lpstr>2403-008</vt:lpstr>
      <vt:lpstr>2403-009</vt:lpstr>
      <vt:lpstr>2403-010</vt:lpstr>
      <vt:lpstr>2403-011</vt:lpstr>
      <vt:lpstr>2403-012</vt:lpstr>
      <vt:lpstr>2403-013</vt:lpstr>
      <vt:lpstr>2403-014</vt:lpstr>
      <vt:lpstr>2403-015</vt:lpstr>
      <vt:lpstr>2403-016</vt:lpstr>
      <vt:lpstr>2403-017</vt:lpstr>
      <vt:lpstr>2403-018</vt:lpstr>
      <vt:lpstr>2403-019</vt:lpstr>
      <vt:lpstr>2403-020</vt:lpstr>
      <vt:lpstr>2403-021</vt:lpstr>
      <vt:lpstr>2403-022</vt:lpstr>
      <vt:lpstr>2403-023</vt:lpstr>
      <vt:lpstr>2403-024</vt:lpstr>
      <vt:lpstr>2403-025</vt:lpstr>
      <vt:lpstr>2403-026</vt:lpstr>
      <vt:lpstr>2403-027</vt:lpstr>
      <vt:lpstr>2403-028</vt:lpstr>
      <vt:lpstr>2403-029</vt:lpstr>
      <vt:lpstr>2403-030</vt:lpstr>
      <vt:lpstr>2403-031</vt:lpstr>
      <vt:lpstr>2403-032</vt:lpstr>
      <vt:lpstr>2403-033</vt:lpstr>
      <vt:lpstr>2403-034</vt:lpstr>
      <vt:lpstr>2403-035</vt:lpstr>
      <vt:lpstr>2403-036</vt:lpstr>
      <vt:lpstr>2403-037</vt:lpstr>
      <vt:lpstr>2403-038</vt:lpstr>
      <vt:lpstr>2403-039</vt:lpstr>
      <vt:lpstr>2403-040</vt:lpstr>
      <vt:lpstr>2403-041</vt:lpstr>
      <vt:lpstr>2403-042</vt:lpstr>
      <vt:lpstr>2403-043</vt:lpstr>
      <vt:lpstr>2403-044</vt:lpstr>
      <vt:lpstr>2403-045</vt:lpstr>
      <vt:lpstr>2403-046</vt:lpstr>
      <vt:lpstr>2403-047</vt:lpstr>
      <vt:lpstr>2403-048</vt:lpstr>
      <vt:lpstr>2403-049</vt:lpstr>
      <vt:lpstr>2403-050</vt:lpstr>
      <vt:lpstr>2403-051</vt:lpstr>
      <vt:lpstr>2403-052</vt:lpstr>
      <vt:lpstr>2403-053</vt:lpstr>
      <vt:lpstr>2403-054</vt:lpstr>
      <vt:lpstr>2403-055</vt:lpstr>
      <vt:lpstr>2403-056</vt:lpstr>
      <vt:lpstr>2403-057</vt:lpstr>
      <vt:lpstr>2403-058</vt:lpstr>
      <vt:lpstr>2403-059</vt:lpstr>
      <vt:lpstr>2403-060</vt:lpstr>
      <vt:lpstr>2403-061</vt:lpstr>
      <vt:lpstr>2403-062</vt:lpstr>
      <vt:lpstr>2403-063</vt:lpstr>
      <vt:lpstr>2403-064</vt:lpstr>
      <vt:lpstr>2403-065</vt:lpstr>
      <vt:lpstr>2403-066</vt:lpstr>
      <vt:lpstr>2403-067</vt:lpstr>
      <vt:lpstr>2403-068</vt:lpstr>
      <vt:lpstr>2403-069</vt:lpstr>
      <vt:lpstr>2403-070</vt:lpstr>
      <vt:lpstr>2403-071</vt:lpstr>
      <vt:lpstr>2403-072</vt:lpstr>
      <vt:lpstr>2403-073</vt:lpstr>
      <vt:lpstr>2403-074</vt:lpstr>
      <vt:lpstr>2403-075</vt:lpstr>
      <vt:lpstr>2403-076</vt:lpstr>
      <vt:lpstr>2403-077</vt:lpstr>
      <vt:lpstr>2403-078</vt:lpstr>
      <vt:lpstr>2403-079</vt:lpstr>
      <vt:lpstr>2403-080</vt:lpstr>
      <vt:lpstr>2403-081</vt:lpstr>
      <vt:lpstr>2403-082</vt:lpstr>
      <vt:lpstr>2403-083</vt:lpstr>
      <vt:lpstr>2403-084</vt:lpstr>
      <vt:lpstr>2403-085</vt:lpstr>
      <vt:lpstr>2403-086</vt:lpstr>
      <vt:lpstr>2403-087</vt:lpstr>
      <vt:lpstr>2403-088</vt:lpstr>
      <vt:lpstr>2403-089</vt:lpstr>
      <vt:lpstr>2403-090</vt:lpstr>
      <vt:lpstr>2403-091</vt:lpstr>
      <vt:lpstr>2403-092</vt:lpstr>
      <vt:lpstr>2403-093</vt:lpstr>
      <vt:lpstr>2403-094</vt:lpstr>
      <vt:lpstr>2403-095</vt:lpstr>
      <vt:lpstr>2403-096</vt:lpstr>
      <vt:lpstr>2403-097</vt:lpstr>
      <vt:lpstr>2403-098</vt:lpstr>
      <vt:lpstr>2403-099</vt:lpstr>
      <vt:lpstr>2403-100</vt:lpstr>
      <vt:lpstr>2403-101</vt:lpstr>
      <vt:lpstr>2403-102</vt:lpstr>
      <vt:lpstr>2403-103</vt:lpstr>
      <vt:lpstr>2403-104</vt:lpstr>
      <vt:lpstr>2403-105</vt:lpstr>
      <vt:lpstr>2403-106</vt:lpstr>
      <vt:lpstr>2403-107</vt:lpstr>
      <vt:lpstr>2403-108</vt:lpstr>
      <vt:lpstr>2403-109</vt:lpstr>
      <vt:lpstr>2403-110</vt:lpstr>
      <vt:lpstr>2403-111</vt:lpstr>
      <vt:lpstr>2403-112</vt:lpstr>
      <vt:lpstr>2403-113</vt:lpstr>
      <vt:lpstr>2403-114</vt:lpstr>
      <vt:lpstr>2403-115</vt:lpstr>
      <vt:lpstr>2403-116</vt:lpstr>
      <vt:lpstr>2403-117</vt:lpstr>
      <vt:lpstr>2403-118</vt:lpstr>
      <vt:lpstr>2403-119</vt:lpstr>
      <vt:lpstr>2403-120</vt:lpstr>
      <vt:lpstr>2403-121</vt:lpstr>
      <vt:lpstr>2403-122</vt:lpstr>
      <vt:lpstr>2403-123</vt:lpstr>
      <vt:lpstr>2403-124</vt:lpstr>
      <vt:lpstr>2403-125</vt:lpstr>
      <vt:lpstr>2403-126</vt:lpstr>
      <vt:lpstr>2403-127</vt:lpstr>
      <vt:lpstr>2403-128</vt:lpstr>
      <vt:lpstr>2403-129</vt:lpstr>
      <vt:lpstr>2403-130</vt:lpstr>
      <vt:lpstr>2403-131</vt:lpstr>
      <vt:lpstr>2403-132</vt:lpstr>
      <vt:lpstr>2403-133</vt:lpstr>
      <vt:lpstr>2403-134</vt:lpstr>
      <vt:lpstr>2403-135</vt:lpstr>
      <vt:lpstr>2403-136</vt:lpstr>
      <vt:lpstr>2403-137</vt:lpstr>
      <vt:lpstr>2403-138</vt:lpstr>
      <vt:lpstr>2403-139</vt:lpstr>
      <vt:lpstr>2403-140</vt:lpstr>
      <vt:lpstr>2403-141</vt:lpstr>
      <vt:lpstr>End</vt:lpstr>
      <vt:lpstr>Job_Name</vt:lpstr>
      <vt:lpstr>Job_Number</vt:lpstr>
      <vt:lpstr>'2403-001'!PAY_ID</vt:lpstr>
      <vt:lpstr>'2403-002'!PAY_ID</vt:lpstr>
      <vt:lpstr>'2403-003'!PAY_ID</vt:lpstr>
      <vt:lpstr>'2403-004'!PAY_ID</vt:lpstr>
      <vt:lpstr>'2403-005'!PAY_ID</vt:lpstr>
      <vt:lpstr>'2403-006'!PAY_ID</vt:lpstr>
      <vt:lpstr>'2403-007'!PAY_ID</vt:lpstr>
      <vt:lpstr>'2403-008'!PAY_ID</vt:lpstr>
      <vt:lpstr>'2403-009'!PAY_ID</vt:lpstr>
      <vt:lpstr>'2403-010'!PAY_ID</vt:lpstr>
      <vt:lpstr>'2403-011'!PAY_ID</vt:lpstr>
      <vt:lpstr>'2403-012'!PAY_ID</vt:lpstr>
      <vt:lpstr>'2403-013'!PAY_ID</vt:lpstr>
      <vt:lpstr>'2403-014'!PAY_ID</vt:lpstr>
      <vt:lpstr>'2403-015'!PAY_ID</vt:lpstr>
      <vt:lpstr>'2403-016'!PAY_ID</vt:lpstr>
      <vt:lpstr>'2403-017'!PAY_ID</vt:lpstr>
      <vt:lpstr>'2403-018'!PAY_ID</vt:lpstr>
      <vt:lpstr>'2403-019'!PAY_ID</vt:lpstr>
      <vt:lpstr>'2403-020'!PAY_ID</vt:lpstr>
      <vt:lpstr>'2403-021'!PAY_ID</vt:lpstr>
      <vt:lpstr>'2403-022'!PAY_ID</vt:lpstr>
      <vt:lpstr>'2403-023'!PAY_ID</vt:lpstr>
      <vt:lpstr>'2403-024'!PAY_ID</vt:lpstr>
      <vt:lpstr>'2403-025'!PAY_ID</vt:lpstr>
      <vt:lpstr>'2403-026'!PAY_ID</vt:lpstr>
      <vt:lpstr>'2403-027'!PAY_ID</vt:lpstr>
      <vt:lpstr>'2403-028'!PAY_ID</vt:lpstr>
      <vt:lpstr>'2403-029'!PAY_ID</vt:lpstr>
      <vt:lpstr>'2403-030'!PAY_ID</vt:lpstr>
      <vt:lpstr>'2403-031'!PAY_ID</vt:lpstr>
      <vt:lpstr>'2403-032'!PAY_ID</vt:lpstr>
      <vt:lpstr>'2403-033'!PAY_ID</vt:lpstr>
      <vt:lpstr>'2403-034'!PAY_ID</vt:lpstr>
      <vt:lpstr>'2403-035'!PAY_ID</vt:lpstr>
      <vt:lpstr>'2403-036'!PAY_ID</vt:lpstr>
      <vt:lpstr>'2403-037'!PAY_ID</vt:lpstr>
      <vt:lpstr>'2403-038'!PAY_ID</vt:lpstr>
      <vt:lpstr>'2403-039'!PAY_ID</vt:lpstr>
      <vt:lpstr>'2403-040'!PAY_ID</vt:lpstr>
      <vt:lpstr>'2403-041'!PAY_ID</vt:lpstr>
      <vt:lpstr>'2403-042'!PAY_ID</vt:lpstr>
      <vt:lpstr>'2403-043'!PAY_ID</vt:lpstr>
      <vt:lpstr>'2403-044'!PAY_ID</vt:lpstr>
      <vt:lpstr>'2403-045'!PAY_ID</vt:lpstr>
      <vt:lpstr>'2403-046'!PAY_ID</vt:lpstr>
      <vt:lpstr>'2403-047'!PAY_ID</vt:lpstr>
      <vt:lpstr>'2403-048'!PAY_ID</vt:lpstr>
      <vt:lpstr>'2403-049'!PAY_ID</vt:lpstr>
      <vt:lpstr>'2403-050'!PAY_ID</vt:lpstr>
      <vt:lpstr>'2403-051'!PAY_ID</vt:lpstr>
      <vt:lpstr>'2403-052'!PAY_ID</vt:lpstr>
      <vt:lpstr>'2403-053'!PAY_ID</vt:lpstr>
      <vt:lpstr>'2403-054'!PAY_ID</vt:lpstr>
      <vt:lpstr>'2403-055'!PAY_ID</vt:lpstr>
      <vt:lpstr>'2403-056'!PAY_ID</vt:lpstr>
      <vt:lpstr>'2403-057'!PAY_ID</vt:lpstr>
      <vt:lpstr>'2403-058'!PAY_ID</vt:lpstr>
      <vt:lpstr>'2403-059'!PAY_ID</vt:lpstr>
      <vt:lpstr>'2403-060'!PAY_ID</vt:lpstr>
      <vt:lpstr>'2403-061'!PAY_ID</vt:lpstr>
      <vt:lpstr>'2403-062'!PAY_ID</vt:lpstr>
      <vt:lpstr>'2403-063'!PAY_ID</vt:lpstr>
      <vt:lpstr>'2403-064'!PAY_ID</vt:lpstr>
      <vt:lpstr>'2403-065'!PAY_ID</vt:lpstr>
      <vt:lpstr>'2403-066'!PAY_ID</vt:lpstr>
      <vt:lpstr>'2403-067'!PAY_ID</vt:lpstr>
      <vt:lpstr>'2403-068'!PAY_ID</vt:lpstr>
      <vt:lpstr>'2403-069'!PAY_ID</vt:lpstr>
      <vt:lpstr>'2403-070'!PAY_ID</vt:lpstr>
      <vt:lpstr>'2403-071'!PAY_ID</vt:lpstr>
      <vt:lpstr>'2403-072'!PAY_ID</vt:lpstr>
      <vt:lpstr>'2403-073'!PAY_ID</vt:lpstr>
      <vt:lpstr>'2403-074'!PAY_ID</vt:lpstr>
      <vt:lpstr>'2403-075'!PAY_ID</vt:lpstr>
      <vt:lpstr>'2403-076'!PAY_ID</vt:lpstr>
      <vt:lpstr>'2403-077'!PAY_ID</vt:lpstr>
      <vt:lpstr>'2403-078'!PAY_ID</vt:lpstr>
      <vt:lpstr>'2403-079'!PAY_ID</vt:lpstr>
      <vt:lpstr>'2403-080'!PAY_ID</vt:lpstr>
      <vt:lpstr>'2403-081'!PAY_ID</vt:lpstr>
      <vt:lpstr>'2403-082'!PAY_ID</vt:lpstr>
      <vt:lpstr>'2403-083'!PAY_ID</vt:lpstr>
      <vt:lpstr>'2403-084'!PAY_ID</vt:lpstr>
      <vt:lpstr>'2403-085'!PAY_ID</vt:lpstr>
      <vt:lpstr>'2403-086'!PAY_ID</vt:lpstr>
      <vt:lpstr>'2403-087'!PAY_ID</vt:lpstr>
      <vt:lpstr>'2403-088'!PAY_ID</vt:lpstr>
      <vt:lpstr>'2403-089'!PAY_ID</vt:lpstr>
      <vt:lpstr>'2403-090'!PAY_ID</vt:lpstr>
      <vt:lpstr>'2403-091'!PAY_ID</vt:lpstr>
      <vt:lpstr>'2403-092'!PAY_ID</vt:lpstr>
      <vt:lpstr>'2403-093'!PAY_ID</vt:lpstr>
      <vt:lpstr>'2403-094'!PAY_ID</vt:lpstr>
      <vt:lpstr>'2403-095'!PAY_ID</vt:lpstr>
      <vt:lpstr>'2403-096'!PAY_ID</vt:lpstr>
      <vt:lpstr>'2403-097'!PAY_ID</vt:lpstr>
      <vt:lpstr>'2403-098'!PAY_ID</vt:lpstr>
      <vt:lpstr>'2403-099'!PAY_ID</vt:lpstr>
      <vt:lpstr>'2403-100'!PAY_ID</vt:lpstr>
      <vt:lpstr>'2403-101'!PAY_ID</vt:lpstr>
      <vt:lpstr>'2403-102'!PAY_ID</vt:lpstr>
      <vt:lpstr>'2403-103'!PAY_ID</vt:lpstr>
      <vt:lpstr>'2403-104'!PAY_ID</vt:lpstr>
      <vt:lpstr>'2403-105'!PAY_ID</vt:lpstr>
      <vt:lpstr>'2403-106'!PAY_ID</vt:lpstr>
      <vt:lpstr>'2403-107'!PAY_ID</vt:lpstr>
      <vt:lpstr>'2403-108'!PAY_ID</vt:lpstr>
      <vt:lpstr>'2403-109'!PAY_ID</vt:lpstr>
      <vt:lpstr>'2403-110'!PAY_ID</vt:lpstr>
      <vt:lpstr>'2403-111'!PAY_ID</vt:lpstr>
      <vt:lpstr>'2403-112'!PAY_ID</vt:lpstr>
      <vt:lpstr>'2403-113'!PAY_ID</vt:lpstr>
      <vt:lpstr>'2403-114'!PAY_ID</vt:lpstr>
      <vt:lpstr>'2403-115'!PAY_ID</vt:lpstr>
      <vt:lpstr>'2403-116'!PAY_ID</vt:lpstr>
      <vt:lpstr>'2403-117'!PAY_ID</vt:lpstr>
      <vt:lpstr>'2403-118'!PAY_ID</vt:lpstr>
      <vt:lpstr>'2403-119'!PAY_ID</vt:lpstr>
      <vt:lpstr>'2403-120'!PAY_ID</vt:lpstr>
      <vt:lpstr>'2403-121'!PAY_ID</vt:lpstr>
      <vt:lpstr>'2403-122'!PAY_ID</vt:lpstr>
      <vt:lpstr>'2403-123'!PAY_ID</vt:lpstr>
      <vt:lpstr>'2403-124'!PAY_ID</vt:lpstr>
      <vt:lpstr>'2403-125'!PAY_ID</vt:lpstr>
      <vt:lpstr>'2403-126'!PAY_ID</vt:lpstr>
      <vt:lpstr>'2403-127'!PAY_ID</vt:lpstr>
      <vt:lpstr>'2403-128'!PAY_ID</vt:lpstr>
      <vt:lpstr>'2403-129'!PAY_ID</vt:lpstr>
      <vt:lpstr>'2403-130'!PAY_ID</vt:lpstr>
      <vt:lpstr>'2403-131'!PAY_ID</vt:lpstr>
      <vt:lpstr>'2403-132'!PAY_ID</vt:lpstr>
      <vt:lpstr>'2403-133'!PAY_ID</vt:lpstr>
      <vt:lpstr>'2403-134'!PAY_ID</vt:lpstr>
      <vt:lpstr>'2403-135'!PAY_ID</vt:lpstr>
      <vt:lpstr>'2403-136'!PAY_ID</vt:lpstr>
      <vt:lpstr>'2403-137'!PAY_ID</vt:lpstr>
      <vt:lpstr>'2403-138'!PAY_ID</vt:lpstr>
      <vt:lpstr>'2403-139'!PAY_ID</vt:lpstr>
      <vt:lpstr>'2403-140'!PAY_ID</vt:lpstr>
      <vt:lpstr>'2403-141'!PAY_ID</vt:lpstr>
      <vt:lpstr>PAY_ID</vt:lpstr>
      <vt:lpstr>'2403-001'!PO_LOG_name</vt:lpstr>
      <vt:lpstr>'2403-002'!PO_LOG_name</vt:lpstr>
      <vt:lpstr>'2403-003'!PO_LOG_name</vt:lpstr>
      <vt:lpstr>'2403-004'!PO_LOG_name</vt:lpstr>
      <vt:lpstr>'2403-005'!PO_LOG_name</vt:lpstr>
      <vt:lpstr>'2403-006'!PO_LOG_name</vt:lpstr>
      <vt:lpstr>'2403-007'!PO_LOG_name</vt:lpstr>
      <vt:lpstr>'2403-008'!PO_LOG_name</vt:lpstr>
      <vt:lpstr>'2403-009'!PO_LOG_name</vt:lpstr>
      <vt:lpstr>'2403-010'!PO_LOG_name</vt:lpstr>
      <vt:lpstr>'2403-011'!PO_LOG_name</vt:lpstr>
      <vt:lpstr>'2403-012'!PO_LOG_name</vt:lpstr>
      <vt:lpstr>'2403-013'!PO_LOG_name</vt:lpstr>
      <vt:lpstr>'2403-014'!PO_LOG_name</vt:lpstr>
      <vt:lpstr>'2403-015'!PO_LOG_name</vt:lpstr>
      <vt:lpstr>'2403-016'!PO_LOG_name</vt:lpstr>
      <vt:lpstr>'2403-017'!PO_LOG_name</vt:lpstr>
      <vt:lpstr>'2403-018'!PO_LOG_name</vt:lpstr>
      <vt:lpstr>'2403-019'!PO_LOG_name</vt:lpstr>
      <vt:lpstr>'2403-020'!PO_LOG_name</vt:lpstr>
      <vt:lpstr>'2403-021'!PO_LOG_name</vt:lpstr>
      <vt:lpstr>'2403-022'!PO_LOG_name</vt:lpstr>
      <vt:lpstr>'2403-023'!PO_LOG_name</vt:lpstr>
      <vt:lpstr>'2403-024'!PO_LOG_name</vt:lpstr>
      <vt:lpstr>'2403-025'!PO_LOG_name</vt:lpstr>
      <vt:lpstr>'2403-026'!PO_LOG_name</vt:lpstr>
      <vt:lpstr>'2403-027'!PO_LOG_name</vt:lpstr>
      <vt:lpstr>'2403-028'!PO_LOG_name</vt:lpstr>
      <vt:lpstr>'2403-029'!PO_LOG_name</vt:lpstr>
      <vt:lpstr>'2403-030'!PO_LOG_name</vt:lpstr>
      <vt:lpstr>'2403-031'!PO_LOG_name</vt:lpstr>
      <vt:lpstr>'2403-032'!PO_LOG_name</vt:lpstr>
      <vt:lpstr>'2403-033'!PO_LOG_name</vt:lpstr>
      <vt:lpstr>'2403-034'!PO_LOG_name</vt:lpstr>
      <vt:lpstr>'2403-035'!PO_LOG_name</vt:lpstr>
      <vt:lpstr>'2403-036'!PO_LOG_name</vt:lpstr>
      <vt:lpstr>'2403-037'!PO_LOG_name</vt:lpstr>
      <vt:lpstr>'2403-038'!PO_LOG_name</vt:lpstr>
      <vt:lpstr>'2403-039'!PO_LOG_name</vt:lpstr>
      <vt:lpstr>'2403-040'!PO_LOG_name</vt:lpstr>
      <vt:lpstr>'2403-041'!PO_LOG_name</vt:lpstr>
      <vt:lpstr>'2403-042'!PO_LOG_name</vt:lpstr>
      <vt:lpstr>'2403-043'!PO_LOG_name</vt:lpstr>
      <vt:lpstr>'2403-044'!PO_LOG_name</vt:lpstr>
      <vt:lpstr>'2403-045'!PO_LOG_name</vt:lpstr>
      <vt:lpstr>'2403-046'!PO_LOG_name</vt:lpstr>
      <vt:lpstr>'2403-047'!PO_LOG_name</vt:lpstr>
      <vt:lpstr>'2403-048'!PO_LOG_name</vt:lpstr>
      <vt:lpstr>'2403-049'!PO_LOG_name</vt:lpstr>
      <vt:lpstr>'2403-050'!PO_LOG_name</vt:lpstr>
      <vt:lpstr>'2403-051'!PO_LOG_name</vt:lpstr>
      <vt:lpstr>'2403-052'!PO_LOG_name</vt:lpstr>
      <vt:lpstr>'2403-053'!PO_LOG_name</vt:lpstr>
      <vt:lpstr>'2403-054'!PO_LOG_name</vt:lpstr>
      <vt:lpstr>'2403-055'!PO_LOG_name</vt:lpstr>
      <vt:lpstr>'2403-056'!PO_LOG_name</vt:lpstr>
      <vt:lpstr>'2403-057'!PO_LOG_name</vt:lpstr>
      <vt:lpstr>'2403-058'!PO_LOG_name</vt:lpstr>
      <vt:lpstr>'2403-059'!PO_LOG_name</vt:lpstr>
      <vt:lpstr>'2403-060'!PO_LOG_name</vt:lpstr>
      <vt:lpstr>'2403-061'!PO_LOG_name</vt:lpstr>
      <vt:lpstr>'2403-062'!PO_LOG_name</vt:lpstr>
      <vt:lpstr>'2403-063'!PO_LOG_name</vt:lpstr>
      <vt:lpstr>'2403-064'!PO_LOG_name</vt:lpstr>
      <vt:lpstr>'2403-065'!PO_LOG_name</vt:lpstr>
      <vt:lpstr>'2403-066'!PO_LOG_name</vt:lpstr>
      <vt:lpstr>'2403-067'!PO_LOG_name</vt:lpstr>
      <vt:lpstr>'2403-068'!PO_LOG_name</vt:lpstr>
      <vt:lpstr>'2403-069'!PO_LOG_name</vt:lpstr>
      <vt:lpstr>'2403-070'!PO_LOG_name</vt:lpstr>
      <vt:lpstr>'2403-071'!PO_LOG_name</vt:lpstr>
      <vt:lpstr>'2403-072'!PO_LOG_name</vt:lpstr>
      <vt:lpstr>'2403-073'!PO_LOG_name</vt:lpstr>
      <vt:lpstr>'2403-074'!PO_LOG_name</vt:lpstr>
      <vt:lpstr>'2403-075'!PO_LOG_name</vt:lpstr>
      <vt:lpstr>'2403-076'!PO_LOG_name</vt:lpstr>
      <vt:lpstr>'2403-077'!PO_LOG_name</vt:lpstr>
      <vt:lpstr>'2403-078'!PO_LOG_name</vt:lpstr>
      <vt:lpstr>'2403-079'!PO_LOG_name</vt:lpstr>
      <vt:lpstr>'2403-080'!PO_LOG_name</vt:lpstr>
      <vt:lpstr>'2403-081'!PO_LOG_name</vt:lpstr>
      <vt:lpstr>'2403-082'!PO_LOG_name</vt:lpstr>
      <vt:lpstr>'2403-083'!PO_LOG_name</vt:lpstr>
      <vt:lpstr>'2403-084'!PO_LOG_name</vt:lpstr>
      <vt:lpstr>'2403-085'!PO_LOG_name</vt:lpstr>
      <vt:lpstr>'2403-086'!PO_LOG_name</vt:lpstr>
      <vt:lpstr>'2403-087'!PO_LOG_name</vt:lpstr>
      <vt:lpstr>'2403-088'!PO_LOG_name</vt:lpstr>
      <vt:lpstr>'2403-089'!PO_LOG_name</vt:lpstr>
      <vt:lpstr>'2403-090'!PO_LOG_name</vt:lpstr>
      <vt:lpstr>'2403-091'!PO_LOG_name</vt:lpstr>
      <vt:lpstr>'2403-092'!PO_LOG_name</vt:lpstr>
      <vt:lpstr>'2403-093'!PO_LOG_name</vt:lpstr>
      <vt:lpstr>'2403-094'!PO_LOG_name</vt:lpstr>
      <vt:lpstr>'2403-095'!PO_LOG_name</vt:lpstr>
      <vt:lpstr>'2403-096'!PO_LOG_name</vt:lpstr>
      <vt:lpstr>'2403-097'!PO_LOG_name</vt:lpstr>
      <vt:lpstr>'2403-098'!PO_LOG_name</vt:lpstr>
      <vt:lpstr>'2403-099'!PO_LOG_name</vt:lpstr>
      <vt:lpstr>'2403-100'!PO_LOG_name</vt:lpstr>
      <vt:lpstr>'2403-101'!PO_LOG_name</vt:lpstr>
      <vt:lpstr>'2403-102'!PO_LOG_name</vt:lpstr>
      <vt:lpstr>'2403-103'!PO_LOG_name</vt:lpstr>
      <vt:lpstr>'2403-104'!PO_LOG_name</vt:lpstr>
      <vt:lpstr>'2403-105'!PO_LOG_name</vt:lpstr>
      <vt:lpstr>'2403-106'!PO_LOG_name</vt:lpstr>
      <vt:lpstr>'2403-107'!PO_LOG_name</vt:lpstr>
      <vt:lpstr>'2403-108'!PO_LOG_name</vt:lpstr>
      <vt:lpstr>'2403-109'!PO_LOG_name</vt:lpstr>
      <vt:lpstr>'2403-110'!PO_LOG_name</vt:lpstr>
      <vt:lpstr>'2403-111'!PO_LOG_name</vt:lpstr>
      <vt:lpstr>'2403-112'!PO_LOG_name</vt:lpstr>
      <vt:lpstr>'2403-113'!PO_LOG_name</vt:lpstr>
      <vt:lpstr>'2403-114'!PO_LOG_name</vt:lpstr>
      <vt:lpstr>'2403-115'!PO_LOG_name</vt:lpstr>
      <vt:lpstr>'2403-116'!PO_LOG_name</vt:lpstr>
      <vt:lpstr>'2403-117'!PO_LOG_name</vt:lpstr>
      <vt:lpstr>'2403-118'!PO_LOG_name</vt:lpstr>
      <vt:lpstr>'2403-119'!PO_LOG_name</vt:lpstr>
      <vt:lpstr>'2403-120'!PO_LOG_name</vt:lpstr>
      <vt:lpstr>'2403-121'!PO_LOG_name</vt:lpstr>
      <vt:lpstr>'2403-122'!PO_LOG_name</vt:lpstr>
      <vt:lpstr>'2403-123'!PO_LOG_name</vt:lpstr>
      <vt:lpstr>'2403-124'!PO_LOG_name</vt:lpstr>
      <vt:lpstr>'2403-125'!PO_LOG_name</vt:lpstr>
      <vt:lpstr>'2403-126'!PO_LOG_name</vt:lpstr>
      <vt:lpstr>'2403-127'!PO_LOG_name</vt:lpstr>
      <vt:lpstr>'2403-128'!PO_LOG_name</vt:lpstr>
      <vt:lpstr>'2403-129'!PO_LOG_name</vt:lpstr>
      <vt:lpstr>'2403-130'!PO_LOG_name</vt:lpstr>
      <vt:lpstr>'2403-131'!PO_LOG_name</vt:lpstr>
      <vt:lpstr>'2403-132'!PO_LOG_name</vt:lpstr>
      <vt:lpstr>'2403-133'!PO_LOG_name</vt:lpstr>
      <vt:lpstr>'2403-134'!PO_LOG_name</vt:lpstr>
      <vt:lpstr>'2403-135'!PO_LOG_name</vt:lpstr>
      <vt:lpstr>'2403-136'!PO_LOG_name</vt:lpstr>
      <vt:lpstr>'2403-137'!PO_LOG_name</vt:lpstr>
      <vt:lpstr>'2403-138'!PO_LOG_name</vt:lpstr>
      <vt:lpstr>'2403-139'!PO_LOG_name</vt:lpstr>
      <vt:lpstr>'2403-140'!PO_LOG_name</vt:lpstr>
      <vt:lpstr>'2403-141'!PO_LOG_name</vt:lpstr>
      <vt:lpstr>PO_LOG_name</vt:lpstr>
      <vt:lpstr>Prefix</vt:lpstr>
      <vt:lpstr>'2403-001'!Print_Area</vt:lpstr>
      <vt:lpstr>'2403-002'!Print_Area</vt:lpstr>
      <vt:lpstr>'2403-003'!Print_Area</vt:lpstr>
      <vt:lpstr>'2403-004'!Print_Area</vt:lpstr>
      <vt:lpstr>'2403-005'!Print_Area</vt:lpstr>
      <vt:lpstr>'2403-006'!Print_Area</vt:lpstr>
      <vt:lpstr>'2403-007'!Print_Area</vt:lpstr>
      <vt:lpstr>'2403-008'!Print_Area</vt:lpstr>
      <vt:lpstr>'2403-009'!Print_Area</vt:lpstr>
      <vt:lpstr>'2403-010'!Print_Area</vt:lpstr>
      <vt:lpstr>'2403-011'!Print_Area</vt:lpstr>
      <vt:lpstr>'2403-012'!Print_Area</vt:lpstr>
      <vt:lpstr>'2403-013'!Print_Area</vt:lpstr>
      <vt:lpstr>'2403-014'!Print_Area</vt:lpstr>
      <vt:lpstr>'2403-015'!Print_Area</vt:lpstr>
      <vt:lpstr>'2403-016'!Print_Area</vt:lpstr>
      <vt:lpstr>'2403-017'!Print_Area</vt:lpstr>
      <vt:lpstr>'2403-018'!Print_Area</vt:lpstr>
      <vt:lpstr>'2403-019'!Print_Area</vt:lpstr>
      <vt:lpstr>'2403-020'!Print_Area</vt:lpstr>
      <vt:lpstr>'2403-021'!Print_Area</vt:lpstr>
      <vt:lpstr>'2403-022'!Print_Area</vt:lpstr>
      <vt:lpstr>'2403-023'!Print_Area</vt:lpstr>
      <vt:lpstr>'2403-024'!Print_Area</vt:lpstr>
      <vt:lpstr>'2403-025'!Print_Area</vt:lpstr>
      <vt:lpstr>'2403-026'!Print_Area</vt:lpstr>
      <vt:lpstr>'2403-027'!Print_Area</vt:lpstr>
      <vt:lpstr>'2403-028'!Print_Area</vt:lpstr>
      <vt:lpstr>'2403-029'!Print_Area</vt:lpstr>
      <vt:lpstr>'2403-030'!Print_Area</vt:lpstr>
      <vt:lpstr>'2403-031'!Print_Area</vt:lpstr>
      <vt:lpstr>'2403-032'!Print_Area</vt:lpstr>
      <vt:lpstr>'2403-033'!Print_Area</vt:lpstr>
      <vt:lpstr>'2403-034'!Print_Area</vt:lpstr>
      <vt:lpstr>'2403-035'!Print_Area</vt:lpstr>
      <vt:lpstr>'2403-036'!Print_Area</vt:lpstr>
      <vt:lpstr>'2403-037'!Print_Area</vt:lpstr>
      <vt:lpstr>'2403-038'!Print_Area</vt:lpstr>
      <vt:lpstr>'2403-039'!Print_Area</vt:lpstr>
      <vt:lpstr>'2403-040'!Print_Area</vt:lpstr>
      <vt:lpstr>'2403-041'!Print_Area</vt:lpstr>
      <vt:lpstr>'2403-042'!Print_Area</vt:lpstr>
      <vt:lpstr>'2403-043'!Print_Area</vt:lpstr>
      <vt:lpstr>'2403-044'!Print_Area</vt:lpstr>
      <vt:lpstr>'2403-045'!Print_Area</vt:lpstr>
      <vt:lpstr>'2403-046'!Print_Area</vt:lpstr>
      <vt:lpstr>'2403-047'!Print_Area</vt:lpstr>
      <vt:lpstr>'2403-048'!Print_Area</vt:lpstr>
      <vt:lpstr>'2403-049'!Print_Area</vt:lpstr>
      <vt:lpstr>'2403-050'!Print_Area</vt:lpstr>
      <vt:lpstr>'2403-051'!Print_Area</vt:lpstr>
      <vt:lpstr>'2403-052'!Print_Area</vt:lpstr>
      <vt:lpstr>'2403-053'!Print_Area</vt:lpstr>
      <vt:lpstr>'2403-054'!Print_Area</vt:lpstr>
      <vt:lpstr>'2403-055'!Print_Area</vt:lpstr>
      <vt:lpstr>'2403-056'!Print_Area</vt:lpstr>
      <vt:lpstr>'2403-057'!Print_Area</vt:lpstr>
      <vt:lpstr>'2403-058'!Print_Area</vt:lpstr>
      <vt:lpstr>'2403-059'!Print_Area</vt:lpstr>
      <vt:lpstr>'2403-060'!Print_Area</vt:lpstr>
      <vt:lpstr>'2403-061'!Print_Area</vt:lpstr>
      <vt:lpstr>'2403-062'!Print_Area</vt:lpstr>
      <vt:lpstr>'2403-063'!Print_Area</vt:lpstr>
      <vt:lpstr>'2403-064'!Print_Area</vt:lpstr>
      <vt:lpstr>'2403-065'!Print_Area</vt:lpstr>
      <vt:lpstr>'2403-066'!Print_Area</vt:lpstr>
      <vt:lpstr>'2403-067'!Print_Area</vt:lpstr>
      <vt:lpstr>'2403-068'!Print_Area</vt:lpstr>
      <vt:lpstr>'2403-069'!Print_Area</vt:lpstr>
      <vt:lpstr>'2403-070'!Print_Area</vt:lpstr>
      <vt:lpstr>'2403-071'!Print_Area</vt:lpstr>
      <vt:lpstr>'2403-072'!Print_Area</vt:lpstr>
      <vt:lpstr>'2403-073'!Print_Area</vt:lpstr>
      <vt:lpstr>'2403-074'!Print_Area</vt:lpstr>
      <vt:lpstr>'2403-075'!Print_Area</vt:lpstr>
      <vt:lpstr>'2403-076'!Print_Area</vt:lpstr>
      <vt:lpstr>'2403-077'!Print_Area</vt:lpstr>
      <vt:lpstr>'2403-078'!Print_Area</vt:lpstr>
      <vt:lpstr>'2403-079'!Print_Area</vt:lpstr>
      <vt:lpstr>'2403-080'!Print_Area</vt:lpstr>
      <vt:lpstr>'2403-081'!Print_Area</vt:lpstr>
      <vt:lpstr>'2403-082'!Print_Area</vt:lpstr>
      <vt:lpstr>'2403-083'!Print_Area</vt:lpstr>
      <vt:lpstr>'2403-084'!Print_Area</vt:lpstr>
      <vt:lpstr>'2403-085'!Print_Area</vt:lpstr>
      <vt:lpstr>'2403-086'!Print_Area</vt:lpstr>
      <vt:lpstr>'2403-087'!Print_Area</vt:lpstr>
      <vt:lpstr>'2403-088'!Print_Area</vt:lpstr>
      <vt:lpstr>'2403-089'!Print_Area</vt:lpstr>
      <vt:lpstr>'2403-090'!Print_Area</vt:lpstr>
      <vt:lpstr>'2403-091'!Print_Area</vt:lpstr>
      <vt:lpstr>'2403-092'!Print_Area</vt:lpstr>
      <vt:lpstr>'2403-093'!Print_Area</vt:lpstr>
      <vt:lpstr>'2403-094'!Print_Area</vt:lpstr>
      <vt:lpstr>'2403-095'!Print_Area</vt:lpstr>
      <vt:lpstr>'2403-096'!Print_Area</vt:lpstr>
      <vt:lpstr>'2403-097'!Print_Area</vt:lpstr>
      <vt:lpstr>'2403-098'!Print_Area</vt:lpstr>
      <vt:lpstr>'2403-099'!Print_Area</vt:lpstr>
      <vt:lpstr>'2403-100'!Print_Area</vt:lpstr>
      <vt:lpstr>'2403-101'!Print_Area</vt:lpstr>
      <vt:lpstr>'2403-102'!Print_Area</vt:lpstr>
      <vt:lpstr>'2403-103'!Print_Area</vt:lpstr>
      <vt:lpstr>'2403-104'!Print_Area</vt:lpstr>
      <vt:lpstr>'2403-105'!Print_Area</vt:lpstr>
      <vt:lpstr>'2403-106'!Print_Area</vt:lpstr>
      <vt:lpstr>'2403-107'!Print_Area</vt:lpstr>
      <vt:lpstr>'2403-108'!Print_Area</vt:lpstr>
      <vt:lpstr>'2403-109'!Print_Area</vt:lpstr>
      <vt:lpstr>'2403-110'!Print_Area</vt:lpstr>
      <vt:lpstr>'2403-111'!Print_Area</vt:lpstr>
      <vt:lpstr>'2403-112'!Print_Area</vt:lpstr>
      <vt:lpstr>'2403-113'!Print_Area</vt:lpstr>
      <vt:lpstr>'2403-114'!Print_Area</vt:lpstr>
      <vt:lpstr>'2403-115'!Print_Area</vt:lpstr>
      <vt:lpstr>'2403-116'!Print_Area</vt:lpstr>
      <vt:lpstr>'2403-117'!Print_Area</vt:lpstr>
      <vt:lpstr>'2403-118'!Print_Area</vt:lpstr>
      <vt:lpstr>'2403-119'!Print_Area</vt:lpstr>
      <vt:lpstr>'2403-120'!Print_Area</vt:lpstr>
      <vt:lpstr>'2403-121'!Print_Area</vt:lpstr>
      <vt:lpstr>'2403-122'!Print_Area</vt:lpstr>
      <vt:lpstr>'2403-123'!Print_Area</vt:lpstr>
      <vt:lpstr>'2403-124'!Print_Area</vt:lpstr>
      <vt:lpstr>'2403-125'!Print_Area</vt:lpstr>
      <vt:lpstr>'2403-126'!Print_Area</vt:lpstr>
      <vt:lpstr>'2403-127'!Print_Area</vt:lpstr>
      <vt:lpstr>'2403-128'!Print_Area</vt:lpstr>
      <vt:lpstr>'2403-129'!Print_Area</vt:lpstr>
      <vt:lpstr>'2403-130'!Print_Area</vt:lpstr>
      <vt:lpstr>'2403-131'!Print_Area</vt:lpstr>
      <vt:lpstr>'2403-132'!Print_Area</vt:lpstr>
      <vt:lpstr>'2403-133'!Print_Area</vt:lpstr>
      <vt:lpstr>'2403-134'!Print_Area</vt:lpstr>
      <vt:lpstr>'2403-135'!Print_Area</vt:lpstr>
      <vt:lpstr>'2403-136'!Print_Area</vt:lpstr>
      <vt:lpstr>'2403-137'!Print_Area</vt:lpstr>
      <vt:lpstr>'2403-138'!Print_Area</vt:lpstr>
      <vt:lpstr>'2403-139'!Print_Area</vt:lpstr>
      <vt:lpstr>'2403-140'!Print_Area</vt:lpstr>
      <vt:lpstr>'2403-141'!Print_Area</vt:lpstr>
      <vt:lpstr>'PO Log'!Print_Area</vt:lpstr>
      <vt:lpstr>'TEMPLATE-SHEET'!Print_Area</vt:lpstr>
      <vt:lpstr>'2403-001'!Sheet_PO</vt:lpstr>
      <vt:lpstr>'2403-002'!Sheet_PO</vt:lpstr>
      <vt:lpstr>'2403-003'!Sheet_PO</vt:lpstr>
      <vt:lpstr>'2403-004'!Sheet_PO</vt:lpstr>
      <vt:lpstr>'2403-005'!Sheet_PO</vt:lpstr>
      <vt:lpstr>'2403-006'!Sheet_PO</vt:lpstr>
      <vt:lpstr>'2403-007'!Sheet_PO</vt:lpstr>
      <vt:lpstr>'2403-008'!Sheet_PO</vt:lpstr>
      <vt:lpstr>'2403-009'!Sheet_PO</vt:lpstr>
      <vt:lpstr>'2403-010'!Sheet_PO</vt:lpstr>
      <vt:lpstr>'2403-011'!Sheet_PO</vt:lpstr>
      <vt:lpstr>'2403-012'!Sheet_PO</vt:lpstr>
      <vt:lpstr>'2403-013'!Sheet_PO</vt:lpstr>
      <vt:lpstr>'2403-014'!Sheet_PO</vt:lpstr>
      <vt:lpstr>'2403-015'!Sheet_PO</vt:lpstr>
      <vt:lpstr>'2403-016'!Sheet_PO</vt:lpstr>
      <vt:lpstr>'2403-017'!Sheet_PO</vt:lpstr>
      <vt:lpstr>'2403-018'!Sheet_PO</vt:lpstr>
      <vt:lpstr>'2403-019'!Sheet_PO</vt:lpstr>
      <vt:lpstr>'2403-020'!Sheet_PO</vt:lpstr>
      <vt:lpstr>'2403-021'!Sheet_PO</vt:lpstr>
      <vt:lpstr>'2403-022'!Sheet_PO</vt:lpstr>
      <vt:lpstr>'2403-023'!Sheet_PO</vt:lpstr>
      <vt:lpstr>'2403-024'!Sheet_PO</vt:lpstr>
      <vt:lpstr>'2403-025'!Sheet_PO</vt:lpstr>
      <vt:lpstr>'2403-026'!Sheet_PO</vt:lpstr>
      <vt:lpstr>'2403-027'!Sheet_PO</vt:lpstr>
      <vt:lpstr>'2403-028'!Sheet_PO</vt:lpstr>
      <vt:lpstr>'2403-029'!Sheet_PO</vt:lpstr>
      <vt:lpstr>'2403-030'!Sheet_PO</vt:lpstr>
      <vt:lpstr>'2403-031'!Sheet_PO</vt:lpstr>
      <vt:lpstr>'2403-032'!Sheet_PO</vt:lpstr>
      <vt:lpstr>'2403-033'!Sheet_PO</vt:lpstr>
      <vt:lpstr>'2403-034'!Sheet_PO</vt:lpstr>
      <vt:lpstr>'2403-035'!Sheet_PO</vt:lpstr>
      <vt:lpstr>'2403-036'!Sheet_PO</vt:lpstr>
      <vt:lpstr>'2403-037'!Sheet_PO</vt:lpstr>
      <vt:lpstr>'2403-038'!Sheet_PO</vt:lpstr>
      <vt:lpstr>'2403-039'!Sheet_PO</vt:lpstr>
      <vt:lpstr>'2403-040'!Sheet_PO</vt:lpstr>
      <vt:lpstr>'2403-041'!Sheet_PO</vt:lpstr>
      <vt:lpstr>'2403-042'!Sheet_PO</vt:lpstr>
      <vt:lpstr>'2403-043'!Sheet_PO</vt:lpstr>
      <vt:lpstr>'2403-044'!Sheet_PO</vt:lpstr>
      <vt:lpstr>'2403-045'!Sheet_PO</vt:lpstr>
      <vt:lpstr>'2403-046'!Sheet_PO</vt:lpstr>
      <vt:lpstr>'2403-047'!Sheet_PO</vt:lpstr>
      <vt:lpstr>'2403-048'!Sheet_PO</vt:lpstr>
      <vt:lpstr>'2403-049'!Sheet_PO</vt:lpstr>
      <vt:lpstr>'2403-050'!Sheet_PO</vt:lpstr>
      <vt:lpstr>'2403-051'!Sheet_PO</vt:lpstr>
      <vt:lpstr>'2403-052'!Sheet_PO</vt:lpstr>
      <vt:lpstr>'2403-053'!Sheet_PO</vt:lpstr>
      <vt:lpstr>'2403-054'!Sheet_PO</vt:lpstr>
      <vt:lpstr>'2403-055'!Sheet_PO</vt:lpstr>
      <vt:lpstr>'2403-056'!Sheet_PO</vt:lpstr>
      <vt:lpstr>'2403-057'!Sheet_PO</vt:lpstr>
      <vt:lpstr>'2403-058'!Sheet_PO</vt:lpstr>
      <vt:lpstr>'2403-059'!Sheet_PO</vt:lpstr>
      <vt:lpstr>'2403-060'!Sheet_PO</vt:lpstr>
      <vt:lpstr>'2403-061'!Sheet_PO</vt:lpstr>
      <vt:lpstr>'2403-062'!Sheet_PO</vt:lpstr>
      <vt:lpstr>'2403-063'!Sheet_PO</vt:lpstr>
      <vt:lpstr>'2403-064'!Sheet_PO</vt:lpstr>
      <vt:lpstr>'2403-065'!Sheet_PO</vt:lpstr>
      <vt:lpstr>'2403-066'!Sheet_PO</vt:lpstr>
      <vt:lpstr>'2403-067'!Sheet_PO</vt:lpstr>
      <vt:lpstr>'2403-068'!Sheet_PO</vt:lpstr>
      <vt:lpstr>'2403-069'!Sheet_PO</vt:lpstr>
      <vt:lpstr>'2403-070'!Sheet_PO</vt:lpstr>
      <vt:lpstr>'2403-071'!Sheet_PO</vt:lpstr>
      <vt:lpstr>'2403-072'!Sheet_PO</vt:lpstr>
      <vt:lpstr>'2403-073'!Sheet_PO</vt:lpstr>
      <vt:lpstr>'2403-074'!Sheet_PO</vt:lpstr>
      <vt:lpstr>'2403-075'!Sheet_PO</vt:lpstr>
      <vt:lpstr>'2403-076'!Sheet_PO</vt:lpstr>
      <vt:lpstr>'2403-077'!Sheet_PO</vt:lpstr>
      <vt:lpstr>'2403-078'!Sheet_PO</vt:lpstr>
      <vt:lpstr>'2403-079'!Sheet_PO</vt:lpstr>
      <vt:lpstr>'2403-080'!Sheet_PO</vt:lpstr>
      <vt:lpstr>'2403-081'!Sheet_PO</vt:lpstr>
      <vt:lpstr>'2403-082'!Sheet_PO</vt:lpstr>
      <vt:lpstr>'2403-083'!Sheet_PO</vt:lpstr>
      <vt:lpstr>'2403-084'!Sheet_PO</vt:lpstr>
      <vt:lpstr>'2403-085'!Sheet_PO</vt:lpstr>
      <vt:lpstr>'2403-086'!Sheet_PO</vt:lpstr>
      <vt:lpstr>'2403-087'!Sheet_PO</vt:lpstr>
      <vt:lpstr>'2403-088'!Sheet_PO</vt:lpstr>
      <vt:lpstr>'2403-089'!Sheet_PO</vt:lpstr>
      <vt:lpstr>'2403-090'!Sheet_PO</vt:lpstr>
      <vt:lpstr>'2403-091'!Sheet_PO</vt:lpstr>
      <vt:lpstr>'2403-092'!Sheet_PO</vt:lpstr>
      <vt:lpstr>'2403-093'!Sheet_PO</vt:lpstr>
      <vt:lpstr>'2403-094'!Sheet_PO</vt:lpstr>
      <vt:lpstr>'2403-095'!Sheet_PO</vt:lpstr>
      <vt:lpstr>'2403-096'!Sheet_PO</vt:lpstr>
      <vt:lpstr>'2403-097'!Sheet_PO</vt:lpstr>
      <vt:lpstr>'2403-098'!Sheet_PO</vt:lpstr>
      <vt:lpstr>'2403-099'!Sheet_PO</vt:lpstr>
      <vt:lpstr>'2403-100'!Sheet_PO</vt:lpstr>
      <vt:lpstr>'2403-101'!Sheet_PO</vt:lpstr>
      <vt:lpstr>'2403-102'!Sheet_PO</vt:lpstr>
      <vt:lpstr>'2403-103'!Sheet_PO</vt:lpstr>
      <vt:lpstr>'2403-104'!Sheet_PO</vt:lpstr>
      <vt:lpstr>'2403-105'!Sheet_PO</vt:lpstr>
      <vt:lpstr>'2403-106'!Sheet_PO</vt:lpstr>
      <vt:lpstr>'2403-107'!Sheet_PO</vt:lpstr>
      <vt:lpstr>'2403-108'!Sheet_PO</vt:lpstr>
      <vt:lpstr>'2403-109'!Sheet_PO</vt:lpstr>
      <vt:lpstr>'2403-110'!Sheet_PO</vt:lpstr>
      <vt:lpstr>'2403-111'!Sheet_PO</vt:lpstr>
      <vt:lpstr>'2403-112'!Sheet_PO</vt:lpstr>
      <vt:lpstr>'2403-113'!Sheet_PO</vt:lpstr>
      <vt:lpstr>'2403-114'!Sheet_PO</vt:lpstr>
      <vt:lpstr>'2403-115'!Sheet_PO</vt:lpstr>
      <vt:lpstr>'2403-116'!Sheet_PO</vt:lpstr>
      <vt:lpstr>'2403-117'!Sheet_PO</vt:lpstr>
      <vt:lpstr>'2403-118'!Sheet_PO</vt:lpstr>
      <vt:lpstr>'2403-119'!Sheet_PO</vt:lpstr>
      <vt:lpstr>'2403-120'!Sheet_PO</vt:lpstr>
      <vt:lpstr>'2403-121'!Sheet_PO</vt:lpstr>
      <vt:lpstr>'2403-122'!Sheet_PO</vt:lpstr>
      <vt:lpstr>'2403-123'!Sheet_PO</vt:lpstr>
      <vt:lpstr>'2403-124'!Sheet_PO</vt:lpstr>
      <vt:lpstr>'2403-125'!Sheet_PO</vt:lpstr>
      <vt:lpstr>'2403-126'!Sheet_PO</vt:lpstr>
      <vt:lpstr>'2403-127'!Sheet_PO</vt:lpstr>
      <vt:lpstr>'2403-128'!Sheet_PO</vt:lpstr>
      <vt:lpstr>'2403-129'!Sheet_PO</vt:lpstr>
      <vt:lpstr>'2403-130'!Sheet_PO</vt:lpstr>
      <vt:lpstr>'2403-131'!Sheet_PO</vt:lpstr>
      <vt:lpstr>'2403-132'!Sheet_PO</vt:lpstr>
      <vt:lpstr>'2403-133'!Sheet_PO</vt:lpstr>
      <vt:lpstr>'2403-134'!Sheet_PO</vt:lpstr>
      <vt:lpstr>'2403-135'!Sheet_PO</vt:lpstr>
      <vt:lpstr>'2403-136'!Sheet_PO</vt:lpstr>
      <vt:lpstr>'2403-137'!Sheet_PO</vt:lpstr>
      <vt:lpstr>'2403-138'!Sheet_PO</vt:lpstr>
      <vt:lpstr>'2403-139'!Sheet_PO</vt:lpstr>
      <vt:lpstr>'2403-140'!Sheet_PO</vt:lpstr>
      <vt:lpstr>'2403-141'!Sheet_PO</vt:lpstr>
      <vt:lpstr>Sheet_PO</vt:lpstr>
      <vt:lpstr>Start</vt:lpstr>
      <vt:lpstr>'2403-001'!Vendor</vt:lpstr>
      <vt:lpstr>'2403-002'!Vendor</vt:lpstr>
      <vt:lpstr>'2403-003'!Vendor</vt:lpstr>
      <vt:lpstr>'2403-004'!Vendor</vt:lpstr>
      <vt:lpstr>'2403-005'!Vendor</vt:lpstr>
      <vt:lpstr>'2403-006'!Vendor</vt:lpstr>
      <vt:lpstr>'2403-007'!Vendor</vt:lpstr>
      <vt:lpstr>'2403-008'!Vendor</vt:lpstr>
      <vt:lpstr>'2403-009'!Vendor</vt:lpstr>
      <vt:lpstr>'2403-010'!Vendor</vt:lpstr>
      <vt:lpstr>'2403-011'!Vendor</vt:lpstr>
      <vt:lpstr>'2403-012'!Vendor</vt:lpstr>
      <vt:lpstr>'2403-013'!Vendor</vt:lpstr>
      <vt:lpstr>'2403-014'!Vendor</vt:lpstr>
      <vt:lpstr>'2403-015'!Vendor</vt:lpstr>
      <vt:lpstr>'2403-016'!Vendor</vt:lpstr>
      <vt:lpstr>'2403-017'!Vendor</vt:lpstr>
      <vt:lpstr>'2403-018'!Vendor</vt:lpstr>
      <vt:lpstr>'2403-019'!Vendor</vt:lpstr>
      <vt:lpstr>'2403-020'!Vendor</vt:lpstr>
      <vt:lpstr>'2403-021'!Vendor</vt:lpstr>
      <vt:lpstr>'2403-022'!Vendor</vt:lpstr>
      <vt:lpstr>'2403-023'!Vendor</vt:lpstr>
      <vt:lpstr>'2403-024'!Vendor</vt:lpstr>
      <vt:lpstr>'2403-025'!Vendor</vt:lpstr>
      <vt:lpstr>'2403-026'!Vendor</vt:lpstr>
      <vt:lpstr>'2403-027'!Vendor</vt:lpstr>
      <vt:lpstr>'2403-028'!Vendor</vt:lpstr>
      <vt:lpstr>'2403-029'!Vendor</vt:lpstr>
      <vt:lpstr>'2403-030'!Vendor</vt:lpstr>
      <vt:lpstr>'2403-031'!Vendor</vt:lpstr>
      <vt:lpstr>'2403-032'!Vendor</vt:lpstr>
      <vt:lpstr>'2403-033'!Vendor</vt:lpstr>
      <vt:lpstr>'2403-034'!Vendor</vt:lpstr>
      <vt:lpstr>'2403-035'!Vendor</vt:lpstr>
      <vt:lpstr>'2403-036'!Vendor</vt:lpstr>
      <vt:lpstr>'2403-037'!Vendor</vt:lpstr>
      <vt:lpstr>'2403-038'!Vendor</vt:lpstr>
      <vt:lpstr>'2403-039'!Vendor</vt:lpstr>
      <vt:lpstr>'2403-040'!Vendor</vt:lpstr>
      <vt:lpstr>'2403-041'!Vendor</vt:lpstr>
      <vt:lpstr>'2403-042'!Vendor</vt:lpstr>
      <vt:lpstr>'2403-043'!Vendor</vt:lpstr>
      <vt:lpstr>'2403-044'!Vendor</vt:lpstr>
      <vt:lpstr>'2403-045'!Vendor</vt:lpstr>
      <vt:lpstr>'2403-046'!Vendor</vt:lpstr>
      <vt:lpstr>'2403-047'!Vendor</vt:lpstr>
      <vt:lpstr>'2403-048'!Vendor</vt:lpstr>
      <vt:lpstr>'2403-049'!Vendor</vt:lpstr>
      <vt:lpstr>'2403-050'!Vendor</vt:lpstr>
      <vt:lpstr>'2403-051'!Vendor</vt:lpstr>
      <vt:lpstr>'2403-052'!Vendor</vt:lpstr>
      <vt:lpstr>'2403-053'!Vendor</vt:lpstr>
      <vt:lpstr>'2403-054'!Vendor</vt:lpstr>
      <vt:lpstr>'2403-055'!Vendor</vt:lpstr>
      <vt:lpstr>'2403-056'!Vendor</vt:lpstr>
      <vt:lpstr>'2403-057'!Vendor</vt:lpstr>
      <vt:lpstr>'2403-058'!Vendor</vt:lpstr>
      <vt:lpstr>'2403-059'!Vendor</vt:lpstr>
      <vt:lpstr>'2403-060'!Vendor</vt:lpstr>
      <vt:lpstr>'2403-061'!Vendor</vt:lpstr>
      <vt:lpstr>'2403-062'!Vendor</vt:lpstr>
      <vt:lpstr>'2403-063'!Vendor</vt:lpstr>
      <vt:lpstr>'2403-064'!Vendor</vt:lpstr>
      <vt:lpstr>'2403-065'!Vendor</vt:lpstr>
      <vt:lpstr>'2403-066'!Vendor</vt:lpstr>
      <vt:lpstr>'2403-067'!Vendor</vt:lpstr>
      <vt:lpstr>'2403-068'!Vendor</vt:lpstr>
      <vt:lpstr>'2403-069'!Vendor</vt:lpstr>
      <vt:lpstr>'2403-070'!Vendor</vt:lpstr>
      <vt:lpstr>'2403-071'!Vendor</vt:lpstr>
      <vt:lpstr>'2403-072'!Vendor</vt:lpstr>
      <vt:lpstr>'2403-073'!Vendor</vt:lpstr>
      <vt:lpstr>'2403-074'!Vendor</vt:lpstr>
      <vt:lpstr>'2403-075'!Vendor</vt:lpstr>
      <vt:lpstr>'2403-076'!Vendor</vt:lpstr>
      <vt:lpstr>'2403-077'!Vendor</vt:lpstr>
      <vt:lpstr>'2403-078'!Vendor</vt:lpstr>
      <vt:lpstr>'2403-079'!Vendor</vt:lpstr>
      <vt:lpstr>'2403-080'!Vendor</vt:lpstr>
      <vt:lpstr>'2403-081'!Vendor</vt:lpstr>
      <vt:lpstr>'2403-082'!Vendor</vt:lpstr>
      <vt:lpstr>'2403-083'!Vendor</vt:lpstr>
      <vt:lpstr>'2403-084'!Vendor</vt:lpstr>
      <vt:lpstr>'2403-085'!Vendor</vt:lpstr>
      <vt:lpstr>'2403-086'!Vendor</vt:lpstr>
      <vt:lpstr>'2403-087'!Vendor</vt:lpstr>
      <vt:lpstr>'2403-088'!Vendor</vt:lpstr>
      <vt:lpstr>'2403-089'!Vendor</vt:lpstr>
      <vt:lpstr>'2403-090'!Vendor</vt:lpstr>
      <vt:lpstr>'2403-091'!Vendor</vt:lpstr>
      <vt:lpstr>'2403-092'!Vendor</vt:lpstr>
      <vt:lpstr>'2403-093'!Vendor</vt:lpstr>
      <vt:lpstr>'2403-094'!Vendor</vt:lpstr>
      <vt:lpstr>'2403-095'!Vendor</vt:lpstr>
      <vt:lpstr>'2403-096'!Vendor</vt:lpstr>
      <vt:lpstr>'2403-097'!Vendor</vt:lpstr>
      <vt:lpstr>'2403-098'!Vendor</vt:lpstr>
      <vt:lpstr>'2403-099'!Vendor</vt:lpstr>
      <vt:lpstr>'2403-100'!Vendor</vt:lpstr>
      <vt:lpstr>'2403-101'!Vendor</vt:lpstr>
      <vt:lpstr>'2403-102'!Vendor</vt:lpstr>
      <vt:lpstr>'2403-103'!Vendor</vt:lpstr>
      <vt:lpstr>'2403-104'!Vendor</vt:lpstr>
      <vt:lpstr>'2403-105'!Vendor</vt:lpstr>
      <vt:lpstr>'2403-106'!Vendor</vt:lpstr>
      <vt:lpstr>'2403-107'!Vendor</vt:lpstr>
      <vt:lpstr>'2403-108'!Vendor</vt:lpstr>
      <vt:lpstr>'2403-109'!Vendor</vt:lpstr>
      <vt:lpstr>'2403-110'!Vendor</vt:lpstr>
      <vt:lpstr>'2403-111'!Vendor</vt:lpstr>
      <vt:lpstr>'2403-112'!Vendor</vt:lpstr>
      <vt:lpstr>'2403-113'!Vendor</vt:lpstr>
      <vt:lpstr>'2403-114'!Vendor</vt:lpstr>
      <vt:lpstr>'2403-115'!Vendor</vt:lpstr>
      <vt:lpstr>'2403-116'!Vendor</vt:lpstr>
      <vt:lpstr>'2403-117'!Vendor</vt:lpstr>
      <vt:lpstr>'2403-118'!Vendor</vt:lpstr>
      <vt:lpstr>'2403-119'!Vendor</vt:lpstr>
      <vt:lpstr>'2403-120'!Vendor</vt:lpstr>
      <vt:lpstr>'2403-121'!Vendor</vt:lpstr>
      <vt:lpstr>'2403-122'!Vendor</vt:lpstr>
      <vt:lpstr>'2403-123'!Vendor</vt:lpstr>
      <vt:lpstr>'2403-124'!Vendor</vt:lpstr>
      <vt:lpstr>'2403-125'!Vendor</vt:lpstr>
      <vt:lpstr>'2403-126'!Vendor</vt:lpstr>
      <vt:lpstr>'2403-127'!Vendor</vt:lpstr>
      <vt:lpstr>'2403-128'!Vendor</vt:lpstr>
      <vt:lpstr>'2403-129'!Vendor</vt:lpstr>
      <vt:lpstr>'2403-130'!Vendor</vt:lpstr>
      <vt:lpstr>'2403-131'!Vendor</vt:lpstr>
      <vt:lpstr>'2403-132'!Vendor</vt:lpstr>
      <vt:lpstr>'2403-133'!Vendor</vt:lpstr>
      <vt:lpstr>'2403-134'!Vendor</vt:lpstr>
      <vt:lpstr>'2403-135'!Vendor</vt:lpstr>
      <vt:lpstr>'2403-136'!Vendor</vt:lpstr>
      <vt:lpstr>'2403-137'!Vendor</vt:lpstr>
      <vt:lpstr>'2403-138'!Vendor</vt:lpstr>
      <vt:lpstr>'2403-139'!Vendor</vt:lpstr>
      <vt:lpstr>'2403-140'!Vendor</vt:lpstr>
      <vt:lpstr>'2403-141'!Vendor</vt:lpstr>
      <vt:lpstr>Vendor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Joshua Parkhill</dc:creator>
  <cp:keywords/>
  <dc:description/>
  <cp:lastModifiedBy>Josh Parkhill</cp:lastModifiedBy>
  <cp:lastPrinted>2024-08-21T04:15:37Z</cp:lastPrinted>
  <dcterms:created xsi:type="dcterms:W3CDTF">2024-07-31T22:19:32Z</dcterms:created>
  <dcterms:modified xsi:type="dcterms:W3CDTF">2024-08-23T17:59:09Z</dcterms:modified>
  <cp:category/>
</cp:coreProperties>
</file>